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S01\get\2025.01 Mazara 01 A2A\03 - REPORT\Report\01 Daily Reports\2026 05\PR CALCOLO FILE\"/>
    </mc:Choice>
  </mc:AlternateContent>
  <xr:revisionPtr revIDLastSave="0" documentId="13_ncr:1_{58DB518C-BF1D-4A09-B0CD-3A68CE29287B}" xr6:coauthVersionLast="47" xr6:coauthVersionMax="47" xr10:uidLastSave="{00000000-0000-0000-0000-000000000000}"/>
  <bookViews>
    <workbookView xWindow="-120" yWindow="-120" windowWidth="29040" windowHeight="15720" xr2:uid="{F5B5727B-468F-4EE7-99BC-CDDF02F9C985}"/>
  </bookViews>
  <sheets>
    <sheet name="PR_Calc" sheetId="1" r:id="rId1"/>
    <sheet name="Inverter_data" sheetId="3" r:id="rId2"/>
    <sheet name="Nominal_Values" sheetId="2" r:id="rId3"/>
  </sheets>
  <externalReferences>
    <externalReference r:id="rId4"/>
  </externalReferences>
  <definedNames>
    <definedName name="Tabella01AprileInverter">Tabella01MarzoInverter[]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0" i="1" l="1"/>
  <c r="J110" i="1"/>
  <c r="H110" i="1"/>
  <c r="I110" i="1" s="1"/>
  <c r="G110" i="1"/>
  <c r="M109" i="1"/>
  <c r="J109" i="1"/>
  <c r="H109" i="1"/>
  <c r="I109" i="1" s="1"/>
  <c r="G109" i="1"/>
  <c r="M108" i="1"/>
  <c r="J108" i="1"/>
  <c r="H108" i="1"/>
  <c r="I108" i="1" s="1"/>
  <c r="G108" i="1"/>
  <c r="M107" i="1"/>
  <c r="J107" i="1"/>
  <c r="H107" i="1"/>
  <c r="I107" i="1" s="1"/>
  <c r="G107" i="1"/>
  <c r="M106" i="1"/>
  <c r="J106" i="1"/>
  <c r="H106" i="1"/>
  <c r="I106" i="1" s="1"/>
  <c r="G106" i="1"/>
  <c r="M105" i="1"/>
  <c r="J105" i="1"/>
  <c r="H105" i="1"/>
  <c r="I105" i="1" s="1"/>
  <c r="G105" i="1"/>
  <c r="M104" i="1"/>
  <c r="J104" i="1"/>
  <c r="H104" i="1"/>
  <c r="I104" i="1" s="1"/>
  <c r="G104" i="1"/>
  <c r="M103" i="1"/>
  <c r="J103" i="1"/>
  <c r="H103" i="1"/>
  <c r="I103" i="1" s="1"/>
  <c r="G103" i="1"/>
  <c r="M102" i="1"/>
  <c r="J102" i="1"/>
  <c r="I102" i="1"/>
  <c r="H102" i="1"/>
  <c r="G102" i="1"/>
  <c r="M101" i="1"/>
  <c r="J101" i="1"/>
  <c r="H101" i="1"/>
  <c r="I101" i="1" s="1"/>
  <c r="G101" i="1"/>
  <c r="M100" i="1"/>
  <c r="J100" i="1"/>
  <c r="I100" i="1"/>
  <c r="H100" i="1"/>
  <c r="G100" i="1"/>
  <c r="M99" i="1"/>
  <c r="J99" i="1"/>
  <c r="I99" i="1"/>
  <c r="H99" i="1"/>
  <c r="G99" i="1"/>
  <c r="M98" i="1"/>
  <c r="J98" i="1"/>
  <c r="H98" i="1"/>
  <c r="I98" i="1" s="1"/>
  <c r="G98" i="1"/>
  <c r="M97" i="1"/>
  <c r="J97" i="1"/>
  <c r="H97" i="1"/>
  <c r="I97" i="1" s="1"/>
  <c r="G97" i="1"/>
  <c r="M96" i="1"/>
  <c r="J96" i="1"/>
  <c r="H96" i="1"/>
  <c r="I96" i="1" s="1"/>
  <c r="G96" i="1"/>
  <c r="M95" i="1"/>
  <c r="J95" i="1"/>
  <c r="H95" i="1"/>
  <c r="I95" i="1" s="1"/>
  <c r="G95" i="1"/>
  <c r="M94" i="1"/>
  <c r="J94" i="1"/>
  <c r="H94" i="1"/>
  <c r="I94" i="1" s="1"/>
  <c r="G94" i="1"/>
  <c r="M93" i="1"/>
  <c r="J93" i="1"/>
  <c r="H93" i="1"/>
  <c r="I93" i="1" s="1"/>
  <c r="G93" i="1"/>
  <c r="M92" i="1"/>
  <c r="J92" i="1"/>
  <c r="H92" i="1"/>
  <c r="I92" i="1" s="1"/>
  <c r="G92" i="1"/>
  <c r="M91" i="1"/>
  <c r="J91" i="1"/>
  <c r="H91" i="1"/>
  <c r="I91" i="1" s="1"/>
  <c r="G91" i="1"/>
  <c r="M90" i="1"/>
  <c r="J90" i="1"/>
  <c r="H90" i="1"/>
  <c r="I90" i="1" s="1"/>
  <c r="G90" i="1"/>
  <c r="M89" i="1"/>
  <c r="J89" i="1"/>
  <c r="H89" i="1"/>
  <c r="I89" i="1" s="1"/>
  <c r="G89" i="1"/>
  <c r="M88" i="1"/>
  <c r="J88" i="1"/>
  <c r="H88" i="1"/>
  <c r="I88" i="1" s="1"/>
  <c r="G88" i="1"/>
  <c r="M87" i="1"/>
  <c r="J87" i="1"/>
  <c r="H87" i="1"/>
  <c r="I87" i="1" s="1"/>
  <c r="G87" i="1"/>
  <c r="M86" i="1"/>
  <c r="J86" i="1"/>
  <c r="H86" i="1"/>
  <c r="I86" i="1" s="1"/>
  <c r="G86" i="1"/>
  <c r="M85" i="1"/>
  <c r="J85" i="1"/>
  <c r="H85" i="1"/>
  <c r="I85" i="1" s="1"/>
  <c r="G85" i="1"/>
  <c r="M84" i="1"/>
  <c r="J84" i="1"/>
  <c r="H84" i="1"/>
  <c r="I84" i="1" s="1"/>
  <c r="G84" i="1"/>
  <c r="M83" i="1"/>
  <c r="J83" i="1"/>
  <c r="H83" i="1"/>
  <c r="I83" i="1" s="1"/>
  <c r="G83" i="1"/>
  <c r="M82" i="1"/>
  <c r="J82" i="1"/>
  <c r="H82" i="1"/>
  <c r="I82" i="1" s="1"/>
  <c r="G82" i="1"/>
  <c r="M81" i="1"/>
  <c r="J81" i="1"/>
  <c r="H81" i="1"/>
  <c r="I81" i="1" s="1"/>
  <c r="G81" i="1"/>
  <c r="M80" i="1"/>
  <c r="J80" i="1"/>
  <c r="H80" i="1"/>
  <c r="I80" i="1" s="1"/>
  <c r="G80" i="1"/>
  <c r="M79" i="1"/>
  <c r="J79" i="1"/>
  <c r="H79" i="1"/>
  <c r="I79" i="1" s="1"/>
  <c r="G79" i="1"/>
  <c r="M78" i="1"/>
  <c r="J78" i="1"/>
  <c r="H78" i="1"/>
  <c r="I78" i="1" s="1"/>
  <c r="G78" i="1"/>
  <c r="M77" i="1"/>
  <c r="J77" i="1"/>
  <c r="H77" i="1"/>
  <c r="I77" i="1" s="1"/>
  <c r="G77" i="1"/>
  <c r="M76" i="1"/>
  <c r="J76" i="1"/>
  <c r="H76" i="1"/>
  <c r="I76" i="1" s="1"/>
  <c r="G76" i="1"/>
  <c r="M75" i="1"/>
  <c r="J75" i="1"/>
  <c r="H75" i="1"/>
  <c r="I75" i="1" s="1"/>
  <c r="G75" i="1"/>
  <c r="M74" i="1"/>
  <c r="J74" i="1"/>
  <c r="H74" i="1"/>
  <c r="I74" i="1" s="1"/>
  <c r="G74" i="1"/>
  <c r="M73" i="1"/>
  <c r="J73" i="1"/>
  <c r="H73" i="1"/>
  <c r="I73" i="1" s="1"/>
  <c r="G73" i="1"/>
  <c r="M72" i="1"/>
  <c r="J72" i="1"/>
  <c r="H72" i="1"/>
  <c r="I72" i="1" s="1"/>
  <c r="G72" i="1"/>
  <c r="M71" i="1"/>
  <c r="J71" i="1"/>
  <c r="H71" i="1"/>
  <c r="I71" i="1" s="1"/>
  <c r="G71" i="1"/>
  <c r="M70" i="1"/>
  <c r="J70" i="1"/>
  <c r="H70" i="1"/>
  <c r="I70" i="1" s="1"/>
  <c r="G70" i="1"/>
  <c r="M69" i="1"/>
  <c r="J69" i="1"/>
  <c r="H69" i="1"/>
  <c r="I69" i="1" s="1"/>
  <c r="G69" i="1"/>
  <c r="M68" i="1"/>
  <c r="J68" i="1"/>
  <c r="H68" i="1"/>
  <c r="I68" i="1" s="1"/>
  <c r="G68" i="1"/>
  <c r="M67" i="1"/>
  <c r="J67" i="1"/>
  <c r="H67" i="1"/>
  <c r="I67" i="1" s="1"/>
  <c r="G67" i="1"/>
  <c r="M66" i="1"/>
  <c r="J66" i="1"/>
  <c r="H66" i="1"/>
  <c r="I66" i="1" s="1"/>
  <c r="G66" i="1"/>
  <c r="M65" i="1"/>
  <c r="J65" i="1"/>
  <c r="H65" i="1"/>
  <c r="I65" i="1" s="1"/>
  <c r="G65" i="1"/>
  <c r="M64" i="1"/>
  <c r="J64" i="1"/>
  <c r="H64" i="1"/>
  <c r="I64" i="1" s="1"/>
  <c r="G64" i="1"/>
  <c r="M63" i="1"/>
  <c r="J63" i="1"/>
  <c r="H63" i="1"/>
  <c r="I63" i="1" s="1"/>
  <c r="G63" i="1"/>
  <c r="M62" i="1"/>
  <c r="J62" i="1"/>
  <c r="H62" i="1"/>
  <c r="I62" i="1" s="1"/>
  <c r="G62" i="1"/>
  <c r="M61" i="1"/>
  <c r="J61" i="1"/>
  <c r="H61" i="1"/>
  <c r="I61" i="1" s="1"/>
  <c r="G61" i="1"/>
  <c r="M60" i="1"/>
  <c r="J60" i="1"/>
  <c r="H60" i="1"/>
  <c r="I60" i="1" s="1"/>
  <c r="G60" i="1"/>
  <c r="M59" i="1"/>
  <c r="J59" i="1"/>
  <c r="H59" i="1"/>
  <c r="I59" i="1" s="1"/>
  <c r="G59" i="1"/>
  <c r="M58" i="1"/>
  <c r="J58" i="1"/>
  <c r="H58" i="1"/>
  <c r="I58" i="1" s="1"/>
  <c r="G58" i="1"/>
  <c r="M57" i="1"/>
  <c r="J57" i="1"/>
  <c r="H57" i="1"/>
  <c r="I57" i="1" s="1"/>
  <c r="G57" i="1"/>
  <c r="M56" i="1"/>
  <c r="J56" i="1"/>
  <c r="H56" i="1"/>
  <c r="I56" i="1" s="1"/>
  <c r="G56" i="1"/>
  <c r="M55" i="1"/>
  <c r="J55" i="1"/>
  <c r="H55" i="1"/>
  <c r="I55" i="1" s="1"/>
  <c r="G55" i="1"/>
  <c r="M54" i="1"/>
  <c r="J54" i="1"/>
  <c r="H54" i="1"/>
  <c r="I54" i="1" s="1"/>
  <c r="G54" i="1"/>
  <c r="M53" i="1"/>
  <c r="J53" i="1"/>
  <c r="H53" i="1"/>
  <c r="I53" i="1" s="1"/>
  <c r="G53" i="1"/>
  <c r="M52" i="1"/>
  <c r="J52" i="1"/>
  <c r="H52" i="1"/>
  <c r="I52" i="1" s="1"/>
  <c r="G52" i="1"/>
  <c r="M51" i="1"/>
  <c r="J51" i="1"/>
  <c r="H51" i="1"/>
  <c r="I51" i="1" s="1"/>
  <c r="G51" i="1"/>
  <c r="M50" i="1"/>
  <c r="J50" i="1"/>
  <c r="H50" i="1"/>
  <c r="I50" i="1" s="1"/>
  <c r="G50" i="1"/>
  <c r="M49" i="1"/>
  <c r="J49" i="1"/>
  <c r="H49" i="1"/>
  <c r="I49" i="1" s="1"/>
  <c r="G49" i="1"/>
  <c r="M48" i="1"/>
  <c r="J48" i="1"/>
  <c r="H48" i="1"/>
  <c r="I48" i="1" s="1"/>
  <c r="G48" i="1"/>
  <c r="M47" i="1"/>
  <c r="J47" i="1"/>
  <c r="H47" i="1"/>
  <c r="I47" i="1" s="1"/>
  <c r="G47" i="1"/>
  <c r="M46" i="1"/>
  <c r="J46" i="1"/>
  <c r="H46" i="1"/>
  <c r="I46" i="1" s="1"/>
  <c r="G46" i="1"/>
  <c r="M45" i="1"/>
  <c r="J45" i="1"/>
  <c r="H45" i="1"/>
  <c r="I45" i="1" s="1"/>
  <c r="G45" i="1"/>
  <c r="M44" i="1"/>
  <c r="J44" i="1"/>
  <c r="H44" i="1"/>
  <c r="I44" i="1" s="1"/>
  <c r="G44" i="1"/>
  <c r="M43" i="1"/>
  <c r="J43" i="1"/>
  <c r="H43" i="1"/>
  <c r="I43" i="1" s="1"/>
  <c r="G43" i="1"/>
  <c r="M42" i="1"/>
  <c r="J42" i="1"/>
  <c r="H42" i="1"/>
  <c r="I42" i="1" s="1"/>
  <c r="G42" i="1"/>
  <c r="M41" i="1"/>
  <c r="J41" i="1"/>
  <c r="H41" i="1"/>
  <c r="I41" i="1" s="1"/>
  <c r="G41" i="1"/>
  <c r="M40" i="1"/>
  <c r="J40" i="1"/>
  <c r="H40" i="1"/>
  <c r="I40" i="1" s="1"/>
  <c r="G40" i="1"/>
  <c r="M39" i="1"/>
  <c r="J39" i="1"/>
  <c r="H39" i="1"/>
  <c r="I39" i="1" s="1"/>
  <c r="G39" i="1"/>
  <c r="M38" i="1"/>
  <c r="J38" i="1"/>
  <c r="H38" i="1"/>
  <c r="I38" i="1" s="1"/>
  <c r="G38" i="1"/>
  <c r="M37" i="1"/>
  <c r="J37" i="1"/>
  <c r="H37" i="1"/>
  <c r="I37" i="1" s="1"/>
  <c r="G37" i="1"/>
  <c r="M36" i="1"/>
  <c r="J36" i="1"/>
  <c r="H36" i="1"/>
  <c r="I36" i="1" s="1"/>
  <c r="G36" i="1"/>
  <c r="M35" i="1"/>
  <c r="J35" i="1"/>
  <c r="H35" i="1"/>
  <c r="I35" i="1" s="1"/>
  <c r="G35" i="1"/>
  <c r="M34" i="1"/>
  <c r="J34" i="1"/>
  <c r="H34" i="1"/>
  <c r="I34" i="1" s="1"/>
  <c r="G34" i="1"/>
  <c r="M33" i="1"/>
  <c r="J33" i="1"/>
  <c r="H33" i="1"/>
  <c r="I33" i="1" s="1"/>
  <c r="G33" i="1"/>
  <c r="M32" i="1"/>
  <c r="J32" i="1"/>
  <c r="H32" i="1"/>
  <c r="I32" i="1" s="1"/>
  <c r="G32" i="1"/>
  <c r="M31" i="1"/>
  <c r="J31" i="1"/>
  <c r="H31" i="1"/>
  <c r="I31" i="1" s="1"/>
  <c r="G31" i="1"/>
  <c r="M30" i="1"/>
  <c r="J30" i="1"/>
  <c r="H30" i="1"/>
  <c r="I30" i="1" s="1"/>
  <c r="G30" i="1"/>
  <c r="M29" i="1"/>
  <c r="J29" i="1"/>
  <c r="I29" i="1"/>
  <c r="H29" i="1"/>
  <c r="G29" i="1"/>
  <c r="M28" i="1"/>
  <c r="J28" i="1"/>
  <c r="I28" i="1"/>
  <c r="H28" i="1"/>
  <c r="G28" i="1"/>
  <c r="M27" i="1"/>
  <c r="J27" i="1"/>
  <c r="I27" i="1"/>
  <c r="H27" i="1"/>
  <c r="G27" i="1"/>
  <c r="M26" i="1"/>
  <c r="J26" i="1"/>
  <c r="I26" i="1"/>
  <c r="H26" i="1"/>
  <c r="G26" i="1"/>
  <c r="M25" i="1"/>
  <c r="J25" i="1"/>
  <c r="H25" i="1"/>
  <c r="I25" i="1" s="1"/>
  <c r="G25" i="1"/>
  <c r="M24" i="1"/>
  <c r="J24" i="1"/>
  <c r="H24" i="1"/>
  <c r="I24" i="1" s="1"/>
  <c r="G24" i="1"/>
  <c r="M23" i="1"/>
  <c r="J23" i="1"/>
  <c r="I23" i="1"/>
  <c r="H23" i="1"/>
  <c r="G23" i="1"/>
  <c r="M22" i="1"/>
  <c r="J22" i="1"/>
  <c r="I22" i="1"/>
  <c r="H22" i="1"/>
  <c r="G22" i="1"/>
  <c r="M21" i="1"/>
  <c r="J21" i="1"/>
  <c r="I21" i="1"/>
  <c r="H21" i="1"/>
  <c r="G21" i="1"/>
  <c r="M20" i="1"/>
  <c r="J20" i="1"/>
  <c r="I20" i="1"/>
  <c r="H20" i="1"/>
  <c r="G20" i="1"/>
  <c r="M19" i="1"/>
  <c r="J19" i="1"/>
  <c r="I19" i="1"/>
  <c r="H19" i="1"/>
  <c r="G19" i="1"/>
  <c r="M18" i="1"/>
  <c r="J18" i="1"/>
  <c r="H18" i="1"/>
  <c r="I18" i="1" s="1"/>
  <c r="G18" i="1"/>
  <c r="M17" i="1"/>
  <c r="J17" i="1"/>
  <c r="H17" i="1"/>
  <c r="I17" i="1" s="1"/>
  <c r="G17" i="1"/>
  <c r="M16" i="1"/>
  <c r="J16" i="1"/>
  <c r="H16" i="1"/>
  <c r="I16" i="1" s="1"/>
  <c r="G16" i="1"/>
  <c r="M15" i="1"/>
  <c r="J15" i="1"/>
  <c r="H15" i="1"/>
  <c r="I15" i="1" s="1"/>
  <c r="G15" i="1"/>
  <c r="BN111" i="1"/>
  <c r="D111" i="1" l="1"/>
  <c r="F111" i="1"/>
  <c r="AF91" i="3"/>
  <c r="AF87" i="3"/>
  <c r="AF79" i="3"/>
  <c r="P97" i="3"/>
  <c r="AS92" i="3"/>
  <c r="AT92" i="3"/>
  <c r="AU92" i="3"/>
  <c r="AS96" i="3"/>
  <c r="AT96" i="3"/>
  <c r="AU96" i="3"/>
  <c r="AD97" i="3"/>
  <c r="AF97" i="3"/>
  <c r="AD98" i="3"/>
  <c r="AE98" i="3"/>
  <c r="AF98" i="3"/>
  <c r="AS98" i="3"/>
  <c r="AT98" i="3"/>
  <c r="AU98" i="3"/>
  <c r="AS99" i="3"/>
  <c r="AT99" i="3"/>
  <c r="AU99" i="3"/>
  <c r="AE102" i="3"/>
  <c r="AF102" i="3"/>
  <c r="AS103" i="3"/>
  <c r="AT103" i="3"/>
  <c r="AU103" i="3"/>
  <c r="AS104" i="3"/>
  <c r="AT104" i="3"/>
  <c r="AU104" i="3"/>
  <c r="AS105" i="3"/>
  <c r="AT105" i="3"/>
  <c r="AU105" i="3"/>
  <c r="AS106" i="3"/>
  <c r="AT106" i="3"/>
  <c r="AU106" i="3"/>
  <c r="AS107" i="3"/>
  <c r="AT107" i="3"/>
  <c r="AU107" i="3"/>
  <c r="AS108" i="3"/>
  <c r="AT108" i="3"/>
  <c r="AU108" i="3"/>
  <c r="AS109" i="3"/>
  <c r="AT109" i="3"/>
  <c r="AU109" i="3"/>
  <c r="AS110" i="3"/>
  <c r="AT110" i="3"/>
  <c r="AU110" i="3"/>
  <c r="AF59" i="3" l="1"/>
  <c r="AF55" i="3"/>
  <c r="AF63" i="3"/>
  <c r="AU47" i="3"/>
  <c r="AF51" i="3"/>
  <c r="AD42" i="3"/>
  <c r="AS43" i="3"/>
  <c r="AS39" i="3"/>
  <c r="P93" i="3"/>
  <c r="AT94" i="3"/>
  <c r="AU94" i="3"/>
  <c r="AS94" i="3"/>
  <c r="AU75" i="3"/>
  <c r="AS75" i="3"/>
  <c r="AT75" i="3"/>
  <c r="AU91" i="3"/>
  <c r="AS91" i="3"/>
  <c r="AT91" i="3"/>
  <c r="AU97" i="3"/>
  <c r="AS97" i="3"/>
  <c r="AT97" i="3"/>
  <c r="AD99" i="3"/>
  <c r="AF99" i="3"/>
  <c r="AU89" i="3"/>
  <c r="AS89" i="3"/>
  <c r="AT89" i="3"/>
  <c r="AS100" i="3"/>
  <c r="AT100" i="3"/>
  <c r="AU100" i="3"/>
  <c r="AU102" i="3"/>
  <c r="AS102" i="3"/>
  <c r="AT102" i="3"/>
  <c r="AT101" i="3"/>
  <c r="AU101" i="3"/>
  <c r="AS101" i="3"/>
  <c r="AF103" i="3"/>
  <c r="AD103" i="3"/>
  <c r="AU85" i="3"/>
  <c r="AS85" i="3"/>
  <c r="AT85" i="3"/>
  <c r="AU95" i="3"/>
  <c r="AS95" i="3"/>
  <c r="AT95" i="3"/>
  <c r="AT86" i="3"/>
  <c r="AU86" i="3"/>
  <c r="AS86" i="3"/>
  <c r="AS88" i="3"/>
  <c r="AT88" i="3"/>
  <c r="AU88" i="3"/>
  <c r="AU93" i="3"/>
  <c r="AS93" i="3"/>
  <c r="AT93" i="3"/>
  <c r="AS81" i="3"/>
  <c r="AT81" i="3"/>
  <c r="AU81" i="3"/>
  <c r="AU87" i="3"/>
  <c r="AS87" i="3"/>
  <c r="AT87" i="3"/>
  <c r="AT90" i="3"/>
  <c r="AU90" i="3"/>
  <c r="AS90" i="3"/>
  <c r="AU54" i="3"/>
  <c r="AS54" i="3"/>
  <c r="AT54" i="3"/>
  <c r="AT63" i="3"/>
  <c r="AU63" i="3"/>
  <c r="AS63" i="3"/>
  <c r="AT62" i="3"/>
  <c r="AS62" i="3"/>
  <c r="AU62" i="3"/>
  <c r="AT82" i="3"/>
  <c r="AU82" i="3"/>
  <c r="AS82" i="3"/>
  <c r="AT79" i="3"/>
  <c r="AS79" i="3"/>
  <c r="AU79" i="3"/>
  <c r="AT84" i="3"/>
  <c r="AU84" i="3"/>
  <c r="AS84" i="3"/>
  <c r="AF67" i="3"/>
  <c r="AS64" i="3"/>
  <c r="AU64" i="3"/>
  <c r="AT64" i="3"/>
  <c r="AT80" i="3"/>
  <c r="AU80" i="3"/>
  <c r="AS80" i="3"/>
  <c r="AF83" i="3"/>
  <c r="AT83" i="3"/>
  <c r="AS83" i="3"/>
  <c r="AU83" i="3"/>
  <c r="AS35" i="3"/>
  <c r="AS55" i="3"/>
  <c r="AU55" i="3"/>
  <c r="AT55" i="3"/>
  <c r="AS61" i="3"/>
  <c r="AU61" i="3"/>
  <c r="AT61" i="3"/>
  <c r="AS65" i="3"/>
  <c r="AU65" i="3"/>
  <c r="AT65" i="3"/>
  <c r="AS72" i="3"/>
  <c r="AU72" i="3"/>
  <c r="AT72" i="3"/>
  <c r="AS74" i="3"/>
  <c r="AU74" i="3"/>
  <c r="AT74" i="3"/>
  <c r="AT73" i="3"/>
  <c r="AU73" i="3"/>
  <c r="AS73" i="3"/>
  <c r="AS56" i="3"/>
  <c r="AU56" i="3"/>
  <c r="AT56" i="3"/>
  <c r="AD68" i="3"/>
  <c r="AF68" i="3"/>
  <c r="AE68" i="3"/>
  <c r="AD71" i="3"/>
  <c r="AE71" i="3"/>
  <c r="AF71" i="3"/>
  <c r="AT77" i="3"/>
  <c r="AU77" i="3"/>
  <c r="AS77" i="3"/>
  <c r="AE58" i="3"/>
  <c r="AF58" i="3"/>
  <c r="AS68" i="3"/>
  <c r="AU68" i="3"/>
  <c r="AT68" i="3"/>
  <c r="AS70" i="3"/>
  <c r="AU70" i="3"/>
  <c r="AT70" i="3"/>
  <c r="AS60" i="3"/>
  <c r="AT60" i="3"/>
  <c r="AU60" i="3"/>
  <c r="AD78" i="3"/>
  <c r="AF78" i="3"/>
  <c r="AE78" i="3"/>
  <c r="AT67" i="3"/>
  <c r="AU67" i="3"/>
  <c r="AS67" i="3"/>
  <c r="AD76" i="3"/>
  <c r="AF76" i="3"/>
  <c r="AE76" i="3"/>
  <c r="AE62" i="3"/>
  <c r="AF62" i="3"/>
  <c r="AD69" i="3"/>
  <c r="AE69" i="3"/>
  <c r="AF69" i="3"/>
  <c r="AS78" i="3"/>
  <c r="AU78" i="3"/>
  <c r="AT78" i="3"/>
  <c r="AE54" i="3"/>
  <c r="AF54" i="3"/>
  <c r="AD57" i="3"/>
  <c r="AF57" i="3"/>
  <c r="AT58" i="3"/>
  <c r="AS58" i="3"/>
  <c r="AU58" i="3"/>
  <c r="AD61" i="3"/>
  <c r="AF61" i="3"/>
  <c r="AD70" i="3"/>
  <c r="AF70" i="3"/>
  <c r="AE70" i="3"/>
  <c r="AD74" i="3"/>
  <c r="AF74" i="3"/>
  <c r="AE74" i="3"/>
  <c r="AT71" i="3"/>
  <c r="AU71" i="3"/>
  <c r="AS71" i="3"/>
  <c r="AS76" i="3"/>
  <c r="AU76" i="3"/>
  <c r="AT76" i="3"/>
  <c r="AU57" i="3"/>
  <c r="AS57" i="3"/>
  <c r="AT57" i="3"/>
  <c r="AS66" i="3"/>
  <c r="AT66" i="3"/>
  <c r="AU66" i="3"/>
  <c r="AT69" i="3"/>
  <c r="AU69" i="3"/>
  <c r="AS69" i="3"/>
  <c r="AD72" i="3"/>
  <c r="AF72" i="3"/>
  <c r="AE72" i="3"/>
  <c r="AD73" i="3"/>
  <c r="AE73" i="3"/>
  <c r="AF73" i="3"/>
  <c r="AD75" i="3"/>
  <c r="AE75" i="3"/>
  <c r="AF75" i="3"/>
  <c r="AT59" i="3"/>
  <c r="AU59" i="3"/>
  <c r="AS59" i="3"/>
  <c r="AD77" i="3"/>
  <c r="AE77" i="3"/>
  <c r="AF77" i="3"/>
  <c r="AS31" i="3"/>
  <c r="AS27" i="3"/>
  <c r="AS48" i="3"/>
  <c r="AU48" i="3"/>
  <c r="AT48" i="3"/>
  <c r="AU50" i="3"/>
  <c r="AS50" i="3"/>
  <c r="AT50" i="3"/>
  <c r="AU52" i="3"/>
  <c r="AT52" i="3"/>
  <c r="AS52" i="3"/>
  <c r="AS51" i="3"/>
  <c r="AT51" i="3"/>
  <c r="AU51" i="3"/>
  <c r="AT46" i="3"/>
  <c r="AS46" i="3"/>
  <c r="AU46" i="3"/>
  <c r="AU49" i="3"/>
  <c r="AS49" i="3"/>
  <c r="AT49" i="3"/>
  <c r="AT53" i="3"/>
  <c r="AU53" i="3"/>
  <c r="AS53" i="3"/>
  <c r="O100" i="3"/>
  <c r="Q100" i="3"/>
  <c r="P100" i="3"/>
  <c r="O102" i="3"/>
  <c r="Q102" i="3"/>
  <c r="P102" i="3"/>
  <c r="O105" i="3"/>
  <c r="Q105" i="3"/>
  <c r="O108" i="3"/>
  <c r="P108" i="3"/>
  <c r="Q108" i="3"/>
  <c r="O99" i="3"/>
  <c r="P99" i="3"/>
  <c r="Q99" i="3"/>
  <c r="P103" i="3"/>
  <c r="O103" i="3"/>
  <c r="Q103" i="3"/>
  <c r="O101" i="3"/>
  <c r="P101" i="3"/>
  <c r="Q101" i="3"/>
  <c r="O110" i="3"/>
  <c r="P110" i="3"/>
  <c r="Q110" i="3"/>
  <c r="P91" i="3"/>
  <c r="P87" i="3"/>
  <c r="P79" i="3"/>
  <c r="P83" i="3"/>
  <c r="Q53" i="3"/>
  <c r="O106" i="3"/>
  <c r="P106" i="3"/>
  <c r="Q106" i="3"/>
  <c r="O104" i="3"/>
  <c r="P104" i="3"/>
  <c r="Q104" i="3"/>
  <c r="Q68" i="3"/>
  <c r="O68" i="3"/>
  <c r="P98" i="3"/>
  <c r="Q98" i="3"/>
  <c r="O98" i="3"/>
  <c r="Q66" i="3"/>
  <c r="P66" i="3"/>
  <c r="O66" i="3"/>
  <c r="O82" i="3"/>
  <c r="P82" i="3"/>
  <c r="Q82" i="3"/>
  <c r="P78" i="3"/>
  <c r="O78" i="3"/>
  <c r="Q78" i="3"/>
  <c r="O67" i="3"/>
  <c r="Q67" i="3"/>
  <c r="O57" i="3"/>
  <c r="Q57" i="3"/>
  <c r="P57" i="3"/>
  <c r="P69" i="3"/>
  <c r="O69" i="3"/>
  <c r="Q69" i="3"/>
  <c r="P85" i="3"/>
  <c r="P59" i="3"/>
  <c r="O62" i="3"/>
  <c r="P62" i="3"/>
  <c r="Q62" i="3"/>
  <c r="P61" i="3"/>
  <c r="O33" i="3"/>
  <c r="O50" i="3"/>
  <c r="Q50" i="3"/>
  <c r="P50" i="3"/>
  <c r="O64" i="3"/>
  <c r="Q64" i="3"/>
  <c r="O74" i="3"/>
  <c r="P74" i="3"/>
  <c r="Q74" i="3"/>
  <c r="P76" i="3"/>
  <c r="Q76" i="3"/>
  <c r="O76" i="3"/>
  <c r="O80" i="3"/>
  <c r="P80" i="3"/>
  <c r="Q80" i="3"/>
  <c r="P84" i="3"/>
  <c r="Q84" i="3"/>
  <c r="O84" i="3"/>
  <c r="P89" i="3"/>
  <c r="P54" i="3"/>
  <c r="O54" i="3"/>
  <c r="Q54" i="3"/>
  <c r="P75" i="3"/>
  <c r="Q75" i="3"/>
  <c r="O75" i="3"/>
  <c r="P77" i="3"/>
  <c r="O77" i="3"/>
  <c r="Q77" i="3"/>
  <c r="P81" i="3"/>
  <c r="P94" i="3"/>
  <c r="O94" i="3"/>
  <c r="Q94" i="3"/>
  <c r="P96" i="3"/>
  <c r="Q96" i="3"/>
  <c r="O96" i="3"/>
  <c r="P72" i="3"/>
  <c r="Q72" i="3"/>
  <c r="O72" i="3"/>
  <c r="P56" i="3"/>
  <c r="P71" i="3"/>
  <c r="Q71" i="3"/>
  <c r="O71" i="3"/>
  <c r="P73" i="3"/>
  <c r="O73" i="3"/>
  <c r="Q73" i="3"/>
  <c r="O92" i="3"/>
  <c r="P92" i="3"/>
  <c r="Q92" i="3"/>
  <c r="Q47" i="3"/>
  <c r="O107" i="3"/>
  <c r="Q107" i="3"/>
  <c r="P107" i="3"/>
  <c r="O29" i="3"/>
  <c r="O60" i="3"/>
  <c r="P60" i="3"/>
  <c r="Q60" i="3"/>
  <c r="Q65" i="3"/>
  <c r="O70" i="3"/>
  <c r="P70" i="3"/>
  <c r="Q70" i="3"/>
  <c r="P52" i="3"/>
  <c r="O52" i="3"/>
  <c r="Q52" i="3"/>
  <c r="Q88" i="3"/>
  <c r="O88" i="3"/>
  <c r="P88" i="3"/>
  <c r="P90" i="3"/>
  <c r="O90" i="3"/>
  <c r="Q90" i="3"/>
  <c r="Q109" i="3"/>
  <c r="P109" i="3"/>
  <c r="O109" i="3"/>
  <c r="O86" i="3"/>
  <c r="P86" i="3"/>
  <c r="Q86" i="3"/>
  <c r="P55" i="3"/>
  <c r="Q55" i="3"/>
  <c r="O55" i="3"/>
  <c r="P95" i="3"/>
  <c r="P25" i="3"/>
  <c r="AT25" i="3"/>
  <c r="AS25" i="3"/>
  <c r="AU25" i="3"/>
  <c r="AS24" i="3"/>
  <c r="AT24" i="3"/>
  <c r="AU24" i="3"/>
  <c r="AS22" i="3"/>
  <c r="AT22" i="3"/>
  <c r="AU22" i="3"/>
  <c r="AS16" i="3"/>
  <c r="AT16" i="3"/>
  <c r="AU16" i="3"/>
  <c r="AS20" i="3"/>
  <c r="AT20" i="3"/>
  <c r="AU20" i="3"/>
  <c r="AT23" i="3"/>
  <c r="AU23" i="3"/>
  <c r="AS15" i="3"/>
  <c r="AT15" i="3"/>
  <c r="AU15" i="3"/>
  <c r="AU18" i="3"/>
  <c r="AS18" i="3"/>
  <c r="AT18" i="3"/>
  <c r="AU19" i="3"/>
  <c r="AT19" i="3"/>
  <c r="AT21" i="3"/>
  <c r="AS21" i="3"/>
  <c r="AU21" i="3"/>
  <c r="AU17" i="3"/>
  <c r="AS17" i="3"/>
  <c r="AT17" i="3"/>
  <c r="O20" i="3"/>
  <c r="AS19" i="3"/>
  <c r="AS23" i="3"/>
  <c r="O48" i="3"/>
  <c r="P48" i="3"/>
  <c r="Q48" i="3"/>
  <c r="P19" i="3"/>
  <c r="Q19" i="3"/>
  <c r="O22" i="3"/>
  <c r="P22" i="3"/>
  <c r="P24" i="3"/>
  <c r="Q24" i="3"/>
  <c r="O24" i="3"/>
  <c r="Q17" i="3"/>
  <c r="O41" i="3"/>
  <c r="O15" i="3"/>
  <c r="Q16" i="3"/>
  <c r="O37" i="3"/>
  <c r="Q20" i="3"/>
  <c r="P18" i="3"/>
  <c r="P17" i="3"/>
  <c r="P16" i="3"/>
  <c r="O79" i="3"/>
  <c r="Q79" i="3"/>
  <c r="Q58" i="3"/>
  <c r="O58" i="3"/>
  <c r="P58" i="3"/>
  <c r="P65" i="3"/>
  <c r="O65" i="3"/>
  <c r="P67" i="3"/>
  <c r="O19" i="3"/>
  <c r="O85" i="3"/>
  <c r="Q85" i="3"/>
  <c r="O95" i="3"/>
  <c r="Q95" i="3"/>
  <c r="Q22" i="3"/>
  <c r="O16" i="3"/>
  <c r="O25" i="3"/>
  <c r="Q25" i="3"/>
  <c r="O45" i="3"/>
  <c r="O81" i="3"/>
  <c r="Q81" i="3"/>
  <c r="O89" i="3"/>
  <c r="Q89" i="3"/>
  <c r="Q15" i="3"/>
  <c r="P15" i="3"/>
  <c r="O17" i="3"/>
  <c r="P20" i="3"/>
  <c r="P53" i="3"/>
  <c r="O53" i="3"/>
  <c r="O56" i="3"/>
  <c r="Q56" i="3"/>
  <c r="O61" i="3"/>
  <c r="Q61" i="3"/>
  <c r="Q63" i="3"/>
  <c r="O63" i="3"/>
  <c r="P63" i="3"/>
  <c r="P64" i="3"/>
  <c r="Q23" i="3"/>
  <c r="O23" i="3"/>
  <c r="P23" i="3"/>
  <c r="O59" i="3"/>
  <c r="Q59" i="3"/>
  <c r="P68" i="3"/>
  <c r="O83" i="3"/>
  <c r="Q83" i="3"/>
  <c r="O91" i="3"/>
  <c r="Q91" i="3"/>
  <c r="O93" i="3"/>
  <c r="Q93" i="3"/>
  <c r="O18" i="3"/>
  <c r="Q18" i="3"/>
  <c r="Q51" i="3"/>
  <c r="O51" i="3"/>
  <c r="P51" i="3"/>
  <c r="P105" i="3"/>
  <c r="O21" i="3"/>
  <c r="Q21" i="3"/>
  <c r="P21" i="3"/>
  <c r="Q49" i="3"/>
  <c r="O49" i="3"/>
  <c r="P49" i="3"/>
  <c r="O87" i="3"/>
  <c r="Q87" i="3"/>
  <c r="O97" i="3"/>
  <c r="Q97" i="3"/>
  <c r="AD15" i="3"/>
  <c r="AE22" i="3"/>
  <c r="AE21" i="3"/>
  <c r="AD21" i="3"/>
  <c r="AD24" i="3"/>
  <c r="AF24" i="3"/>
  <c r="AF25" i="3"/>
  <c r="AD25" i="3"/>
  <c r="AE47" i="3"/>
  <c r="AF47" i="3"/>
  <c r="AD49" i="3"/>
  <c r="AF49" i="3"/>
  <c r="AE50" i="3"/>
  <c r="AF50" i="3"/>
  <c r="AF53" i="3"/>
  <c r="AD53" i="3"/>
  <c r="AD65" i="3"/>
  <c r="AF65" i="3"/>
  <c r="AE66" i="3"/>
  <c r="AF66" i="3"/>
  <c r="AF81" i="3"/>
  <c r="AD81" i="3"/>
  <c r="AE82" i="3"/>
  <c r="AF82" i="3"/>
  <c r="AD85" i="3"/>
  <c r="AF85" i="3"/>
  <c r="AE86" i="3"/>
  <c r="AF86" i="3"/>
  <c r="AD89" i="3"/>
  <c r="AF89" i="3"/>
  <c r="AF90" i="3"/>
  <c r="AE90" i="3"/>
  <c r="AF93" i="3"/>
  <c r="AD93" i="3"/>
  <c r="AE94" i="3"/>
  <c r="AF94" i="3"/>
  <c r="AF95" i="3"/>
  <c r="AD95" i="3"/>
  <c r="AF101" i="3"/>
  <c r="AD101" i="3"/>
  <c r="AD105" i="3"/>
  <c r="AF105" i="3"/>
  <c r="AF106" i="3"/>
  <c r="AE106" i="3"/>
  <c r="AF107" i="3"/>
  <c r="AD107" i="3"/>
  <c r="AE107" i="3"/>
  <c r="AD108" i="3"/>
  <c r="AF108" i="3"/>
  <c r="AE108" i="3"/>
  <c r="AD109" i="3"/>
  <c r="AE109" i="3"/>
  <c r="AF109" i="3"/>
  <c r="AD110" i="3"/>
  <c r="AF110" i="3"/>
  <c r="AE110" i="3"/>
  <c r="AE19" i="3"/>
  <c r="AE85" i="3"/>
  <c r="AE93" i="3"/>
  <c r="AD102" i="3"/>
  <c r="AE61" i="3"/>
  <c r="AD62" i="3"/>
  <c r="AD86" i="3"/>
  <c r="AD94" i="3"/>
  <c r="AE18" i="3"/>
  <c r="AE49" i="3"/>
  <c r="AD58" i="3"/>
  <c r="AE99" i="3"/>
  <c r="AE65" i="3"/>
  <c r="AE95" i="3"/>
  <c r="AE105" i="3"/>
  <c r="AD48" i="3"/>
  <c r="AE103" i="3"/>
  <c r="AD30" i="3"/>
  <c r="AD34" i="3"/>
  <c r="AD38" i="3"/>
  <c r="AD54" i="3"/>
  <c r="AE57" i="3"/>
  <c r="AE89" i="3"/>
  <c r="AD90" i="3"/>
  <c r="AE101" i="3"/>
  <c r="AF15" i="3"/>
  <c r="AE24" i="3"/>
  <c r="AD66" i="3"/>
  <c r="AD106" i="3"/>
  <c r="AE25" i="3"/>
  <c r="AD46" i="3"/>
  <c r="AD47" i="3"/>
  <c r="AD50" i="3"/>
  <c r="AE53" i="3"/>
  <c r="AE97" i="3"/>
  <c r="AF16" i="3"/>
  <c r="AD17" i="3"/>
  <c r="AD82" i="3"/>
  <c r="AD19" i="3"/>
  <c r="AF19" i="3"/>
  <c r="AE63" i="3"/>
  <c r="AD63" i="3"/>
  <c r="AD64" i="3"/>
  <c r="AE64" i="3"/>
  <c r="AF64" i="3"/>
  <c r="AD20" i="3"/>
  <c r="AE20" i="3"/>
  <c r="AF20" i="3"/>
  <c r="AD52" i="3"/>
  <c r="AE52" i="3"/>
  <c r="AF52" i="3"/>
  <c r="AE55" i="3"/>
  <c r="AD55" i="3"/>
  <c r="AE79" i="3"/>
  <c r="AD79" i="3"/>
  <c r="AE81" i="3"/>
  <c r="AE67" i="3"/>
  <c r="AD67" i="3"/>
  <c r="AE87" i="3"/>
  <c r="AD87" i="3"/>
  <c r="AE15" i="3"/>
  <c r="AF21" i="3"/>
  <c r="AD60" i="3"/>
  <c r="AE60" i="3"/>
  <c r="AF60" i="3"/>
  <c r="AD80" i="3"/>
  <c r="AE80" i="3"/>
  <c r="AF80" i="3"/>
  <c r="AD88" i="3"/>
  <c r="AE88" i="3"/>
  <c r="AF88" i="3"/>
  <c r="AD96" i="3"/>
  <c r="AE96" i="3"/>
  <c r="AF96" i="3"/>
  <c r="AF18" i="3"/>
  <c r="AD22" i="3"/>
  <c r="AF22" i="3"/>
  <c r="AD84" i="3"/>
  <c r="AE84" i="3"/>
  <c r="AF84" i="3"/>
  <c r="AE48" i="3"/>
  <c r="AF48" i="3"/>
  <c r="AE51" i="3"/>
  <c r="AD51" i="3"/>
  <c r="AE16" i="3"/>
  <c r="AD16" i="3"/>
  <c r="AF23" i="3"/>
  <c r="AD23" i="3"/>
  <c r="AE23" i="3"/>
  <c r="AE17" i="3"/>
  <c r="AF17" i="3"/>
  <c r="AE83" i="3"/>
  <c r="AD83" i="3"/>
  <c r="AE91" i="3"/>
  <c r="AD91" i="3"/>
  <c r="AD56" i="3"/>
  <c r="AE56" i="3"/>
  <c r="AF56" i="3"/>
  <c r="AE59" i="3"/>
  <c r="AD59" i="3"/>
  <c r="AD92" i="3"/>
  <c r="AE92" i="3"/>
  <c r="AF92" i="3"/>
  <c r="AD104" i="3"/>
  <c r="AE104" i="3"/>
  <c r="AF104" i="3"/>
  <c r="AD18" i="3"/>
  <c r="AD100" i="3"/>
  <c r="AE100" i="3"/>
  <c r="AF100" i="3"/>
  <c r="AS47" i="3"/>
  <c r="AT47" i="3"/>
  <c r="O47" i="3"/>
  <c r="P47" i="3"/>
  <c r="O46" i="3"/>
  <c r="P46" i="3"/>
  <c r="Q46" i="3"/>
  <c r="AS45" i="3"/>
  <c r="AT45" i="3"/>
  <c r="AU45" i="3"/>
  <c r="AD45" i="3"/>
  <c r="AE45" i="3"/>
  <c r="AF45" i="3"/>
  <c r="AS44" i="3"/>
  <c r="AT44" i="3"/>
  <c r="AU44" i="3"/>
  <c r="AD44" i="3"/>
  <c r="AE44" i="3"/>
  <c r="AF44" i="3"/>
  <c r="O44" i="3"/>
  <c r="P44" i="3"/>
  <c r="Q44" i="3"/>
  <c r="AD43" i="3"/>
  <c r="AE43" i="3"/>
  <c r="AF43" i="3"/>
  <c r="O43" i="3"/>
  <c r="P43" i="3"/>
  <c r="Q43" i="3"/>
  <c r="AS42" i="3"/>
  <c r="AT42" i="3"/>
  <c r="AU42" i="3"/>
  <c r="O42" i="3"/>
  <c r="P42" i="3"/>
  <c r="Q42" i="3"/>
  <c r="AS41" i="3"/>
  <c r="AT41" i="3"/>
  <c r="AU41" i="3"/>
  <c r="AD41" i="3"/>
  <c r="AE41" i="3"/>
  <c r="AF41" i="3"/>
  <c r="AS40" i="3"/>
  <c r="AT40" i="3"/>
  <c r="AU40" i="3"/>
  <c r="AD40" i="3"/>
  <c r="AE40" i="3"/>
  <c r="AF40" i="3"/>
  <c r="O40" i="3"/>
  <c r="P40" i="3"/>
  <c r="Q40" i="3"/>
  <c r="AD39" i="3"/>
  <c r="AE39" i="3"/>
  <c r="AF39" i="3"/>
  <c r="O39" i="3"/>
  <c r="P39" i="3"/>
  <c r="Q39" i="3"/>
  <c r="AS38" i="3"/>
  <c r="AT38" i="3"/>
  <c r="AU38" i="3"/>
  <c r="O38" i="3"/>
  <c r="P38" i="3"/>
  <c r="Q38" i="3"/>
  <c r="AS37" i="3"/>
  <c r="AT37" i="3"/>
  <c r="AU37" i="3"/>
  <c r="AD37" i="3"/>
  <c r="AE37" i="3"/>
  <c r="AF37" i="3"/>
  <c r="AS36" i="3"/>
  <c r="AT36" i="3"/>
  <c r="AU36" i="3"/>
  <c r="AD36" i="3"/>
  <c r="AE36" i="3"/>
  <c r="AF36" i="3"/>
  <c r="O36" i="3"/>
  <c r="P36" i="3"/>
  <c r="Q36" i="3"/>
  <c r="AD35" i="3"/>
  <c r="AE35" i="3"/>
  <c r="AF35" i="3"/>
  <c r="O35" i="3"/>
  <c r="P35" i="3"/>
  <c r="Q35" i="3"/>
  <c r="AS34" i="3"/>
  <c r="AT34" i="3"/>
  <c r="AU34" i="3"/>
  <c r="O34" i="3"/>
  <c r="P34" i="3"/>
  <c r="Q34" i="3"/>
  <c r="AS33" i="3"/>
  <c r="AT33" i="3"/>
  <c r="AU33" i="3"/>
  <c r="AD33" i="3"/>
  <c r="AE33" i="3"/>
  <c r="AF33" i="3"/>
  <c r="AS32" i="3"/>
  <c r="AT32" i="3"/>
  <c r="AU32" i="3"/>
  <c r="AD32" i="3"/>
  <c r="AE32" i="3"/>
  <c r="AF32" i="3"/>
  <c r="O32" i="3"/>
  <c r="P32" i="3"/>
  <c r="Q32" i="3"/>
  <c r="AD31" i="3"/>
  <c r="AE31" i="3"/>
  <c r="AF31" i="3"/>
  <c r="O31" i="3"/>
  <c r="P31" i="3"/>
  <c r="Q31" i="3"/>
  <c r="AS30" i="3"/>
  <c r="AT30" i="3"/>
  <c r="AU30" i="3"/>
  <c r="O30" i="3"/>
  <c r="P30" i="3"/>
  <c r="Q30" i="3"/>
  <c r="AS29" i="3"/>
  <c r="AT29" i="3"/>
  <c r="AU29" i="3"/>
  <c r="AD29" i="3"/>
  <c r="AE29" i="3"/>
  <c r="AF29" i="3"/>
  <c r="AS28" i="3"/>
  <c r="AT28" i="3"/>
  <c r="AU28" i="3"/>
  <c r="AD28" i="3"/>
  <c r="AE28" i="3"/>
  <c r="AF28" i="3"/>
  <c r="O28" i="3"/>
  <c r="P28" i="3"/>
  <c r="Q28" i="3"/>
  <c r="AD27" i="3"/>
  <c r="AE27" i="3"/>
  <c r="AF27" i="3"/>
  <c r="O27" i="3"/>
  <c r="P27" i="3"/>
  <c r="Q27" i="3"/>
  <c r="AS26" i="3"/>
  <c r="AT26" i="3"/>
  <c r="AU26" i="3"/>
  <c r="AD26" i="3"/>
  <c r="AE26" i="3"/>
  <c r="AF26" i="3"/>
  <c r="O26" i="3"/>
  <c r="P26" i="3"/>
  <c r="Q26" i="3"/>
  <c r="AF46" i="3"/>
  <c r="Q45" i="3"/>
  <c r="AU43" i="3"/>
  <c r="AF42" i="3"/>
  <c r="Q41" i="3"/>
  <c r="AU39" i="3"/>
  <c r="AF38" i="3"/>
  <c r="Q37" i="3"/>
  <c r="AU35" i="3"/>
  <c r="AF34" i="3"/>
  <c r="Q33" i="3"/>
  <c r="AU31" i="3"/>
  <c r="AF30" i="3"/>
  <c r="Q29" i="3"/>
  <c r="AU27" i="3"/>
  <c r="AE46" i="3"/>
  <c r="P45" i="3"/>
  <c r="AT43" i="3"/>
  <c r="AE42" i="3"/>
  <c r="P41" i="3"/>
  <c r="AT39" i="3"/>
  <c r="AE38" i="3"/>
  <c r="P37" i="3"/>
  <c r="AT35" i="3"/>
  <c r="AE34" i="3"/>
  <c r="P33" i="3"/>
  <c r="AT31" i="3"/>
  <c r="AE30" i="3"/>
  <c r="P29" i="3"/>
  <c r="AT27" i="3"/>
  <c r="AA15" i="1" l="1" a="1"/>
  <c r="AA15" i="1" s="1"/>
  <c r="AB15" i="1" a="1"/>
  <c r="AB15" i="1" s="1"/>
  <c r="AC15" i="1" a="1"/>
  <c r="AC15" i="1" s="1"/>
  <c r="AM15" i="1"/>
  <c r="AP15" i="1"/>
  <c r="AJ15" i="1"/>
  <c r="AI15" i="1"/>
  <c r="AK15" i="1"/>
  <c r="AN15" i="1"/>
  <c r="AV15" i="1" a="1"/>
  <c r="AV15" i="1" s="1"/>
  <c r="AW15" i="1" a="1"/>
  <c r="AW15" i="1" s="1"/>
  <c r="AX15" i="1" a="1"/>
  <c r="AX15" i="1" s="1"/>
  <c r="AY15" i="1" a="1"/>
  <c r="AY15" i="1" s="1"/>
  <c r="AZ15" i="1" a="1"/>
  <c r="AZ15" i="1" s="1"/>
  <c r="BA15" i="1" a="1"/>
  <c r="BA15" i="1" s="1"/>
  <c r="BB15" i="1" a="1"/>
  <c r="BB15" i="1" s="1"/>
  <c r="BC15" i="1" a="1"/>
  <c r="BC15" i="1" s="1"/>
  <c r="BD15" i="1" a="1"/>
  <c r="BD15" i="1" s="1"/>
  <c r="BE15" i="1" a="1"/>
  <c r="BE15" i="1" s="1"/>
  <c r="BF15" i="1" a="1"/>
  <c r="BF15" i="1" s="1"/>
  <c r="AU15" i="1" a="1"/>
  <c r="AU15" i="1" s="1"/>
  <c r="AO15" i="1"/>
  <c r="AH15" i="1"/>
  <c r="AL15" i="1"/>
  <c r="AE15" i="1"/>
  <c r="AG15" i="1"/>
  <c r="AF15" i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O15" i="1" a="1"/>
  <c r="O15" i="1" s="1"/>
  <c r="BW5" i="1"/>
  <c r="BW9" i="1"/>
  <c r="BW10" i="1"/>
  <c r="BA16" i="1" l="1" a="1"/>
  <c r="BA16" i="1" s="1"/>
  <c r="BB16" i="1" a="1"/>
  <c r="BB16" i="1" s="1"/>
  <c r="BC16" i="1" a="1"/>
  <c r="BC16" i="1" s="1"/>
  <c r="BD16" i="1" a="1"/>
  <c r="BD16" i="1" s="1"/>
  <c r="BE16" i="1" a="1"/>
  <c r="BE16" i="1" s="1"/>
  <c r="BF16" i="1" a="1"/>
  <c r="BF16" i="1" s="1"/>
  <c r="AL16" i="1"/>
  <c r="AY16" i="1" a="1"/>
  <c r="AY16" i="1" s="1"/>
  <c r="AM16" i="1"/>
  <c r="AK16" i="1"/>
  <c r="AJ16" i="1"/>
  <c r="AI16" i="1"/>
  <c r="AH16" i="1"/>
  <c r="AZ16" i="1" a="1"/>
  <c r="AZ16" i="1" s="1"/>
  <c r="AX16" i="1" a="1"/>
  <c r="AX16" i="1" s="1"/>
  <c r="AU16" i="1" a="1"/>
  <c r="AU16" i="1" s="1"/>
  <c r="AE16" i="1"/>
  <c r="AG16" i="1"/>
  <c r="AN16" i="1"/>
  <c r="AO16" i="1"/>
  <c r="AP16" i="1"/>
  <c r="AF16" i="1"/>
  <c r="AW16" i="1" a="1"/>
  <c r="AW16" i="1" s="1"/>
  <c r="AV16" i="1" a="1"/>
  <c r="AV16" i="1" s="1"/>
  <c r="AV17" i="1" a="1"/>
  <c r="AV17" i="1" s="1"/>
  <c r="AW17" i="1" a="1"/>
  <c r="AW17" i="1" s="1"/>
  <c r="AX17" i="1" a="1"/>
  <c r="AX17" i="1" s="1"/>
  <c r="AY17" i="1" a="1"/>
  <c r="AY17" i="1" s="1"/>
  <c r="AZ17" i="1" a="1"/>
  <c r="AZ17" i="1" s="1"/>
  <c r="BA17" i="1" a="1"/>
  <c r="BA17" i="1" s="1"/>
  <c r="BB17" i="1" a="1"/>
  <c r="BB17" i="1" s="1"/>
  <c r="BC17" i="1" a="1"/>
  <c r="BC17" i="1" s="1"/>
  <c r="BD17" i="1" a="1"/>
  <c r="BD17" i="1" s="1"/>
  <c r="BE17" i="1" a="1"/>
  <c r="BE17" i="1" s="1"/>
  <c r="BF17" i="1" a="1"/>
  <c r="BF17" i="1" s="1"/>
  <c r="AH17" i="1"/>
  <c r="AN17" i="1"/>
  <c r="AI17" i="1"/>
  <c r="AL17" i="1"/>
  <c r="AM17" i="1"/>
  <c r="AP17" i="1"/>
  <c r="AU17" i="1" a="1"/>
  <c r="AU17" i="1" s="1"/>
  <c r="AO17" i="1"/>
  <c r="AF17" i="1"/>
  <c r="AG17" i="1"/>
  <c r="AJ17" i="1"/>
  <c r="AK17" i="1"/>
  <c r="AE17" i="1"/>
  <c r="AL18" i="1"/>
  <c r="AU18" i="1" a="1"/>
  <c r="AU18" i="1" s="1"/>
  <c r="AV18" i="1" a="1"/>
  <c r="AV18" i="1" s="1"/>
  <c r="AW18" i="1" a="1"/>
  <c r="AW18" i="1" s="1"/>
  <c r="AX18" i="1" a="1"/>
  <c r="AX18" i="1" s="1"/>
  <c r="AY18" i="1" a="1"/>
  <c r="AY18" i="1" s="1"/>
  <c r="AZ18" i="1" a="1"/>
  <c r="AZ18" i="1" s="1"/>
  <c r="BA18" i="1" a="1"/>
  <c r="BA18" i="1" s="1"/>
  <c r="AG18" i="1"/>
  <c r="BB18" i="1" a="1"/>
  <c r="BB18" i="1" s="1"/>
  <c r="BC18" i="1" a="1"/>
  <c r="BC18" i="1" s="1"/>
  <c r="BD18" i="1" a="1"/>
  <c r="BD18" i="1" s="1"/>
  <c r="BE18" i="1" a="1"/>
  <c r="BE18" i="1" s="1"/>
  <c r="BF18" i="1" a="1"/>
  <c r="BF18" i="1" s="1"/>
  <c r="AK18" i="1"/>
  <c r="AE18" i="1"/>
  <c r="AJ18" i="1"/>
  <c r="AI18" i="1"/>
  <c r="AH18" i="1"/>
  <c r="AF18" i="1"/>
  <c r="AP18" i="1"/>
  <c r="AO18" i="1"/>
  <c r="AN18" i="1"/>
  <c r="AM18" i="1"/>
  <c r="AO19" i="1"/>
  <c r="AP19" i="1"/>
  <c r="AE19" i="1"/>
  <c r="AG19" i="1"/>
  <c r="AN19" i="1"/>
  <c r="AV19" i="1" a="1"/>
  <c r="AV19" i="1" s="1"/>
  <c r="AU19" i="1" a="1"/>
  <c r="AU19" i="1" s="1"/>
  <c r="BF19" i="1" a="1"/>
  <c r="BF19" i="1" s="1"/>
  <c r="BE19" i="1" a="1"/>
  <c r="BE19" i="1" s="1"/>
  <c r="BD19" i="1" a="1"/>
  <c r="BD19" i="1" s="1"/>
  <c r="BC19" i="1" a="1"/>
  <c r="BC19" i="1" s="1"/>
  <c r="BA19" i="1" a="1"/>
  <c r="BA19" i="1" s="1"/>
  <c r="BB19" i="1" a="1"/>
  <c r="BB19" i="1" s="1"/>
  <c r="AM19" i="1"/>
  <c r="AL19" i="1"/>
  <c r="AK19" i="1"/>
  <c r="AJ19" i="1"/>
  <c r="AI19" i="1"/>
  <c r="AH19" i="1"/>
  <c r="AZ19" i="1" a="1"/>
  <c r="AZ19" i="1" s="1"/>
  <c r="AY19" i="1" a="1"/>
  <c r="AY19" i="1" s="1"/>
  <c r="AX19" i="1" a="1"/>
  <c r="AX19" i="1" s="1"/>
  <c r="AW19" i="1" a="1"/>
  <c r="AW19" i="1" s="1"/>
  <c r="AF19" i="1"/>
  <c r="AU20" i="1" a="1"/>
  <c r="AU20" i="1" s="1"/>
  <c r="AV20" i="1" a="1"/>
  <c r="AV20" i="1" s="1"/>
  <c r="AW20" i="1" a="1"/>
  <c r="AW20" i="1" s="1"/>
  <c r="AX20" i="1" a="1"/>
  <c r="AX20" i="1" s="1"/>
  <c r="AY20" i="1" a="1"/>
  <c r="AY20" i="1" s="1"/>
  <c r="AZ20" i="1" a="1"/>
  <c r="AZ20" i="1" s="1"/>
  <c r="BA20" i="1" a="1"/>
  <c r="BA20" i="1" s="1"/>
  <c r="BB20" i="1" a="1"/>
  <c r="BB20" i="1" s="1"/>
  <c r="BC20" i="1" a="1"/>
  <c r="BC20" i="1" s="1"/>
  <c r="BD20" i="1" a="1"/>
  <c r="BD20" i="1" s="1"/>
  <c r="BE20" i="1" a="1"/>
  <c r="BE20" i="1" s="1"/>
  <c r="BF20" i="1" a="1"/>
  <c r="BF20" i="1" s="1"/>
  <c r="AK20" i="1"/>
  <c r="AL20" i="1"/>
  <c r="AM20" i="1"/>
  <c r="AG20" i="1"/>
  <c r="AO20" i="1"/>
  <c r="AP20" i="1"/>
  <c r="AF20" i="1"/>
  <c r="AE20" i="1"/>
  <c r="AN20" i="1"/>
  <c r="AH20" i="1"/>
  <c r="AI20" i="1"/>
  <c r="AJ20" i="1"/>
  <c r="AU21" i="1" a="1"/>
  <c r="AU21" i="1" s="1"/>
  <c r="AV21" i="1" a="1"/>
  <c r="AV21" i="1" s="1"/>
  <c r="AW21" i="1" a="1"/>
  <c r="AW21" i="1" s="1"/>
  <c r="AX21" i="1" a="1"/>
  <c r="AX21" i="1" s="1"/>
  <c r="AY21" i="1" a="1"/>
  <c r="AY21" i="1" s="1"/>
  <c r="AZ21" i="1" a="1"/>
  <c r="AZ21" i="1" s="1"/>
  <c r="BB21" i="1" a="1"/>
  <c r="BB21" i="1" s="1"/>
  <c r="BC21" i="1" a="1"/>
  <c r="BC21" i="1" s="1"/>
  <c r="BD21" i="1" a="1"/>
  <c r="BD21" i="1" s="1"/>
  <c r="BE21" i="1" a="1"/>
  <c r="BE21" i="1" s="1"/>
  <c r="BF21" i="1" a="1"/>
  <c r="BF21" i="1" s="1"/>
  <c r="AJ21" i="1"/>
  <c r="AF21" i="1"/>
  <c r="AG21" i="1"/>
  <c r="AM21" i="1"/>
  <c r="AO21" i="1"/>
  <c r="BA21" i="1" a="1"/>
  <c r="BA21" i="1" s="1"/>
  <c r="AP21" i="1"/>
  <c r="AE21" i="1"/>
  <c r="AH21" i="1"/>
  <c r="AI21" i="1"/>
  <c r="AK21" i="1"/>
  <c r="AL21" i="1"/>
  <c r="AN21" i="1"/>
  <c r="AU22" i="1" a="1"/>
  <c r="AU22" i="1" s="1"/>
  <c r="AV22" i="1" a="1"/>
  <c r="AV22" i="1" s="1"/>
  <c r="AW22" i="1" a="1"/>
  <c r="AW22" i="1" s="1"/>
  <c r="AX22" i="1" a="1"/>
  <c r="AX22" i="1" s="1"/>
  <c r="AY22" i="1" a="1"/>
  <c r="AY22" i="1" s="1"/>
  <c r="AZ22" i="1" a="1"/>
  <c r="AZ22" i="1" s="1"/>
  <c r="BA22" i="1" a="1"/>
  <c r="BA22" i="1" s="1"/>
  <c r="BC22" i="1" a="1"/>
  <c r="BC22" i="1" s="1"/>
  <c r="BD22" i="1" a="1"/>
  <c r="BD22" i="1" s="1"/>
  <c r="BE22" i="1" a="1"/>
  <c r="BE22" i="1" s="1"/>
  <c r="BF22" i="1" a="1"/>
  <c r="BF22" i="1" s="1"/>
  <c r="AI22" i="1"/>
  <c r="AP22" i="1"/>
  <c r="AG22" i="1"/>
  <c r="AL22" i="1"/>
  <c r="AF22" i="1"/>
  <c r="AO22" i="1"/>
  <c r="BB22" i="1" a="1"/>
  <c r="BB22" i="1" s="1"/>
  <c r="AE22" i="1"/>
  <c r="AK22" i="1"/>
  <c r="AH22" i="1"/>
  <c r="AM22" i="1"/>
  <c r="AN22" i="1"/>
  <c r="AJ22" i="1"/>
  <c r="AU23" i="1" a="1"/>
  <c r="AU23" i="1" s="1"/>
  <c r="AV23" i="1" a="1"/>
  <c r="AV23" i="1" s="1"/>
  <c r="AW23" i="1" a="1"/>
  <c r="AW23" i="1" s="1"/>
  <c r="AX23" i="1" a="1"/>
  <c r="AX23" i="1" s="1"/>
  <c r="AY23" i="1" a="1"/>
  <c r="AY23" i="1" s="1"/>
  <c r="AZ23" i="1" a="1"/>
  <c r="AZ23" i="1" s="1"/>
  <c r="BA23" i="1" a="1"/>
  <c r="BA23" i="1" s="1"/>
  <c r="BB23" i="1" a="1"/>
  <c r="BB23" i="1" s="1"/>
  <c r="BC23" i="1" a="1"/>
  <c r="BC23" i="1" s="1"/>
  <c r="BD23" i="1" a="1"/>
  <c r="BD23" i="1" s="1"/>
  <c r="BE23" i="1" a="1"/>
  <c r="BE23" i="1" s="1"/>
  <c r="BF23" i="1" a="1"/>
  <c r="BF23" i="1" s="1"/>
  <c r="AM23" i="1"/>
  <c r="AE23" i="1"/>
  <c r="AH23" i="1"/>
  <c r="AJ23" i="1"/>
  <c r="AP23" i="1"/>
  <c r="AL23" i="1"/>
  <c r="AI23" i="1"/>
  <c r="AN23" i="1"/>
  <c r="AO23" i="1"/>
  <c r="AK23" i="1"/>
  <c r="AG23" i="1"/>
  <c r="AF23" i="1"/>
  <c r="AU24" i="1" a="1"/>
  <c r="AU24" i="1" s="1"/>
  <c r="AV24" i="1" a="1"/>
  <c r="AV24" i="1" s="1"/>
  <c r="AW24" i="1" a="1"/>
  <c r="AW24" i="1" s="1"/>
  <c r="AX24" i="1" a="1"/>
  <c r="AX24" i="1" s="1"/>
  <c r="AY24" i="1" a="1"/>
  <c r="AY24" i="1" s="1"/>
  <c r="AZ24" i="1" a="1"/>
  <c r="AZ24" i="1" s="1"/>
  <c r="BA24" i="1" a="1"/>
  <c r="BA24" i="1" s="1"/>
  <c r="BB24" i="1" a="1"/>
  <c r="BB24" i="1" s="1"/>
  <c r="BC24" i="1" a="1"/>
  <c r="BC24" i="1" s="1"/>
  <c r="BD24" i="1" a="1"/>
  <c r="BD24" i="1" s="1"/>
  <c r="BE24" i="1" a="1"/>
  <c r="BE24" i="1" s="1"/>
  <c r="BF24" i="1" a="1"/>
  <c r="BF24" i="1" s="1"/>
  <c r="AL24" i="1"/>
  <c r="AO24" i="1"/>
  <c r="AK24" i="1"/>
  <c r="AE24" i="1"/>
  <c r="AF24" i="1"/>
  <c r="AI24" i="1"/>
  <c r="AN24" i="1"/>
  <c r="AM24" i="1"/>
  <c r="AP24" i="1"/>
  <c r="AH24" i="1"/>
  <c r="AJ24" i="1"/>
  <c r="AG24" i="1"/>
  <c r="AI25" i="1"/>
  <c r="AU25" i="1" a="1"/>
  <c r="AU25" i="1" s="1"/>
  <c r="AV25" i="1" a="1"/>
  <c r="AV25" i="1" s="1"/>
  <c r="AL25" i="1"/>
  <c r="AW25" i="1" a="1"/>
  <c r="AW25" i="1" s="1"/>
  <c r="AE25" i="1"/>
  <c r="AG25" i="1"/>
  <c r="AX25" i="1" a="1"/>
  <c r="AX25" i="1" s="1"/>
  <c r="AY25" i="1" a="1"/>
  <c r="AY25" i="1" s="1"/>
  <c r="AZ25" i="1" a="1"/>
  <c r="AZ25" i="1" s="1"/>
  <c r="BA25" i="1" a="1"/>
  <c r="BA25" i="1" s="1"/>
  <c r="BB25" i="1" a="1"/>
  <c r="BB25" i="1" s="1"/>
  <c r="AF25" i="1"/>
  <c r="AK25" i="1"/>
  <c r="AP25" i="1"/>
  <c r="AJ25" i="1"/>
  <c r="BC25" i="1" a="1"/>
  <c r="BC25" i="1" s="1"/>
  <c r="AN25" i="1"/>
  <c r="BF25" i="1" a="1"/>
  <c r="BF25" i="1" s="1"/>
  <c r="AH25" i="1"/>
  <c r="AO25" i="1"/>
  <c r="AM25" i="1"/>
  <c r="BD25" i="1" a="1"/>
  <c r="BD25" i="1" s="1"/>
  <c r="BE25" i="1" a="1"/>
  <c r="BE25" i="1" s="1"/>
  <c r="AJ26" i="1"/>
  <c r="AV26" i="1" a="1"/>
  <c r="AV26" i="1" s="1"/>
  <c r="AI26" i="1"/>
  <c r="AH26" i="1"/>
  <c r="AP26" i="1"/>
  <c r="AU26" i="1" a="1"/>
  <c r="AU26" i="1" s="1"/>
  <c r="AL26" i="1"/>
  <c r="BF26" i="1" a="1"/>
  <c r="BF26" i="1" s="1"/>
  <c r="BD26" i="1" a="1"/>
  <c r="BD26" i="1" s="1"/>
  <c r="AK26" i="1"/>
  <c r="AF26" i="1"/>
  <c r="AE26" i="1"/>
  <c r="BA26" i="1" a="1"/>
  <c r="BA26" i="1" s="1"/>
  <c r="AG26" i="1"/>
  <c r="AN26" i="1"/>
  <c r="AM26" i="1"/>
  <c r="BC26" i="1" a="1"/>
  <c r="BC26" i="1" s="1"/>
  <c r="BE26" i="1" a="1"/>
  <c r="BE26" i="1" s="1"/>
  <c r="BB26" i="1" a="1"/>
  <c r="BB26" i="1" s="1"/>
  <c r="AZ26" i="1" a="1"/>
  <c r="AZ26" i="1" s="1"/>
  <c r="AY26" i="1" a="1"/>
  <c r="AY26" i="1" s="1"/>
  <c r="AO26" i="1"/>
  <c r="AX26" i="1" a="1"/>
  <c r="AX26" i="1" s="1"/>
  <c r="AW26" i="1" a="1"/>
  <c r="AW26" i="1" s="1"/>
  <c r="AF27" i="1"/>
  <c r="AM27" i="1"/>
  <c r="BA27" i="1" a="1"/>
  <c r="BA27" i="1" s="1"/>
  <c r="BB27" i="1" a="1"/>
  <c r="BB27" i="1" s="1"/>
  <c r="BC27" i="1" a="1"/>
  <c r="BC27" i="1" s="1"/>
  <c r="AG27" i="1"/>
  <c r="AX27" i="1" a="1"/>
  <c r="AX27" i="1" s="1"/>
  <c r="R27" i="1" a="1"/>
  <c r="R27" i="1" s="1"/>
  <c r="AI27" i="1"/>
  <c r="AL27" i="1"/>
  <c r="AE27" i="1"/>
  <c r="AN27" i="1"/>
  <c r="AO27" i="1"/>
  <c r="AV27" i="1" a="1"/>
  <c r="AV27" i="1" s="1"/>
  <c r="AH27" i="1"/>
  <c r="AW27" i="1" a="1"/>
  <c r="AW27" i="1" s="1"/>
  <c r="AU27" i="1" a="1"/>
  <c r="AU27" i="1" s="1"/>
  <c r="AK27" i="1"/>
  <c r="BF27" i="1" a="1"/>
  <c r="BF27" i="1" s="1"/>
  <c r="AP27" i="1"/>
  <c r="AJ27" i="1"/>
  <c r="BE27" i="1" a="1"/>
  <c r="BE27" i="1" s="1"/>
  <c r="AY27" i="1" a="1"/>
  <c r="AY27" i="1" s="1"/>
  <c r="AZ27" i="1" a="1"/>
  <c r="AZ27" i="1" s="1"/>
  <c r="BD27" i="1" a="1"/>
  <c r="BD27" i="1" s="1"/>
  <c r="BD28" i="1" a="1"/>
  <c r="BD28" i="1" s="1"/>
  <c r="BC28" i="1" a="1"/>
  <c r="BC28" i="1" s="1"/>
  <c r="BB28" i="1" a="1"/>
  <c r="BB28" i="1" s="1"/>
  <c r="AI28" i="1"/>
  <c r="AZ28" i="1" a="1"/>
  <c r="AZ28" i="1" s="1"/>
  <c r="AY28" i="1" a="1"/>
  <c r="AY28" i="1" s="1"/>
  <c r="AP28" i="1"/>
  <c r="AH28" i="1"/>
  <c r="AF28" i="1"/>
  <c r="AX28" i="1" a="1"/>
  <c r="AX28" i="1" s="1"/>
  <c r="AW28" i="1" a="1"/>
  <c r="AW28" i="1" s="1"/>
  <c r="AE28" i="1"/>
  <c r="AU28" i="1" a="1"/>
  <c r="AU28" i="1" s="1"/>
  <c r="AG28" i="1"/>
  <c r="AN28" i="1"/>
  <c r="AL28" i="1"/>
  <c r="AM28" i="1"/>
  <c r="BA28" i="1" a="1"/>
  <c r="BA28" i="1" s="1"/>
  <c r="AJ28" i="1"/>
  <c r="BF28" i="1" a="1"/>
  <c r="BF28" i="1" s="1"/>
  <c r="BE28" i="1" a="1"/>
  <c r="BE28" i="1" s="1"/>
  <c r="AO28" i="1"/>
  <c r="AK28" i="1"/>
  <c r="AV28" i="1" a="1"/>
  <c r="AV28" i="1" s="1"/>
  <c r="AL29" i="1"/>
  <c r="AP29" i="1"/>
  <c r="AK29" i="1"/>
  <c r="AG29" i="1"/>
  <c r="AH29" i="1"/>
  <c r="AF29" i="1"/>
  <c r="AE29" i="1"/>
  <c r="AJ29" i="1"/>
  <c r="AM29" i="1"/>
  <c r="AO29" i="1"/>
  <c r="AU29" i="1" a="1"/>
  <c r="AU29" i="1" s="1"/>
  <c r="AN29" i="1"/>
  <c r="AI29" i="1"/>
  <c r="BF29" i="1" a="1"/>
  <c r="BF29" i="1" s="1"/>
  <c r="BE29" i="1" a="1"/>
  <c r="BE29" i="1" s="1"/>
  <c r="BD29" i="1" a="1"/>
  <c r="BD29" i="1" s="1"/>
  <c r="BC29" i="1" a="1"/>
  <c r="BC29" i="1" s="1"/>
  <c r="BB29" i="1" a="1"/>
  <c r="BB29" i="1" s="1"/>
  <c r="BA29" i="1" a="1"/>
  <c r="BA29" i="1" s="1"/>
  <c r="AZ29" i="1" a="1"/>
  <c r="AZ29" i="1" s="1"/>
  <c r="AY29" i="1" a="1"/>
  <c r="AY29" i="1" s="1"/>
  <c r="AX29" i="1" a="1"/>
  <c r="AX29" i="1" s="1"/>
  <c r="AW29" i="1" a="1"/>
  <c r="AW29" i="1" s="1"/>
  <c r="AV29" i="1" a="1"/>
  <c r="AV29" i="1" s="1"/>
  <c r="AP30" i="1"/>
  <c r="AG30" i="1"/>
  <c r="AN30" i="1"/>
  <c r="AK30" i="1"/>
  <c r="BA30" i="1" a="1"/>
  <c r="BA30" i="1" s="1"/>
  <c r="AI30" i="1"/>
  <c r="AM30" i="1"/>
  <c r="AL30" i="1"/>
  <c r="AO30" i="1"/>
  <c r="AF30" i="1"/>
  <c r="AJ30" i="1"/>
  <c r="AU30" i="1" a="1"/>
  <c r="AU30" i="1" s="1"/>
  <c r="AV30" i="1" a="1"/>
  <c r="AV30" i="1" s="1"/>
  <c r="AW30" i="1" a="1"/>
  <c r="AW30" i="1" s="1"/>
  <c r="AX30" i="1" a="1"/>
  <c r="AX30" i="1" s="1"/>
  <c r="AE30" i="1"/>
  <c r="AY30" i="1" a="1"/>
  <c r="AY30" i="1" s="1"/>
  <c r="BB30" i="1" a="1"/>
  <c r="BB30" i="1" s="1"/>
  <c r="BC30" i="1" a="1"/>
  <c r="BC30" i="1" s="1"/>
  <c r="BD30" i="1" a="1"/>
  <c r="BD30" i="1" s="1"/>
  <c r="BE30" i="1" a="1"/>
  <c r="BE30" i="1" s="1"/>
  <c r="BF30" i="1" a="1"/>
  <c r="BF30" i="1" s="1"/>
  <c r="AH30" i="1"/>
  <c r="AZ30" i="1" a="1"/>
  <c r="AZ30" i="1" s="1"/>
  <c r="AP31" i="1"/>
  <c r="AW31" i="1" a="1"/>
  <c r="AW31" i="1" s="1"/>
  <c r="AX31" i="1" a="1"/>
  <c r="AX31" i="1" s="1"/>
  <c r="AY31" i="1" a="1"/>
  <c r="AY31" i="1" s="1"/>
  <c r="AZ31" i="1" a="1"/>
  <c r="AZ31" i="1" s="1"/>
  <c r="BA31" i="1" a="1"/>
  <c r="BA31" i="1" s="1"/>
  <c r="BB31" i="1" a="1"/>
  <c r="BB31" i="1" s="1"/>
  <c r="BE31" i="1" a="1"/>
  <c r="BE31" i="1" s="1"/>
  <c r="BC31" i="1" a="1"/>
  <c r="BC31" i="1" s="1"/>
  <c r="AN31" i="1"/>
  <c r="BD31" i="1" a="1"/>
  <c r="BD31" i="1" s="1"/>
  <c r="AI31" i="1"/>
  <c r="AJ31" i="1"/>
  <c r="BF31" i="1" a="1"/>
  <c r="BF31" i="1" s="1"/>
  <c r="AK31" i="1"/>
  <c r="AH31" i="1"/>
  <c r="AL31" i="1"/>
  <c r="AG31" i="1"/>
  <c r="AF31" i="1"/>
  <c r="AE31" i="1"/>
  <c r="AM31" i="1"/>
  <c r="AV31" i="1" a="1"/>
  <c r="AV31" i="1" s="1"/>
  <c r="AU31" i="1" a="1"/>
  <c r="AU31" i="1" s="1"/>
  <c r="AO31" i="1"/>
  <c r="AH32" i="1"/>
  <c r="BA32" i="1" a="1"/>
  <c r="BA32" i="1" s="1"/>
  <c r="AG32" i="1"/>
  <c r="AF32" i="1"/>
  <c r="AE32" i="1"/>
  <c r="BF32" i="1" a="1"/>
  <c r="BF32" i="1" s="1"/>
  <c r="AU32" i="1" a="1"/>
  <c r="AU32" i="1" s="1"/>
  <c r="AW32" i="1" a="1"/>
  <c r="AW32" i="1" s="1"/>
  <c r="AV32" i="1" a="1"/>
  <c r="AV32" i="1" s="1"/>
  <c r="AK32" i="1"/>
  <c r="AL32" i="1"/>
  <c r="AM32" i="1"/>
  <c r="AI32" i="1"/>
  <c r="AO32" i="1"/>
  <c r="AN32" i="1"/>
  <c r="AP32" i="1"/>
  <c r="AJ32" i="1"/>
  <c r="BC32" i="1" a="1"/>
  <c r="BC32" i="1" s="1"/>
  <c r="BD32" i="1" a="1"/>
  <c r="BD32" i="1" s="1"/>
  <c r="BE32" i="1" a="1"/>
  <c r="BE32" i="1" s="1"/>
  <c r="BB32" i="1" a="1"/>
  <c r="BB32" i="1" s="1"/>
  <c r="AX32" i="1" a="1"/>
  <c r="AX32" i="1" s="1"/>
  <c r="AY32" i="1" a="1"/>
  <c r="AY32" i="1" s="1"/>
  <c r="AZ32" i="1" a="1"/>
  <c r="AZ32" i="1" s="1"/>
  <c r="AG33" i="1"/>
  <c r="AY33" i="1" a="1"/>
  <c r="AY33" i="1" s="1"/>
  <c r="AF33" i="1"/>
  <c r="AP33" i="1"/>
  <c r="AO33" i="1"/>
  <c r="AN33" i="1"/>
  <c r="AM33" i="1"/>
  <c r="AL33" i="1"/>
  <c r="AK33" i="1"/>
  <c r="AJ33" i="1"/>
  <c r="AI33" i="1"/>
  <c r="AH33" i="1"/>
  <c r="BF33" i="1" a="1"/>
  <c r="BF33" i="1" s="1"/>
  <c r="BE33" i="1" a="1"/>
  <c r="BE33" i="1" s="1"/>
  <c r="BD33" i="1" a="1"/>
  <c r="BD33" i="1" s="1"/>
  <c r="BC33" i="1" a="1"/>
  <c r="BC33" i="1" s="1"/>
  <c r="AV33" i="1" a="1"/>
  <c r="AV33" i="1" s="1"/>
  <c r="AU33" i="1" a="1"/>
  <c r="AU33" i="1" s="1"/>
  <c r="AE33" i="1"/>
  <c r="AZ33" i="1" a="1"/>
  <c r="AZ33" i="1" s="1"/>
  <c r="AW33" i="1" a="1"/>
  <c r="AW33" i="1" s="1"/>
  <c r="BA33" i="1" a="1"/>
  <c r="BA33" i="1" s="1"/>
  <c r="BB33" i="1" a="1"/>
  <c r="BB33" i="1" s="1"/>
  <c r="AX33" i="1" a="1"/>
  <c r="AX33" i="1" s="1"/>
  <c r="AP34" i="1"/>
  <c r="AK34" i="1"/>
  <c r="BB34" i="1" a="1"/>
  <c r="BB34" i="1" s="1"/>
  <c r="AF34" i="1"/>
  <c r="BA34" i="1" a="1"/>
  <c r="BA34" i="1" s="1"/>
  <c r="BC34" i="1" a="1"/>
  <c r="BC34" i="1" s="1"/>
  <c r="AW34" i="1" a="1"/>
  <c r="AW34" i="1" s="1"/>
  <c r="BF34" i="1" a="1"/>
  <c r="BF34" i="1" s="1"/>
  <c r="AL34" i="1"/>
  <c r="AH34" i="1"/>
  <c r="AI34" i="1"/>
  <c r="BD34" i="1" a="1"/>
  <c r="BD34" i="1" s="1"/>
  <c r="AJ34" i="1"/>
  <c r="AU34" i="1" a="1"/>
  <c r="AU34" i="1" s="1"/>
  <c r="AV34" i="1" a="1"/>
  <c r="AV34" i="1" s="1"/>
  <c r="AM34" i="1"/>
  <c r="AE34" i="1"/>
  <c r="AX34" i="1" a="1"/>
  <c r="AX34" i="1" s="1"/>
  <c r="AY34" i="1" a="1"/>
  <c r="AY34" i="1" s="1"/>
  <c r="BE34" i="1" a="1"/>
  <c r="BE34" i="1" s="1"/>
  <c r="AO34" i="1"/>
  <c r="AZ34" i="1" a="1"/>
  <c r="AZ34" i="1" s="1"/>
  <c r="AG34" i="1"/>
  <c r="AN34" i="1"/>
  <c r="AZ35" i="1" a="1"/>
  <c r="AZ35" i="1" s="1"/>
  <c r="AL35" i="1"/>
  <c r="AK35" i="1"/>
  <c r="BB35" i="1" a="1"/>
  <c r="BB35" i="1" s="1"/>
  <c r="BA35" i="1" a="1"/>
  <c r="BA35" i="1" s="1"/>
  <c r="AY35" i="1" a="1"/>
  <c r="AY35" i="1" s="1"/>
  <c r="AM35" i="1"/>
  <c r="AX35" i="1" a="1"/>
  <c r="AX35" i="1" s="1"/>
  <c r="AW35" i="1" a="1"/>
  <c r="AW35" i="1" s="1"/>
  <c r="AV35" i="1" a="1"/>
  <c r="AV35" i="1" s="1"/>
  <c r="AH35" i="1"/>
  <c r="AJ35" i="1"/>
  <c r="AO35" i="1"/>
  <c r="AP35" i="1"/>
  <c r="AE35" i="1"/>
  <c r="BE35" i="1" a="1"/>
  <c r="BE35" i="1" s="1"/>
  <c r="AF35" i="1"/>
  <c r="AN35" i="1"/>
  <c r="AG35" i="1"/>
  <c r="AI35" i="1"/>
  <c r="BF35" i="1" a="1"/>
  <c r="BF35" i="1" s="1"/>
  <c r="BD35" i="1" a="1"/>
  <c r="BD35" i="1" s="1"/>
  <c r="BC35" i="1" a="1"/>
  <c r="BC35" i="1" s="1"/>
  <c r="AU35" i="1" a="1"/>
  <c r="AU35" i="1" s="1"/>
  <c r="AP36" i="1"/>
  <c r="AO36" i="1"/>
  <c r="AM36" i="1"/>
  <c r="AL36" i="1"/>
  <c r="AK36" i="1"/>
  <c r="AU36" i="1" a="1"/>
  <c r="AU36" i="1" s="1"/>
  <c r="AV36" i="1" a="1"/>
  <c r="AV36" i="1" s="1"/>
  <c r="AW36" i="1" a="1"/>
  <c r="AW36" i="1" s="1"/>
  <c r="AX36" i="1" a="1"/>
  <c r="AX36" i="1" s="1"/>
  <c r="AY36" i="1" a="1"/>
  <c r="AY36" i="1" s="1"/>
  <c r="AZ36" i="1" a="1"/>
  <c r="AZ36" i="1" s="1"/>
  <c r="BA36" i="1" a="1"/>
  <c r="BA36" i="1" s="1"/>
  <c r="BB36" i="1" a="1"/>
  <c r="BB36" i="1" s="1"/>
  <c r="BC36" i="1" a="1"/>
  <c r="BC36" i="1" s="1"/>
  <c r="BD36" i="1" a="1"/>
  <c r="BD36" i="1" s="1"/>
  <c r="BE36" i="1" a="1"/>
  <c r="BE36" i="1" s="1"/>
  <c r="BF36" i="1" a="1"/>
  <c r="BF36" i="1" s="1"/>
  <c r="AJ36" i="1"/>
  <c r="AI36" i="1"/>
  <c r="AH36" i="1"/>
  <c r="AE36" i="1"/>
  <c r="AF36" i="1"/>
  <c r="AG36" i="1"/>
  <c r="AN36" i="1"/>
  <c r="BE37" i="1" a="1"/>
  <c r="BE37" i="1" s="1"/>
  <c r="BF37" i="1" a="1"/>
  <c r="BF37" i="1" s="1"/>
  <c r="BD37" i="1" a="1"/>
  <c r="BD37" i="1" s="1"/>
  <c r="BC37" i="1" a="1"/>
  <c r="BC37" i="1" s="1"/>
  <c r="BA37" i="1" a="1"/>
  <c r="BA37" i="1" s="1"/>
  <c r="AZ37" i="1" a="1"/>
  <c r="AZ37" i="1" s="1"/>
  <c r="AG37" i="1"/>
  <c r="AF37" i="1"/>
  <c r="AE37" i="1"/>
  <c r="AY37" i="1" a="1"/>
  <c r="AY37" i="1" s="1"/>
  <c r="BB37" i="1" a="1"/>
  <c r="BB37" i="1" s="1"/>
  <c r="AW37" i="1" a="1"/>
  <c r="AW37" i="1" s="1"/>
  <c r="AK37" i="1"/>
  <c r="AU37" i="1" a="1"/>
  <c r="AU37" i="1" s="1"/>
  <c r="AX37" i="1" a="1"/>
  <c r="AX37" i="1" s="1"/>
  <c r="AV37" i="1" a="1"/>
  <c r="AV37" i="1" s="1"/>
  <c r="AH37" i="1"/>
  <c r="AI37" i="1"/>
  <c r="AJ37" i="1"/>
  <c r="AL37" i="1"/>
  <c r="AM37" i="1"/>
  <c r="AN37" i="1"/>
  <c r="AO37" i="1"/>
  <c r="AP37" i="1"/>
  <c r="AY38" i="1" a="1"/>
  <c r="AY38" i="1" s="1"/>
  <c r="AX38" i="1" a="1"/>
  <c r="AX38" i="1" s="1"/>
  <c r="AE38" i="1"/>
  <c r="AW38" i="1" a="1"/>
  <c r="AW38" i="1" s="1"/>
  <c r="AV38" i="1" a="1"/>
  <c r="AV38" i="1" s="1"/>
  <c r="AU38" i="1" a="1"/>
  <c r="AU38" i="1" s="1"/>
  <c r="AO38" i="1"/>
  <c r="AN38" i="1"/>
  <c r="AM38" i="1"/>
  <c r="BA38" i="1" a="1"/>
  <c r="BA38" i="1" s="1"/>
  <c r="AP38" i="1"/>
  <c r="BC38" i="1" a="1"/>
  <c r="BC38" i="1" s="1"/>
  <c r="BD38" i="1" a="1"/>
  <c r="BD38" i="1" s="1"/>
  <c r="BE38" i="1" a="1"/>
  <c r="BE38" i="1" s="1"/>
  <c r="BF38" i="1" a="1"/>
  <c r="BF38" i="1" s="1"/>
  <c r="BB38" i="1" a="1"/>
  <c r="BB38" i="1" s="1"/>
  <c r="AZ38" i="1" a="1"/>
  <c r="AZ38" i="1" s="1"/>
  <c r="AH38" i="1"/>
  <c r="AL38" i="1"/>
  <c r="AK38" i="1"/>
  <c r="AJ38" i="1"/>
  <c r="AF38" i="1"/>
  <c r="AG38" i="1"/>
  <c r="AI38" i="1"/>
  <c r="BF39" i="1" a="1"/>
  <c r="BF39" i="1" s="1"/>
  <c r="BD39" i="1" a="1"/>
  <c r="BD39" i="1" s="1"/>
  <c r="BC39" i="1" a="1"/>
  <c r="BC39" i="1" s="1"/>
  <c r="BE39" i="1" a="1"/>
  <c r="BE39" i="1" s="1"/>
  <c r="AI39" i="1"/>
  <c r="AH39" i="1"/>
  <c r="AJ39" i="1"/>
  <c r="AK39" i="1"/>
  <c r="AL39" i="1"/>
  <c r="AM39" i="1"/>
  <c r="AN39" i="1"/>
  <c r="AG39" i="1"/>
  <c r="AF39" i="1"/>
  <c r="AE39" i="1"/>
  <c r="AO39" i="1"/>
  <c r="AP39" i="1"/>
  <c r="BB39" i="1" a="1"/>
  <c r="BB39" i="1" s="1"/>
  <c r="AU39" i="1" a="1"/>
  <c r="AU39" i="1" s="1"/>
  <c r="AV39" i="1" a="1"/>
  <c r="AV39" i="1" s="1"/>
  <c r="AW39" i="1" a="1"/>
  <c r="AW39" i="1" s="1"/>
  <c r="AX39" i="1" a="1"/>
  <c r="AX39" i="1" s="1"/>
  <c r="AY39" i="1" a="1"/>
  <c r="AY39" i="1" s="1"/>
  <c r="AZ39" i="1" a="1"/>
  <c r="AZ39" i="1" s="1"/>
  <c r="BA39" i="1" a="1"/>
  <c r="BA39" i="1" s="1"/>
  <c r="AH40" i="1"/>
  <c r="AE40" i="1"/>
  <c r="AK40" i="1"/>
  <c r="AN40" i="1"/>
  <c r="AF40" i="1"/>
  <c r="AO40" i="1"/>
  <c r="AP40" i="1"/>
  <c r="AJ40" i="1"/>
  <c r="AU40" i="1" a="1"/>
  <c r="AU40" i="1" s="1"/>
  <c r="AV40" i="1" a="1"/>
  <c r="AV40" i="1" s="1"/>
  <c r="AW40" i="1" a="1"/>
  <c r="AW40" i="1" s="1"/>
  <c r="AG40" i="1"/>
  <c r="AM40" i="1"/>
  <c r="AX40" i="1" a="1"/>
  <c r="AX40" i="1" s="1"/>
  <c r="AY40" i="1" a="1"/>
  <c r="AY40" i="1" s="1"/>
  <c r="AL40" i="1"/>
  <c r="AZ40" i="1" a="1"/>
  <c r="AZ40" i="1" s="1"/>
  <c r="BA40" i="1" a="1"/>
  <c r="BA40" i="1" s="1"/>
  <c r="BB40" i="1" a="1"/>
  <c r="BB40" i="1" s="1"/>
  <c r="BC40" i="1" a="1"/>
  <c r="BC40" i="1" s="1"/>
  <c r="BD40" i="1" a="1"/>
  <c r="BD40" i="1" s="1"/>
  <c r="BE40" i="1" a="1"/>
  <c r="BE40" i="1" s="1"/>
  <c r="BF40" i="1" a="1"/>
  <c r="BF40" i="1" s="1"/>
  <c r="AI40" i="1"/>
  <c r="AM41" i="1"/>
  <c r="AP41" i="1"/>
  <c r="AL41" i="1"/>
  <c r="AK41" i="1"/>
  <c r="AI41" i="1"/>
  <c r="AH41" i="1"/>
  <c r="AJ41" i="1"/>
  <c r="AU41" i="1" a="1"/>
  <c r="AU41" i="1" s="1"/>
  <c r="AV41" i="1" a="1"/>
  <c r="AV41" i="1" s="1"/>
  <c r="AW41" i="1" a="1"/>
  <c r="AW41" i="1" s="1"/>
  <c r="AX41" i="1" a="1"/>
  <c r="AX41" i="1" s="1"/>
  <c r="AY41" i="1" a="1"/>
  <c r="AY41" i="1" s="1"/>
  <c r="AZ41" i="1" a="1"/>
  <c r="AZ41" i="1" s="1"/>
  <c r="AG41" i="1"/>
  <c r="AF41" i="1"/>
  <c r="BA41" i="1" a="1"/>
  <c r="BA41" i="1" s="1"/>
  <c r="BB41" i="1" a="1"/>
  <c r="BB41" i="1" s="1"/>
  <c r="AE41" i="1"/>
  <c r="BC41" i="1" a="1"/>
  <c r="BC41" i="1" s="1"/>
  <c r="BD41" i="1" a="1"/>
  <c r="BD41" i="1" s="1"/>
  <c r="AO41" i="1"/>
  <c r="BE41" i="1" a="1"/>
  <c r="BE41" i="1" s="1"/>
  <c r="BF41" i="1" a="1"/>
  <c r="BF41" i="1" s="1"/>
  <c r="AN41" i="1"/>
  <c r="AI42" i="1"/>
  <c r="AH42" i="1"/>
  <c r="AE42" i="1"/>
  <c r="BE42" i="1" a="1"/>
  <c r="BE42" i="1" s="1"/>
  <c r="AM42" i="1"/>
  <c r="AG42" i="1"/>
  <c r="AO42" i="1"/>
  <c r="AL42" i="1"/>
  <c r="AK42" i="1"/>
  <c r="AU42" i="1" a="1"/>
  <c r="AU42" i="1" s="1"/>
  <c r="AJ42" i="1"/>
  <c r="AP42" i="1"/>
  <c r="AV42" i="1" a="1"/>
  <c r="AV42" i="1" s="1"/>
  <c r="AN42" i="1"/>
  <c r="AW42" i="1" a="1"/>
  <c r="AW42" i="1" s="1"/>
  <c r="AX42" i="1" a="1"/>
  <c r="AX42" i="1" s="1"/>
  <c r="AY42" i="1" a="1"/>
  <c r="AY42" i="1" s="1"/>
  <c r="AZ42" i="1" a="1"/>
  <c r="AZ42" i="1" s="1"/>
  <c r="BA42" i="1" a="1"/>
  <c r="BA42" i="1" s="1"/>
  <c r="BB42" i="1" a="1"/>
  <c r="BB42" i="1" s="1"/>
  <c r="BC42" i="1" a="1"/>
  <c r="BC42" i="1" s="1"/>
  <c r="BD42" i="1" a="1"/>
  <c r="BD42" i="1" s="1"/>
  <c r="AF42" i="1"/>
  <c r="BF42" i="1" a="1"/>
  <c r="BF42" i="1" s="1"/>
  <c r="AH43" i="1"/>
  <c r="AO43" i="1"/>
  <c r="AM43" i="1"/>
  <c r="AL43" i="1"/>
  <c r="AI43" i="1"/>
  <c r="AK43" i="1"/>
  <c r="BE43" i="1" a="1"/>
  <c r="BE43" i="1" s="1"/>
  <c r="AP43" i="1"/>
  <c r="BF43" i="1" a="1"/>
  <c r="BF43" i="1" s="1"/>
  <c r="AE43" i="1"/>
  <c r="AF43" i="1"/>
  <c r="AJ43" i="1"/>
  <c r="AG43" i="1"/>
  <c r="BD43" i="1" a="1"/>
  <c r="BD43" i="1" s="1"/>
  <c r="BC43" i="1" a="1"/>
  <c r="BC43" i="1" s="1"/>
  <c r="BB43" i="1" a="1"/>
  <c r="BB43" i="1" s="1"/>
  <c r="BA43" i="1" a="1"/>
  <c r="BA43" i="1" s="1"/>
  <c r="AZ43" i="1" a="1"/>
  <c r="AZ43" i="1" s="1"/>
  <c r="AN43" i="1"/>
  <c r="AU43" i="1" a="1"/>
  <c r="AU43" i="1" s="1"/>
  <c r="AV43" i="1" a="1"/>
  <c r="AV43" i="1" s="1"/>
  <c r="AW43" i="1" a="1"/>
  <c r="AW43" i="1" s="1"/>
  <c r="AX43" i="1" a="1"/>
  <c r="AX43" i="1" s="1"/>
  <c r="AY43" i="1" a="1"/>
  <c r="AY43" i="1" s="1"/>
  <c r="BB44" i="1" a="1"/>
  <c r="BB44" i="1" s="1"/>
  <c r="AZ44" i="1" a="1"/>
  <c r="AZ44" i="1" s="1"/>
  <c r="AV44" i="1" a="1"/>
  <c r="AV44" i="1" s="1"/>
  <c r="AK44" i="1"/>
  <c r="AY44" i="1" a="1"/>
  <c r="AY44" i="1" s="1"/>
  <c r="AX44" i="1" a="1"/>
  <c r="AX44" i="1" s="1"/>
  <c r="AP44" i="1"/>
  <c r="AL44" i="1"/>
  <c r="AW44" i="1" a="1"/>
  <c r="AW44" i="1" s="1"/>
  <c r="AU44" i="1" a="1"/>
  <c r="AU44" i="1" s="1"/>
  <c r="AH44" i="1"/>
  <c r="BA44" i="1" a="1"/>
  <c r="BA44" i="1" s="1"/>
  <c r="AE44" i="1"/>
  <c r="AF44" i="1"/>
  <c r="AG44" i="1"/>
  <c r="AM44" i="1"/>
  <c r="AN44" i="1"/>
  <c r="BE44" i="1" a="1"/>
  <c r="BE44" i="1" s="1"/>
  <c r="AJ44" i="1"/>
  <c r="AO44" i="1"/>
  <c r="AI44" i="1"/>
  <c r="BF44" i="1" a="1"/>
  <c r="BF44" i="1" s="1"/>
  <c r="BD44" i="1" a="1"/>
  <c r="BD44" i="1" s="1"/>
  <c r="BC44" i="1" a="1"/>
  <c r="BC44" i="1" s="1"/>
  <c r="BC45" i="1" a="1"/>
  <c r="BC45" i="1" s="1"/>
  <c r="AL45" i="1"/>
  <c r="BD45" i="1" a="1"/>
  <c r="BD45" i="1" s="1"/>
  <c r="BE45" i="1" a="1"/>
  <c r="BE45" i="1" s="1"/>
  <c r="BF45" i="1" a="1"/>
  <c r="BF45" i="1" s="1"/>
  <c r="AI45" i="1"/>
  <c r="AW45" i="1" a="1"/>
  <c r="AW45" i="1" s="1"/>
  <c r="AG45" i="1"/>
  <c r="AF45" i="1"/>
  <c r="AP45" i="1"/>
  <c r="AM45" i="1"/>
  <c r="AO45" i="1"/>
  <c r="BA45" i="1" a="1"/>
  <c r="BA45" i="1" s="1"/>
  <c r="AE45" i="1"/>
  <c r="AJ45" i="1"/>
  <c r="AH45" i="1"/>
  <c r="AN45" i="1"/>
  <c r="AU45" i="1" a="1"/>
  <c r="AU45" i="1" s="1"/>
  <c r="AV45" i="1" a="1"/>
  <c r="AV45" i="1" s="1"/>
  <c r="AK45" i="1"/>
  <c r="AX45" i="1" a="1"/>
  <c r="AX45" i="1" s="1"/>
  <c r="AY45" i="1" a="1"/>
  <c r="AY45" i="1" s="1"/>
  <c r="AZ45" i="1" a="1"/>
  <c r="AZ45" i="1" s="1"/>
  <c r="BB45" i="1" a="1"/>
  <c r="BB45" i="1" s="1"/>
  <c r="AV46" i="1" a="1"/>
  <c r="AV46" i="1" s="1"/>
  <c r="AU46" i="1" a="1"/>
  <c r="AU46" i="1" s="1"/>
  <c r="AM46" i="1"/>
  <c r="AW46" i="1" a="1"/>
  <c r="AW46" i="1" s="1"/>
  <c r="AL46" i="1"/>
  <c r="AX46" i="1" a="1"/>
  <c r="AX46" i="1" s="1"/>
  <c r="BA46" i="1" a="1"/>
  <c r="BA46" i="1" s="1"/>
  <c r="BB46" i="1" a="1"/>
  <c r="BB46" i="1" s="1"/>
  <c r="AP46" i="1"/>
  <c r="AI46" i="1"/>
  <c r="AY46" i="1" a="1"/>
  <c r="AY46" i="1" s="1"/>
  <c r="AJ46" i="1"/>
  <c r="AH46" i="1"/>
  <c r="AO46" i="1"/>
  <c r="AZ46" i="1" a="1"/>
  <c r="AZ46" i="1" s="1"/>
  <c r="AE46" i="1"/>
  <c r="BE46" i="1" a="1"/>
  <c r="BE46" i="1" s="1"/>
  <c r="AK46" i="1"/>
  <c r="BD46" i="1" a="1"/>
  <c r="BD46" i="1" s="1"/>
  <c r="AN46" i="1"/>
  <c r="BC46" i="1" a="1"/>
  <c r="BC46" i="1" s="1"/>
  <c r="BF46" i="1" a="1"/>
  <c r="BF46" i="1" s="1"/>
  <c r="AF46" i="1"/>
  <c r="AG46" i="1"/>
  <c r="AM47" i="1"/>
  <c r="AL47" i="1"/>
  <c r="AH47" i="1"/>
  <c r="BF47" i="1" a="1"/>
  <c r="BF47" i="1" s="1"/>
  <c r="AI47" i="1"/>
  <c r="AF47" i="1"/>
  <c r="AG47" i="1"/>
  <c r="AP47" i="1"/>
  <c r="AO47" i="1"/>
  <c r="AJ47" i="1"/>
  <c r="AK47" i="1"/>
  <c r="AE47" i="1"/>
  <c r="AN47" i="1"/>
  <c r="BE47" i="1" a="1"/>
  <c r="BE47" i="1" s="1"/>
  <c r="BD47" i="1" a="1"/>
  <c r="BD47" i="1" s="1"/>
  <c r="BC47" i="1" a="1"/>
  <c r="BC47" i="1" s="1"/>
  <c r="BB47" i="1" a="1"/>
  <c r="BB47" i="1" s="1"/>
  <c r="BA47" i="1" a="1"/>
  <c r="BA47" i="1" s="1"/>
  <c r="AZ47" i="1" a="1"/>
  <c r="AZ47" i="1" s="1"/>
  <c r="AY47" i="1" a="1"/>
  <c r="AY47" i="1" s="1"/>
  <c r="AX47" i="1" a="1"/>
  <c r="AX47" i="1" s="1"/>
  <c r="AW47" i="1" a="1"/>
  <c r="AW47" i="1" s="1"/>
  <c r="AV47" i="1" a="1"/>
  <c r="AV47" i="1" s="1"/>
  <c r="AU47" i="1" a="1"/>
  <c r="AU47" i="1" s="1"/>
  <c r="AY48" i="1" a="1"/>
  <c r="AY48" i="1" s="1"/>
  <c r="AH48" i="1"/>
  <c r="AU48" i="1" a="1"/>
  <c r="AU48" i="1" s="1"/>
  <c r="AV48" i="1" a="1"/>
  <c r="AV48" i="1" s="1"/>
  <c r="AW48" i="1" a="1"/>
  <c r="AW48" i="1" s="1"/>
  <c r="AX48" i="1" a="1"/>
  <c r="AX48" i="1" s="1"/>
  <c r="AG48" i="1"/>
  <c r="AZ48" i="1" a="1"/>
  <c r="AZ48" i="1" s="1"/>
  <c r="AJ48" i="1"/>
  <c r="AI48" i="1"/>
  <c r="BF48" i="1" a="1"/>
  <c r="BF48" i="1" s="1"/>
  <c r="AP48" i="1"/>
  <c r="AO48" i="1"/>
  <c r="AF48" i="1"/>
  <c r="AN48" i="1"/>
  <c r="AM48" i="1"/>
  <c r="BA48" i="1" a="1"/>
  <c r="BA48" i="1" s="1"/>
  <c r="AK48" i="1"/>
  <c r="BE48" i="1" a="1"/>
  <c r="BE48" i="1" s="1"/>
  <c r="AE48" i="1"/>
  <c r="AL48" i="1"/>
  <c r="BB48" i="1" a="1"/>
  <c r="BB48" i="1" s="1"/>
  <c r="BC48" i="1" a="1"/>
  <c r="BC48" i="1" s="1"/>
  <c r="BD48" i="1" a="1"/>
  <c r="BD48" i="1" s="1"/>
  <c r="AL49" i="1"/>
  <c r="AJ49" i="1"/>
  <c r="AI49" i="1"/>
  <c r="AE49" i="1"/>
  <c r="AK49" i="1"/>
  <c r="AM49" i="1"/>
  <c r="AP49" i="1"/>
  <c r="AV49" i="1" a="1"/>
  <c r="AV49" i="1" s="1"/>
  <c r="BC49" i="1" a="1"/>
  <c r="BC49" i="1" s="1"/>
  <c r="BD49" i="1" a="1"/>
  <c r="BD49" i="1" s="1"/>
  <c r="AX49" i="1" a="1"/>
  <c r="AX49" i="1" s="1"/>
  <c r="AW49" i="1" a="1"/>
  <c r="AW49" i="1" s="1"/>
  <c r="AF49" i="1"/>
  <c r="AY49" i="1" a="1"/>
  <c r="AY49" i="1" s="1"/>
  <c r="AZ49" i="1" a="1"/>
  <c r="AZ49" i="1" s="1"/>
  <c r="BA49" i="1" a="1"/>
  <c r="BA49" i="1" s="1"/>
  <c r="BB49" i="1" a="1"/>
  <c r="BB49" i="1" s="1"/>
  <c r="BE49" i="1" a="1"/>
  <c r="BE49" i="1" s="1"/>
  <c r="AH49" i="1"/>
  <c r="AO49" i="1"/>
  <c r="AG49" i="1"/>
  <c r="AU49" i="1" a="1"/>
  <c r="AU49" i="1" s="1"/>
  <c r="AN49" i="1"/>
  <c r="BF49" i="1" a="1"/>
  <c r="BF49" i="1" s="1"/>
  <c r="AH50" i="1"/>
  <c r="AK50" i="1"/>
  <c r="AY50" i="1" a="1"/>
  <c r="AY50" i="1" s="1"/>
  <c r="AX50" i="1" a="1"/>
  <c r="AX50" i="1" s="1"/>
  <c r="AZ50" i="1" a="1"/>
  <c r="AZ50" i="1" s="1"/>
  <c r="BA50" i="1" a="1"/>
  <c r="BA50" i="1" s="1"/>
  <c r="BB50" i="1" a="1"/>
  <c r="BB50" i="1" s="1"/>
  <c r="AM50" i="1"/>
  <c r="BC50" i="1" a="1"/>
  <c r="BC50" i="1" s="1"/>
  <c r="BD50" i="1" a="1"/>
  <c r="BD50" i="1" s="1"/>
  <c r="BE50" i="1" a="1"/>
  <c r="BE50" i="1" s="1"/>
  <c r="BF50" i="1" a="1"/>
  <c r="BF50" i="1" s="1"/>
  <c r="AU50" i="1" a="1"/>
  <c r="AU50" i="1" s="1"/>
  <c r="AV50" i="1" a="1"/>
  <c r="AV50" i="1" s="1"/>
  <c r="AW50" i="1" a="1"/>
  <c r="AW50" i="1" s="1"/>
  <c r="AN50" i="1"/>
  <c r="AI50" i="1"/>
  <c r="AE50" i="1"/>
  <c r="AO50" i="1"/>
  <c r="AL50" i="1"/>
  <c r="AP50" i="1"/>
  <c r="AJ50" i="1"/>
  <c r="AG50" i="1"/>
  <c r="AF50" i="1"/>
  <c r="AH51" i="1"/>
  <c r="AN51" i="1"/>
  <c r="BB51" i="1" a="1"/>
  <c r="BB51" i="1" s="1"/>
  <c r="AL51" i="1"/>
  <c r="AK51" i="1"/>
  <c r="BC51" i="1" a="1"/>
  <c r="BC51" i="1" s="1"/>
  <c r="AF51" i="1"/>
  <c r="AJ51" i="1"/>
  <c r="BA51" i="1" a="1"/>
  <c r="BA51" i="1" s="1"/>
  <c r="AZ51" i="1" a="1"/>
  <c r="AZ51" i="1" s="1"/>
  <c r="AY51" i="1" a="1"/>
  <c r="AY51" i="1" s="1"/>
  <c r="AX51" i="1" a="1"/>
  <c r="AX51" i="1" s="1"/>
  <c r="AO51" i="1"/>
  <c r="AV51" i="1" a="1"/>
  <c r="AV51" i="1" s="1"/>
  <c r="AW51" i="1" a="1"/>
  <c r="AW51" i="1" s="1"/>
  <c r="AI51" i="1"/>
  <c r="AU51" i="1" a="1"/>
  <c r="AU51" i="1" s="1"/>
  <c r="BF51" i="1" a="1"/>
  <c r="BF51" i="1" s="1"/>
  <c r="BE51" i="1" a="1"/>
  <c r="BE51" i="1" s="1"/>
  <c r="AP51" i="1"/>
  <c r="AM51" i="1"/>
  <c r="AE51" i="1"/>
  <c r="BD51" i="1" a="1"/>
  <c r="BD51" i="1" s="1"/>
  <c r="AG51" i="1"/>
  <c r="AN52" i="1"/>
  <c r="AX52" i="1" a="1"/>
  <c r="AX52" i="1" s="1"/>
  <c r="AY52" i="1" a="1"/>
  <c r="AY52" i="1" s="1"/>
  <c r="AW52" i="1" a="1"/>
  <c r="AW52" i="1" s="1"/>
  <c r="AG52" i="1"/>
  <c r="AF52" i="1"/>
  <c r="AE52" i="1"/>
  <c r="AZ52" i="1" a="1"/>
  <c r="AZ52" i="1" s="1"/>
  <c r="AV52" i="1" a="1"/>
  <c r="AV52" i="1" s="1"/>
  <c r="AP52" i="1"/>
  <c r="AI52" i="1"/>
  <c r="AU52" i="1" a="1"/>
  <c r="AU52" i="1" s="1"/>
  <c r="BA52" i="1" a="1"/>
  <c r="BA52" i="1" s="1"/>
  <c r="BB52" i="1" a="1"/>
  <c r="BB52" i="1" s="1"/>
  <c r="AO52" i="1"/>
  <c r="AM52" i="1"/>
  <c r="AH52" i="1"/>
  <c r="AL52" i="1"/>
  <c r="AK52" i="1"/>
  <c r="BF52" i="1" a="1"/>
  <c r="BF52" i="1" s="1"/>
  <c r="BD52" i="1" a="1"/>
  <c r="BD52" i="1" s="1"/>
  <c r="BC52" i="1" a="1"/>
  <c r="BC52" i="1" s="1"/>
  <c r="AJ52" i="1"/>
  <c r="BE52" i="1" a="1"/>
  <c r="BE52" i="1" s="1"/>
  <c r="BF53" i="1" a="1"/>
  <c r="BF53" i="1" s="1"/>
  <c r="AM53" i="1"/>
  <c r="AJ53" i="1"/>
  <c r="AG53" i="1"/>
  <c r="AE53" i="1"/>
  <c r="AL53" i="1"/>
  <c r="AH53" i="1"/>
  <c r="AW53" i="1" a="1"/>
  <c r="AW53" i="1" s="1"/>
  <c r="AF53" i="1"/>
  <c r="AV53" i="1" a="1"/>
  <c r="AV53" i="1" s="1"/>
  <c r="AU53" i="1" a="1"/>
  <c r="AU53" i="1" s="1"/>
  <c r="BE53" i="1" a="1"/>
  <c r="BE53" i="1" s="1"/>
  <c r="AI53" i="1"/>
  <c r="AK53" i="1"/>
  <c r="AN53" i="1"/>
  <c r="AO53" i="1"/>
  <c r="BB53" i="1" a="1"/>
  <c r="BB53" i="1" s="1"/>
  <c r="BD53" i="1" a="1"/>
  <c r="BD53" i="1" s="1"/>
  <c r="BA53" i="1" a="1"/>
  <c r="BA53" i="1" s="1"/>
  <c r="BC53" i="1" a="1"/>
  <c r="BC53" i="1" s="1"/>
  <c r="AZ53" i="1" a="1"/>
  <c r="AZ53" i="1" s="1"/>
  <c r="AY53" i="1" a="1"/>
  <c r="AY53" i="1" s="1"/>
  <c r="AP53" i="1"/>
  <c r="AX53" i="1" a="1"/>
  <c r="AX53" i="1" s="1"/>
  <c r="AY54" i="1" a="1"/>
  <c r="AY54" i="1" s="1"/>
  <c r="AL54" i="1"/>
  <c r="AO54" i="1"/>
  <c r="AE54" i="1"/>
  <c r="AX54" i="1" a="1"/>
  <c r="AX54" i="1" s="1"/>
  <c r="AK54" i="1"/>
  <c r="AN54" i="1"/>
  <c r="AJ54" i="1"/>
  <c r="AW54" i="1" a="1"/>
  <c r="AW54" i="1" s="1"/>
  <c r="AZ54" i="1" a="1"/>
  <c r="AZ54" i="1" s="1"/>
  <c r="BD54" i="1" a="1"/>
  <c r="BD54" i="1" s="1"/>
  <c r="BA54" i="1" a="1"/>
  <c r="BA54" i="1" s="1"/>
  <c r="BB54" i="1" a="1"/>
  <c r="BB54" i="1" s="1"/>
  <c r="BC54" i="1" a="1"/>
  <c r="BC54" i="1" s="1"/>
  <c r="AM54" i="1"/>
  <c r="AV54" i="1" a="1"/>
  <c r="AV54" i="1" s="1"/>
  <c r="AU54" i="1" a="1"/>
  <c r="AU54" i="1" s="1"/>
  <c r="AF54" i="1"/>
  <c r="BE54" i="1" a="1"/>
  <c r="BE54" i="1" s="1"/>
  <c r="BF54" i="1" a="1"/>
  <c r="BF54" i="1" s="1"/>
  <c r="AP54" i="1"/>
  <c r="AI54" i="1"/>
  <c r="AG54" i="1"/>
  <c r="AH54" i="1"/>
  <c r="AK55" i="1"/>
  <c r="AF55" i="1"/>
  <c r="AE55" i="1"/>
  <c r="AY55" i="1" a="1"/>
  <c r="AY55" i="1" s="1"/>
  <c r="BE55" i="1" a="1"/>
  <c r="BE55" i="1" s="1"/>
  <c r="BD55" i="1" a="1"/>
  <c r="BD55" i="1" s="1"/>
  <c r="BB55" i="1" a="1"/>
  <c r="BB55" i="1" s="1"/>
  <c r="AX55" i="1" a="1"/>
  <c r="AX55" i="1" s="1"/>
  <c r="AP55" i="1"/>
  <c r="AV55" i="1" a="1"/>
  <c r="AV55" i="1" s="1"/>
  <c r="BA55" i="1" a="1"/>
  <c r="BA55" i="1" s="1"/>
  <c r="AH55" i="1"/>
  <c r="AW55" i="1" a="1"/>
  <c r="AW55" i="1" s="1"/>
  <c r="AO55" i="1"/>
  <c r="AL55" i="1"/>
  <c r="BC55" i="1" a="1"/>
  <c r="BC55" i="1" s="1"/>
  <c r="AJ55" i="1"/>
  <c r="BF55" i="1" a="1"/>
  <c r="BF55" i="1" s="1"/>
  <c r="AM55" i="1"/>
  <c r="AN55" i="1"/>
  <c r="AI55" i="1"/>
  <c r="AU55" i="1" a="1"/>
  <c r="AU55" i="1" s="1"/>
  <c r="AG55" i="1"/>
  <c r="AZ55" i="1" a="1"/>
  <c r="AZ55" i="1" s="1"/>
  <c r="AH57" i="1"/>
  <c r="BF57" i="1" a="1"/>
  <c r="BF57" i="1" s="1"/>
  <c r="BD57" i="1" a="1"/>
  <c r="BD57" i="1" s="1"/>
  <c r="BB57" i="1" a="1"/>
  <c r="BB57" i="1" s="1"/>
  <c r="AZ57" i="1" a="1"/>
  <c r="AZ57" i="1" s="1"/>
  <c r="AY57" i="1" a="1"/>
  <c r="AY57" i="1" s="1"/>
  <c r="AW57" i="1" a="1"/>
  <c r="AW57" i="1" s="1"/>
  <c r="AV57" i="1" a="1"/>
  <c r="AV57" i="1" s="1"/>
  <c r="AU57" i="1" a="1"/>
  <c r="AU57" i="1" s="1"/>
  <c r="AF57" i="1"/>
  <c r="AX57" i="1" a="1"/>
  <c r="AX57" i="1" s="1"/>
  <c r="AJ57" i="1"/>
  <c r="AP57" i="1"/>
  <c r="AM57" i="1"/>
  <c r="AO57" i="1"/>
  <c r="AN57" i="1"/>
  <c r="AK57" i="1"/>
  <c r="AE57" i="1"/>
  <c r="AL57" i="1"/>
  <c r="BA57" i="1" a="1"/>
  <c r="BA57" i="1" s="1"/>
  <c r="BC57" i="1" a="1"/>
  <c r="BC57" i="1" s="1"/>
  <c r="AG57" i="1"/>
  <c r="BE57" i="1" a="1"/>
  <c r="BE57" i="1" s="1"/>
  <c r="AI57" i="1"/>
  <c r="AK58" i="1"/>
  <c r="BC58" i="1" a="1"/>
  <c r="BC58" i="1" s="1"/>
  <c r="AL58" i="1"/>
  <c r="AZ58" i="1" a="1"/>
  <c r="AZ58" i="1" s="1"/>
  <c r="BB58" i="1" a="1"/>
  <c r="BB58" i="1" s="1"/>
  <c r="BA58" i="1" a="1"/>
  <c r="BA58" i="1" s="1"/>
  <c r="AO58" i="1"/>
  <c r="AY58" i="1" a="1"/>
  <c r="AY58" i="1" s="1"/>
  <c r="AF58" i="1"/>
  <c r="AG58" i="1"/>
  <c r="AN58" i="1"/>
  <c r="AM58" i="1"/>
  <c r="AW58" i="1" a="1"/>
  <c r="AW58" i="1" s="1"/>
  <c r="AV58" i="1" a="1"/>
  <c r="AV58" i="1" s="1"/>
  <c r="BD58" i="1" a="1"/>
  <c r="BD58" i="1" s="1"/>
  <c r="AX58" i="1" a="1"/>
  <c r="AX58" i="1" s="1"/>
  <c r="BF58" i="1" a="1"/>
  <c r="BF58" i="1" s="1"/>
  <c r="AU58" i="1" a="1"/>
  <c r="AU58" i="1" s="1"/>
  <c r="AE58" i="1"/>
  <c r="AP58" i="1"/>
  <c r="AH58" i="1"/>
  <c r="AI58" i="1"/>
  <c r="AJ58" i="1"/>
  <c r="BE58" i="1" a="1"/>
  <c r="BE58" i="1" s="1"/>
  <c r="AI59" i="1"/>
  <c r="BB59" i="1" a="1"/>
  <c r="BB59" i="1" s="1"/>
  <c r="AU59" i="1" a="1"/>
  <c r="AU59" i="1" s="1"/>
  <c r="AH59" i="1"/>
  <c r="AV59" i="1" a="1"/>
  <c r="AV59" i="1" s="1"/>
  <c r="BA59" i="1" a="1"/>
  <c r="BA59" i="1" s="1"/>
  <c r="AX59" i="1" a="1"/>
  <c r="AX59" i="1" s="1"/>
  <c r="AZ59" i="1" a="1"/>
  <c r="AZ59" i="1" s="1"/>
  <c r="AF59" i="1"/>
  <c r="AE59" i="1"/>
  <c r="BC59" i="1" a="1"/>
  <c r="BC59" i="1" s="1"/>
  <c r="BF59" i="1" a="1"/>
  <c r="BF59" i="1" s="1"/>
  <c r="AY59" i="1" a="1"/>
  <c r="AY59" i="1" s="1"/>
  <c r="AW59" i="1" a="1"/>
  <c r="AW59" i="1" s="1"/>
  <c r="BD59" i="1" a="1"/>
  <c r="BD59" i="1" s="1"/>
  <c r="AP59" i="1"/>
  <c r="AG59" i="1"/>
  <c r="AO59" i="1"/>
  <c r="AN59" i="1"/>
  <c r="AM59" i="1"/>
  <c r="AL59" i="1"/>
  <c r="AK59" i="1"/>
  <c r="BE59" i="1" a="1"/>
  <c r="BE59" i="1" s="1"/>
  <c r="AJ59" i="1"/>
  <c r="AH60" i="1"/>
  <c r="AN60" i="1"/>
  <c r="AI60" i="1"/>
  <c r="AK60" i="1"/>
  <c r="AJ60" i="1"/>
  <c r="AX60" i="1" a="1"/>
  <c r="AX60" i="1" s="1"/>
  <c r="BA60" i="1" a="1"/>
  <c r="BA60" i="1" s="1"/>
  <c r="AF60" i="1"/>
  <c r="AP60" i="1"/>
  <c r="BE60" i="1" a="1"/>
  <c r="BE60" i="1" s="1"/>
  <c r="AM60" i="1"/>
  <c r="AL60" i="1"/>
  <c r="AU60" i="1" a="1"/>
  <c r="AU60" i="1" s="1"/>
  <c r="BD60" i="1" a="1"/>
  <c r="BD60" i="1" s="1"/>
  <c r="BF60" i="1" a="1"/>
  <c r="BF60" i="1" s="1"/>
  <c r="AG60" i="1"/>
  <c r="AE60" i="1"/>
  <c r="BB60" i="1" a="1"/>
  <c r="BB60" i="1" s="1"/>
  <c r="AV60" i="1" a="1"/>
  <c r="AV60" i="1" s="1"/>
  <c r="BC60" i="1" a="1"/>
  <c r="BC60" i="1" s="1"/>
  <c r="AZ60" i="1" a="1"/>
  <c r="AZ60" i="1" s="1"/>
  <c r="AW60" i="1" a="1"/>
  <c r="AW60" i="1" s="1"/>
  <c r="AY60" i="1" a="1"/>
  <c r="AY60" i="1" s="1"/>
  <c r="AO60" i="1"/>
  <c r="AP61" i="1"/>
  <c r="AX61" i="1" a="1"/>
  <c r="AX61" i="1" s="1"/>
  <c r="BB61" i="1" a="1"/>
  <c r="BB61" i="1" s="1"/>
  <c r="BE61" i="1" a="1"/>
  <c r="BE61" i="1" s="1"/>
  <c r="AH61" i="1"/>
  <c r="AI61" i="1"/>
  <c r="AJ61" i="1"/>
  <c r="AK61" i="1"/>
  <c r="AL61" i="1"/>
  <c r="AM61" i="1"/>
  <c r="AN61" i="1"/>
  <c r="AF61" i="1"/>
  <c r="AO61" i="1"/>
  <c r="BF61" i="1" a="1"/>
  <c r="BF61" i="1" s="1"/>
  <c r="AV61" i="1" a="1"/>
  <c r="AV61" i="1" s="1"/>
  <c r="AZ61" i="1" a="1"/>
  <c r="AZ61" i="1" s="1"/>
  <c r="AU61" i="1" a="1"/>
  <c r="AU61" i="1" s="1"/>
  <c r="AY61" i="1" a="1"/>
  <c r="AY61" i="1" s="1"/>
  <c r="BC61" i="1" a="1"/>
  <c r="BC61" i="1" s="1"/>
  <c r="AW61" i="1" a="1"/>
  <c r="AW61" i="1" s="1"/>
  <c r="BA61" i="1" a="1"/>
  <c r="BA61" i="1" s="1"/>
  <c r="BD61" i="1" a="1"/>
  <c r="BD61" i="1" s="1"/>
  <c r="AG61" i="1"/>
  <c r="AE61" i="1"/>
  <c r="AK62" i="1"/>
  <c r="AU62" i="1" a="1"/>
  <c r="AU62" i="1" s="1"/>
  <c r="AY62" i="1" a="1"/>
  <c r="AY62" i="1" s="1"/>
  <c r="BB62" i="1" a="1"/>
  <c r="BB62" i="1" s="1"/>
  <c r="BC62" i="1" a="1"/>
  <c r="BC62" i="1" s="1"/>
  <c r="AE62" i="1"/>
  <c r="AW62" i="1" a="1"/>
  <c r="AW62" i="1" s="1"/>
  <c r="AZ62" i="1" a="1"/>
  <c r="AZ62" i="1" s="1"/>
  <c r="AG62" i="1"/>
  <c r="AF62" i="1"/>
  <c r="BF62" i="1" a="1"/>
  <c r="BF62" i="1" s="1"/>
  <c r="AV62" i="1" a="1"/>
  <c r="AV62" i="1" s="1"/>
  <c r="AP62" i="1"/>
  <c r="AH62" i="1"/>
  <c r="AI62" i="1"/>
  <c r="AJ62" i="1"/>
  <c r="BD62" i="1" a="1"/>
  <c r="BD62" i="1" s="1"/>
  <c r="AL62" i="1"/>
  <c r="AX62" i="1" a="1"/>
  <c r="AX62" i="1" s="1"/>
  <c r="AM62" i="1"/>
  <c r="AN62" i="1"/>
  <c r="AO62" i="1"/>
  <c r="BA62" i="1" a="1"/>
  <c r="BA62" i="1" s="1"/>
  <c r="BE62" i="1" a="1"/>
  <c r="BE62" i="1" s="1"/>
  <c r="AH63" i="1"/>
  <c r="AI63" i="1"/>
  <c r="AJ63" i="1"/>
  <c r="AL63" i="1"/>
  <c r="AM63" i="1"/>
  <c r="AN63" i="1"/>
  <c r="AP63" i="1"/>
  <c r="AU63" i="1" a="1"/>
  <c r="AU63" i="1" s="1"/>
  <c r="AV63" i="1" a="1"/>
  <c r="AV63" i="1" s="1"/>
  <c r="AW63" i="1" a="1"/>
  <c r="AW63" i="1" s="1"/>
  <c r="AX63" i="1" a="1"/>
  <c r="AX63" i="1" s="1"/>
  <c r="AY63" i="1" a="1"/>
  <c r="AY63" i="1" s="1"/>
  <c r="AZ63" i="1" a="1"/>
  <c r="AZ63" i="1" s="1"/>
  <c r="BB63" i="1" a="1"/>
  <c r="BB63" i="1" s="1"/>
  <c r="BC63" i="1" a="1"/>
  <c r="BC63" i="1" s="1"/>
  <c r="BD63" i="1" a="1"/>
  <c r="BD63" i="1" s="1"/>
  <c r="BE63" i="1" a="1"/>
  <c r="BE63" i="1" s="1"/>
  <c r="AK63" i="1"/>
  <c r="AE63" i="1"/>
  <c r="AF63" i="1"/>
  <c r="AG63" i="1"/>
  <c r="BA63" i="1" a="1"/>
  <c r="BA63" i="1" s="1"/>
  <c r="AO63" i="1"/>
  <c r="BF63" i="1" a="1"/>
  <c r="BF63" i="1" s="1"/>
  <c r="AJ65" i="1"/>
  <c r="AK65" i="1"/>
  <c r="BC65" i="1" a="1"/>
  <c r="BC65" i="1" s="1"/>
  <c r="AL65" i="1"/>
  <c r="AM65" i="1"/>
  <c r="AO65" i="1"/>
  <c r="AP65" i="1"/>
  <c r="AE65" i="1"/>
  <c r="AG65" i="1"/>
  <c r="BF65" i="1" a="1"/>
  <c r="BF65" i="1" s="1"/>
  <c r="BE65" i="1" a="1"/>
  <c r="BE65" i="1" s="1"/>
  <c r="BD65" i="1" a="1"/>
  <c r="BD65" i="1" s="1"/>
  <c r="AN65" i="1"/>
  <c r="BB65" i="1" a="1"/>
  <c r="BB65" i="1" s="1"/>
  <c r="BA65" i="1" a="1"/>
  <c r="BA65" i="1" s="1"/>
  <c r="AZ65" i="1" a="1"/>
  <c r="AZ65" i="1" s="1"/>
  <c r="AY65" i="1" a="1"/>
  <c r="AY65" i="1" s="1"/>
  <c r="AX65" i="1" a="1"/>
  <c r="AX65" i="1" s="1"/>
  <c r="AW65" i="1" a="1"/>
  <c r="AW65" i="1" s="1"/>
  <c r="AV65" i="1" a="1"/>
  <c r="AV65" i="1" s="1"/>
  <c r="AU65" i="1" a="1"/>
  <c r="AU65" i="1" s="1"/>
  <c r="AF65" i="1"/>
  <c r="AH65" i="1"/>
  <c r="AI65" i="1"/>
  <c r="AG66" i="1"/>
  <c r="AF66" i="1"/>
  <c r="AX66" i="1" a="1"/>
  <c r="AX66" i="1" s="1"/>
  <c r="AV66" i="1" a="1"/>
  <c r="AV66" i="1" s="1"/>
  <c r="AY66" i="1" a="1"/>
  <c r="AY66" i="1" s="1"/>
  <c r="AE66" i="1"/>
  <c r="AW66" i="1" a="1"/>
  <c r="AW66" i="1" s="1"/>
  <c r="AZ66" i="1" a="1"/>
  <c r="AZ66" i="1" s="1"/>
  <c r="BA66" i="1" a="1"/>
  <c r="BA66" i="1" s="1"/>
  <c r="BB66" i="1" a="1"/>
  <c r="BB66" i="1" s="1"/>
  <c r="BC66" i="1" a="1"/>
  <c r="BC66" i="1" s="1"/>
  <c r="BD66" i="1" a="1"/>
  <c r="BD66" i="1" s="1"/>
  <c r="BE66" i="1" a="1"/>
  <c r="BE66" i="1" s="1"/>
  <c r="AP66" i="1"/>
  <c r="AO66" i="1"/>
  <c r="AN66" i="1"/>
  <c r="AM66" i="1"/>
  <c r="AL66" i="1"/>
  <c r="AK66" i="1"/>
  <c r="AJ66" i="1"/>
  <c r="AI66" i="1"/>
  <c r="AH66" i="1"/>
  <c r="BF66" i="1" a="1"/>
  <c r="BF66" i="1" s="1"/>
  <c r="AU66" i="1" a="1"/>
  <c r="AU66" i="1" s="1"/>
  <c r="BF67" i="1" a="1"/>
  <c r="BF67" i="1" s="1"/>
  <c r="AP67" i="1"/>
  <c r="AO67" i="1"/>
  <c r="AN67" i="1"/>
  <c r="AL67" i="1"/>
  <c r="AK67" i="1"/>
  <c r="AJ67" i="1"/>
  <c r="AI67" i="1"/>
  <c r="AH67" i="1"/>
  <c r="AE67" i="1"/>
  <c r="AF67" i="1"/>
  <c r="AG67" i="1"/>
  <c r="AU67" i="1" a="1"/>
  <c r="AU67" i="1" s="1"/>
  <c r="AV67" i="1" a="1"/>
  <c r="AV67" i="1" s="1"/>
  <c r="AW67" i="1" a="1"/>
  <c r="AW67" i="1" s="1"/>
  <c r="AX67" i="1" a="1"/>
  <c r="AX67" i="1" s="1"/>
  <c r="AY67" i="1" a="1"/>
  <c r="AY67" i="1" s="1"/>
  <c r="AM67" i="1"/>
  <c r="BA67" i="1" a="1"/>
  <c r="BA67" i="1" s="1"/>
  <c r="BB67" i="1" a="1"/>
  <c r="BB67" i="1" s="1"/>
  <c r="BC67" i="1" a="1"/>
  <c r="BC67" i="1" s="1"/>
  <c r="BD67" i="1" a="1"/>
  <c r="BD67" i="1" s="1"/>
  <c r="BE67" i="1" a="1"/>
  <c r="BE67" i="1" s="1"/>
  <c r="AZ67" i="1" a="1"/>
  <c r="AZ67" i="1" s="1"/>
  <c r="AF68" i="1"/>
  <c r="AN68" i="1"/>
  <c r="AO68" i="1"/>
  <c r="AP68" i="1"/>
  <c r="AU68" i="1" a="1"/>
  <c r="AU68" i="1" s="1"/>
  <c r="AV68" i="1" a="1"/>
  <c r="AV68" i="1" s="1"/>
  <c r="AW68" i="1" a="1"/>
  <c r="AW68" i="1" s="1"/>
  <c r="AX68" i="1" a="1"/>
  <c r="AX68" i="1" s="1"/>
  <c r="AY68" i="1" a="1"/>
  <c r="AY68" i="1" s="1"/>
  <c r="AZ68" i="1" a="1"/>
  <c r="AZ68" i="1" s="1"/>
  <c r="BA68" i="1" a="1"/>
  <c r="BA68" i="1" s="1"/>
  <c r="BB68" i="1" a="1"/>
  <c r="BB68" i="1" s="1"/>
  <c r="BC68" i="1" a="1"/>
  <c r="BC68" i="1" s="1"/>
  <c r="BD68" i="1" a="1"/>
  <c r="BD68" i="1" s="1"/>
  <c r="BE68" i="1" a="1"/>
  <c r="BE68" i="1" s="1"/>
  <c r="BF68" i="1" a="1"/>
  <c r="BF68" i="1" s="1"/>
  <c r="AE68" i="1"/>
  <c r="AH68" i="1"/>
  <c r="AI68" i="1"/>
  <c r="AJ68" i="1"/>
  <c r="AK68" i="1"/>
  <c r="AL68" i="1"/>
  <c r="AG68" i="1"/>
  <c r="AM68" i="1"/>
  <c r="AW70" i="1" a="1"/>
  <c r="AW70" i="1" s="1"/>
  <c r="BB70" i="1" a="1"/>
  <c r="BB70" i="1" s="1"/>
  <c r="AM70" i="1"/>
  <c r="AH70" i="1"/>
  <c r="AL70" i="1"/>
  <c r="AK70" i="1"/>
  <c r="AJ70" i="1"/>
  <c r="AI70" i="1"/>
  <c r="AP70" i="1"/>
  <c r="AV70" i="1" a="1"/>
  <c r="AV70" i="1" s="1"/>
  <c r="BC70" i="1" a="1"/>
  <c r="BC70" i="1" s="1"/>
  <c r="AO70" i="1"/>
  <c r="AU70" i="1" a="1"/>
  <c r="AU70" i="1" s="1"/>
  <c r="BD70" i="1" a="1"/>
  <c r="BD70" i="1" s="1"/>
  <c r="BE70" i="1" a="1"/>
  <c r="BE70" i="1" s="1"/>
  <c r="BF70" i="1" a="1"/>
  <c r="BF70" i="1" s="1"/>
  <c r="AX70" i="1" a="1"/>
  <c r="AX70" i="1" s="1"/>
  <c r="AN70" i="1"/>
  <c r="AY70" i="1" a="1"/>
  <c r="AY70" i="1" s="1"/>
  <c r="AZ70" i="1" a="1"/>
  <c r="AZ70" i="1" s="1"/>
  <c r="BA70" i="1" a="1"/>
  <c r="BA70" i="1" s="1"/>
  <c r="AF70" i="1"/>
  <c r="AG70" i="1"/>
  <c r="AE70" i="1"/>
  <c r="AZ71" i="1" a="1"/>
  <c r="AZ71" i="1" s="1"/>
  <c r="AG71" i="1"/>
  <c r="AF71" i="1"/>
  <c r="AY71" i="1" a="1"/>
  <c r="AY71" i="1" s="1"/>
  <c r="AP71" i="1"/>
  <c r="AM71" i="1"/>
  <c r="AL71" i="1"/>
  <c r="AK71" i="1"/>
  <c r="AJ71" i="1"/>
  <c r="AI71" i="1"/>
  <c r="AH71" i="1"/>
  <c r="AN71" i="1"/>
  <c r="AO71" i="1"/>
  <c r="AX71" i="1" a="1"/>
  <c r="AX71" i="1" s="1"/>
  <c r="AW71" i="1" a="1"/>
  <c r="AW71" i="1" s="1"/>
  <c r="AV71" i="1" a="1"/>
  <c r="AV71" i="1" s="1"/>
  <c r="AU71" i="1" a="1"/>
  <c r="AU71" i="1" s="1"/>
  <c r="AE71" i="1"/>
  <c r="BF71" i="1" a="1"/>
  <c r="BF71" i="1" s="1"/>
  <c r="BE71" i="1" a="1"/>
  <c r="BE71" i="1" s="1"/>
  <c r="BD71" i="1" a="1"/>
  <c r="BD71" i="1" s="1"/>
  <c r="BC71" i="1" a="1"/>
  <c r="BC71" i="1" s="1"/>
  <c r="BB71" i="1" a="1"/>
  <c r="BB71" i="1" s="1"/>
  <c r="BA71" i="1" a="1"/>
  <c r="BA71" i="1" s="1"/>
  <c r="AJ72" i="1"/>
  <c r="AK72" i="1"/>
  <c r="AL72" i="1"/>
  <c r="BF72" i="1" a="1"/>
  <c r="BF72" i="1" s="1"/>
  <c r="AF72" i="1"/>
  <c r="AH72" i="1"/>
  <c r="BD72" i="1" a="1"/>
  <c r="BD72" i="1" s="1"/>
  <c r="BC72" i="1" a="1"/>
  <c r="BC72" i="1" s="1"/>
  <c r="BB72" i="1" a="1"/>
  <c r="BB72" i="1" s="1"/>
  <c r="BA72" i="1" a="1"/>
  <c r="BA72" i="1" s="1"/>
  <c r="AP72" i="1"/>
  <c r="AO72" i="1"/>
  <c r="AZ72" i="1" a="1"/>
  <c r="AZ72" i="1" s="1"/>
  <c r="AG72" i="1"/>
  <c r="BE72" i="1" a="1"/>
  <c r="BE72" i="1" s="1"/>
  <c r="AY72" i="1" a="1"/>
  <c r="AY72" i="1" s="1"/>
  <c r="AX72" i="1" a="1"/>
  <c r="AX72" i="1" s="1"/>
  <c r="AW72" i="1" a="1"/>
  <c r="AW72" i="1" s="1"/>
  <c r="AN72" i="1"/>
  <c r="AM72" i="1"/>
  <c r="AI72" i="1"/>
  <c r="AV72" i="1" a="1"/>
  <c r="AV72" i="1" s="1"/>
  <c r="AU72" i="1" a="1"/>
  <c r="AU72" i="1" s="1"/>
  <c r="AE72" i="1"/>
  <c r="AE73" i="1"/>
  <c r="AN73" i="1"/>
  <c r="AU73" i="1" a="1"/>
  <c r="AU73" i="1" s="1"/>
  <c r="AV73" i="1" a="1"/>
  <c r="AV73" i="1" s="1"/>
  <c r="AO73" i="1"/>
  <c r="AM73" i="1"/>
  <c r="AL73" i="1"/>
  <c r="AK73" i="1"/>
  <c r="AJ73" i="1"/>
  <c r="AI73" i="1"/>
  <c r="AH73" i="1"/>
  <c r="AW73" i="1" a="1"/>
  <c r="AW73" i="1" s="1"/>
  <c r="AX73" i="1" a="1"/>
  <c r="AX73" i="1" s="1"/>
  <c r="AP73" i="1"/>
  <c r="AY73" i="1" a="1"/>
  <c r="AY73" i="1" s="1"/>
  <c r="AZ73" i="1" a="1"/>
  <c r="AZ73" i="1" s="1"/>
  <c r="BA73" i="1" a="1"/>
  <c r="BA73" i="1" s="1"/>
  <c r="BB73" i="1" a="1"/>
  <c r="BB73" i="1" s="1"/>
  <c r="BC73" i="1" a="1"/>
  <c r="BC73" i="1" s="1"/>
  <c r="BD73" i="1" a="1"/>
  <c r="BD73" i="1" s="1"/>
  <c r="BE73" i="1" a="1"/>
  <c r="BE73" i="1" s="1"/>
  <c r="BF73" i="1" a="1"/>
  <c r="BF73" i="1" s="1"/>
  <c r="AF73" i="1"/>
  <c r="AG73" i="1"/>
  <c r="AL74" i="1"/>
  <c r="AF74" i="1"/>
  <c r="AV74" i="1" a="1"/>
  <c r="AV74" i="1" s="1"/>
  <c r="AM74" i="1"/>
  <c r="AH74" i="1"/>
  <c r="AX74" i="1" a="1"/>
  <c r="AX74" i="1" s="1"/>
  <c r="AE74" i="1"/>
  <c r="AG74" i="1"/>
  <c r="AJ74" i="1"/>
  <c r="BC74" i="1" a="1"/>
  <c r="BC74" i="1" s="1"/>
  <c r="BF74" i="1" a="1"/>
  <c r="BF74" i="1" s="1"/>
  <c r="AI74" i="1"/>
  <c r="AP74" i="1"/>
  <c r="BE74" i="1" a="1"/>
  <c r="BE74" i="1" s="1"/>
  <c r="AO74" i="1"/>
  <c r="AW74" i="1" a="1"/>
  <c r="AW74" i="1" s="1"/>
  <c r="AK74" i="1"/>
  <c r="AN74" i="1"/>
  <c r="AU74" i="1" a="1"/>
  <c r="AU74" i="1" s="1"/>
  <c r="BB74" i="1" a="1"/>
  <c r="BB74" i="1" s="1"/>
  <c r="BA74" i="1" a="1"/>
  <c r="BA74" i="1" s="1"/>
  <c r="AZ74" i="1" a="1"/>
  <c r="AZ74" i="1" s="1"/>
  <c r="BD74" i="1" a="1"/>
  <c r="BD74" i="1" s="1"/>
  <c r="AY74" i="1" a="1"/>
  <c r="AY74" i="1" s="1"/>
  <c r="AY75" i="1" a="1"/>
  <c r="AY75" i="1" s="1"/>
  <c r="AX75" i="1" a="1"/>
  <c r="AX75" i="1" s="1"/>
  <c r="AW75" i="1" a="1"/>
  <c r="AW75" i="1" s="1"/>
  <c r="AV75" i="1" a="1"/>
  <c r="AV75" i="1" s="1"/>
  <c r="BB75" i="1" a="1"/>
  <c r="BB75" i="1" s="1"/>
  <c r="BA75" i="1" a="1"/>
  <c r="BA75" i="1" s="1"/>
  <c r="AH75" i="1"/>
  <c r="AU75" i="1" a="1"/>
  <c r="AU75" i="1" s="1"/>
  <c r="BC75" i="1" a="1"/>
  <c r="BC75" i="1" s="1"/>
  <c r="AZ75" i="1" a="1"/>
  <c r="AZ75" i="1" s="1"/>
  <c r="AF75" i="1"/>
  <c r="AK75" i="1"/>
  <c r="AO75" i="1"/>
  <c r="AE75" i="1"/>
  <c r="AN75" i="1"/>
  <c r="AL75" i="1"/>
  <c r="AI75" i="1"/>
  <c r="AP75" i="1"/>
  <c r="BF75" i="1" a="1"/>
  <c r="BF75" i="1" s="1"/>
  <c r="BE75" i="1" a="1"/>
  <c r="BE75" i="1" s="1"/>
  <c r="BD75" i="1" a="1"/>
  <c r="BD75" i="1" s="1"/>
  <c r="AM75" i="1"/>
  <c r="AJ75" i="1"/>
  <c r="AG75" i="1"/>
  <c r="BF76" i="1" a="1"/>
  <c r="BF76" i="1" s="1"/>
  <c r="AJ76" i="1"/>
  <c r="AK76" i="1"/>
  <c r="AM76" i="1"/>
  <c r="AP76" i="1"/>
  <c r="AI76" i="1"/>
  <c r="AH76" i="1"/>
  <c r="AE76" i="1"/>
  <c r="AG76" i="1"/>
  <c r="AF76" i="1"/>
  <c r="AL76" i="1"/>
  <c r="AN76" i="1"/>
  <c r="AV76" i="1" a="1"/>
  <c r="AV76" i="1" s="1"/>
  <c r="AU76" i="1" a="1"/>
  <c r="AU76" i="1" s="1"/>
  <c r="AO76" i="1"/>
  <c r="AW76" i="1" a="1"/>
  <c r="AW76" i="1" s="1"/>
  <c r="AX76" i="1" a="1"/>
  <c r="AX76" i="1" s="1"/>
  <c r="AY76" i="1" a="1"/>
  <c r="AY76" i="1" s="1"/>
  <c r="AZ76" i="1" a="1"/>
  <c r="AZ76" i="1" s="1"/>
  <c r="BA76" i="1" a="1"/>
  <c r="BA76" i="1" s="1"/>
  <c r="BB76" i="1" a="1"/>
  <c r="BB76" i="1" s="1"/>
  <c r="BC76" i="1" a="1"/>
  <c r="BC76" i="1" s="1"/>
  <c r="BD76" i="1" a="1"/>
  <c r="BD76" i="1" s="1"/>
  <c r="BE76" i="1" a="1"/>
  <c r="BE76" i="1" s="1"/>
  <c r="AP77" i="1"/>
  <c r="AO77" i="1"/>
  <c r="AJ77" i="1"/>
  <c r="AN77" i="1"/>
  <c r="AH77" i="1"/>
  <c r="AE77" i="1"/>
  <c r="AL77" i="1"/>
  <c r="AG77" i="1"/>
  <c r="AK77" i="1"/>
  <c r="AF77" i="1"/>
  <c r="AU77" i="1" a="1"/>
  <c r="AU77" i="1" s="1"/>
  <c r="AV77" i="1" a="1"/>
  <c r="AV77" i="1" s="1"/>
  <c r="AW77" i="1" a="1"/>
  <c r="AW77" i="1" s="1"/>
  <c r="AX77" i="1" a="1"/>
  <c r="AX77" i="1" s="1"/>
  <c r="AY77" i="1" a="1"/>
  <c r="AY77" i="1" s="1"/>
  <c r="AZ77" i="1" a="1"/>
  <c r="AZ77" i="1" s="1"/>
  <c r="BA77" i="1" a="1"/>
  <c r="BA77" i="1" s="1"/>
  <c r="BB77" i="1" a="1"/>
  <c r="BB77" i="1" s="1"/>
  <c r="BC77" i="1" a="1"/>
  <c r="BC77" i="1" s="1"/>
  <c r="BD77" i="1" a="1"/>
  <c r="BD77" i="1" s="1"/>
  <c r="BE77" i="1" a="1"/>
  <c r="BE77" i="1" s="1"/>
  <c r="BF77" i="1" a="1"/>
  <c r="BF77" i="1" s="1"/>
  <c r="AM77" i="1"/>
  <c r="AI77" i="1"/>
  <c r="AN78" i="1"/>
  <c r="AP78" i="1"/>
  <c r="AJ78" i="1"/>
  <c r="AM78" i="1"/>
  <c r="AI78" i="1"/>
  <c r="AK78" i="1"/>
  <c r="AE78" i="1"/>
  <c r="AG78" i="1"/>
  <c r="AX78" i="1" a="1"/>
  <c r="AX78" i="1" s="1"/>
  <c r="AF78" i="1"/>
  <c r="AO78" i="1"/>
  <c r="AU78" i="1" a="1"/>
  <c r="AU78" i="1" s="1"/>
  <c r="AV78" i="1" a="1"/>
  <c r="AV78" i="1" s="1"/>
  <c r="AW78" i="1" a="1"/>
  <c r="AW78" i="1" s="1"/>
  <c r="AY78" i="1" a="1"/>
  <c r="AY78" i="1" s="1"/>
  <c r="AZ78" i="1" a="1"/>
  <c r="AZ78" i="1" s="1"/>
  <c r="BA78" i="1" a="1"/>
  <c r="BA78" i="1" s="1"/>
  <c r="BB78" i="1" a="1"/>
  <c r="BB78" i="1" s="1"/>
  <c r="AL78" i="1"/>
  <c r="AH78" i="1"/>
  <c r="BC78" i="1" a="1"/>
  <c r="BC78" i="1" s="1"/>
  <c r="BD78" i="1" a="1"/>
  <c r="BD78" i="1" s="1"/>
  <c r="BE78" i="1" a="1"/>
  <c r="BE78" i="1" s="1"/>
  <c r="BF78" i="1" a="1"/>
  <c r="BF78" i="1" s="1"/>
  <c r="BD79" i="1" a="1"/>
  <c r="BD79" i="1" s="1"/>
  <c r="BC79" i="1" a="1"/>
  <c r="BC79" i="1" s="1"/>
  <c r="AG79" i="1"/>
  <c r="AN79" i="1"/>
  <c r="AM79" i="1"/>
  <c r="AI79" i="1"/>
  <c r="BB79" i="1" a="1"/>
  <c r="BB79" i="1" s="1"/>
  <c r="AL79" i="1"/>
  <c r="AP79" i="1"/>
  <c r="AK79" i="1"/>
  <c r="AH79" i="1"/>
  <c r="AF79" i="1"/>
  <c r="AO79" i="1"/>
  <c r="AJ79" i="1"/>
  <c r="AE79" i="1"/>
  <c r="BF79" i="1" a="1"/>
  <c r="BF79" i="1" s="1"/>
  <c r="BE79" i="1" a="1"/>
  <c r="BE79" i="1" s="1"/>
  <c r="AU79" i="1" a="1"/>
  <c r="AU79" i="1" s="1"/>
  <c r="AV79" i="1" a="1"/>
  <c r="AV79" i="1" s="1"/>
  <c r="AW79" i="1" a="1"/>
  <c r="AW79" i="1" s="1"/>
  <c r="AX79" i="1" a="1"/>
  <c r="AX79" i="1" s="1"/>
  <c r="AY79" i="1" a="1"/>
  <c r="AY79" i="1" s="1"/>
  <c r="AZ79" i="1" a="1"/>
  <c r="AZ79" i="1" s="1"/>
  <c r="BA79" i="1" a="1"/>
  <c r="BA79" i="1" s="1"/>
  <c r="AV80" i="1" a="1"/>
  <c r="AV80" i="1" s="1"/>
  <c r="AU80" i="1" a="1"/>
  <c r="AU80" i="1" s="1"/>
  <c r="AO80" i="1"/>
  <c r="AJ80" i="1"/>
  <c r="AF80" i="1"/>
  <c r="AG80" i="1"/>
  <c r="AE80" i="1"/>
  <c r="AL80" i="1"/>
  <c r="AI80" i="1"/>
  <c r="AH80" i="1"/>
  <c r="AP80" i="1"/>
  <c r="AN80" i="1"/>
  <c r="AK80" i="1"/>
  <c r="AM80" i="1"/>
  <c r="BF80" i="1" a="1"/>
  <c r="BF80" i="1" s="1"/>
  <c r="BE80" i="1" a="1"/>
  <c r="BE80" i="1" s="1"/>
  <c r="BD80" i="1" a="1"/>
  <c r="BD80" i="1" s="1"/>
  <c r="BC80" i="1" a="1"/>
  <c r="BC80" i="1" s="1"/>
  <c r="BB80" i="1" a="1"/>
  <c r="BB80" i="1" s="1"/>
  <c r="BA80" i="1" a="1"/>
  <c r="BA80" i="1" s="1"/>
  <c r="AZ80" i="1" a="1"/>
  <c r="AZ80" i="1" s="1"/>
  <c r="AY80" i="1" a="1"/>
  <c r="AY80" i="1" s="1"/>
  <c r="AX80" i="1" a="1"/>
  <c r="AX80" i="1" s="1"/>
  <c r="AW80" i="1" a="1"/>
  <c r="AW80" i="1" s="1"/>
  <c r="AL81" i="1"/>
  <c r="AK81" i="1"/>
  <c r="BD81" i="1" a="1"/>
  <c r="BD81" i="1" s="1"/>
  <c r="BF81" i="1" a="1"/>
  <c r="BF81" i="1" s="1"/>
  <c r="AF81" i="1"/>
  <c r="AJ81" i="1"/>
  <c r="AZ81" i="1" a="1"/>
  <c r="AZ81" i="1" s="1"/>
  <c r="BB81" i="1" a="1"/>
  <c r="BB81" i="1" s="1"/>
  <c r="BC81" i="1" a="1"/>
  <c r="BC81" i="1" s="1"/>
  <c r="AM81" i="1"/>
  <c r="AI81" i="1"/>
  <c r="AH81" i="1"/>
  <c r="AE81" i="1"/>
  <c r="AG81" i="1"/>
  <c r="AN81" i="1"/>
  <c r="AO81" i="1"/>
  <c r="AY81" i="1" a="1"/>
  <c r="AY81" i="1" s="1"/>
  <c r="AW81" i="1" a="1"/>
  <c r="AW81" i="1" s="1"/>
  <c r="AU81" i="1" a="1"/>
  <c r="AU81" i="1" s="1"/>
  <c r="AP81" i="1"/>
  <c r="BA81" i="1" a="1"/>
  <c r="BA81" i="1" s="1"/>
  <c r="AV81" i="1" a="1"/>
  <c r="AV81" i="1" s="1"/>
  <c r="AX81" i="1" a="1"/>
  <c r="AX81" i="1" s="1"/>
  <c r="BE81" i="1" a="1"/>
  <c r="BE81" i="1" s="1"/>
  <c r="AX82" i="1" a="1"/>
  <c r="AX82" i="1" s="1"/>
  <c r="AY82" i="1" a="1"/>
  <c r="AY82" i="1" s="1"/>
  <c r="AE82" i="1"/>
  <c r="AZ82" i="1" a="1"/>
  <c r="AZ82" i="1" s="1"/>
  <c r="AV82" i="1" a="1"/>
  <c r="AV82" i="1" s="1"/>
  <c r="BA82" i="1" a="1"/>
  <c r="BA82" i="1" s="1"/>
  <c r="BB82" i="1" a="1"/>
  <c r="BB82" i="1" s="1"/>
  <c r="BC82" i="1" a="1"/>
  <c r="BC82" i="1" s="1"/>
  <c r="BD82" i="1" a="1"/>
  <c r="BD82" i="1" s="1"/>
  <c r="BE82" i="1" a="1"/>
  <c r="BE82" i="1" s="1"/>
  <c r="BF82" i="1" a="1"/>
  <c r="BF82" i="1" s="1"/>
  <c r="AH82" i="1"/>
  <c r="AG82" i="1"/>
  <c r="AL82" i="1"/>
  <c r="AF82" i="1"/>
  <c r="AP82" i="1"/>
  <c r="AO82" i="1"/>
  <c r="AN82" i="1"/>
  <c r="AU82" i="1" a="1"/>
  <c r="AU82" i="1" s="1"/>
  <c r="AM82" i="1"/>
  <c r="AK82" i="1"/>
  <c r="AJ82" i="1"/>
  <c r="AI82" i="1"/>
  <c r="AW82" i="1" a="1"/>
  <c r="AW82" i="1" s="1"/>
  <c r="AO83" i="1"/>
  <c r="AJ83" i="1"/>
  <c r="AH83" i="1"/>
  <c r="AL83" i="1"/>
  <c r="AU83" i="1" a="1"/>
  <c r="AU83" i="1" s="1"/>
  <c r="AV83" i="1" a="1"/>
  <c r="AV83" i="1" s="1"/>
  <c r="AG83" i="1"/>
  <c r="AW83" i="1" a="1"/>
  <c r="AW83" i="1" s="1"/>
  <c r="AX83" i="1" a="1"/>
  <c r="AX83" i="1" s="1"/>
  <c r="BD83" i="1" a="1"/>
  <c r="BD83" i="1" s="1"/>
  <c r="AE83" i="1"/>
  <c r="AY83" i="1" a="1"/>
  <c r="AY83" i="1" s="1"/>
  <c r="AZ83" i="1" a="1"/>
  <c r="AZ83" i="1" s="1"/>
  <c r="BA83" i="1" a="1"/>
  <c r="BA83" i="1" s="1"/>
  <c r="BB83" i="1" a="1"/>
  <c r="BB83" i="1" s="1"/>
  <c r="BC83" i="1" a="1"/>
  <c r="BC83" i="1" s="1"/>
  <c r="AF83" i="1"/>
  <c r="AP83" i="1"/>
  <c r="BE83" i="1" a="1"/>
  <c r="BE83" i="1" s="1"/>
  <c r="AN83" i="1"/>
  <c r="AM83" i="1"/>
  <c r="BF83" i="1" a="1"/>
  <c r="BF83" i="1" s="1"/>
  <c r="AI83" i="1"/>
  <c r="AK83" i="1"/>
  <c r="AH84" i="1"/>
  <c r="AM84" i="1"/>
  <c r="AZ84" i="1" a="1"/>
  <c r="AZ84" i="1" s="1"/>
  <c r="AN84" i="1"/>
  <c r="AO84" i="1"/>
  <c r="AP84" i="1"/>
  <c r="BA84" i="1" a="1"/>
  <c r="BA84" i="1" s="1"/>
  <c r="BB84" i="1" a="1"/>
  <c r="BB84" i="1" s="1"/>
  <c r="AL84" i="1"/>
  <c r="AK84" i="1"/>
  <c r="AJ84" i="1"/>
  <c r="AI84" i="1"/>
  <c r="BC84" i="1" a="1"/>
  <c r="BC84" i="1" s="1"/>
  <c r="BE84" i="1" a="1"/>
  <c r="BE84" i="1" s="1"/>
  <c r="BF84" i="1" a="1"/>
  <c r="BF84" i="1" s="1"/>
  <c r="AU84" i="1" a="1"/>
  <c r="AU84" i="1" s="1"/>
  <c r="AV84" i="1" a="1"/>
  <c r="AV84" i="1" s="1"/>
  <c r="AW84" i="1" a="1"/>
  <c r="AW84" i="1" s="1"/>
  <c r="BD84" i="1" a="1"/>
  <c r="BD84" i="1" s="1"/>
  <c r="AX84" i="1" a="1"/>
  <c r="AX84" i="1" s="1"/>
  <c r="AE84" i="1"/>
  <c r="AG84" i="1"/>
  <c r="AY84" i="1" a="1"/>
  <c r="AY84" i="1" s="1"/>
  <c r="AF84" i="1"/>
  <c r="AL85" i="1"/>
  <c r="AG85" i="1"/>
  <c r="AE85" i="1"/>
  <c r="AU85" i="1" a="1"/>
  <c r="AU85" i="1" s="1"/>
  <c r="AV85" i="1" a="1"/>
  <c r="AV85" i="1" s="1"/>
  <c r="AN85" i="1"/>
  <c r="AX85" i="1" a="1"/>
  <c r="AX85" i="1" s="1"/>
  <c r="AY85" i="1" a="1"/>
  <c r="AY85" i="1" s="1"/>
  <c r="AZ85" i="1" a="1"/>
  <c r="AZ85" i="1" s="1"/>
  <c r="BA85" i="1" a="1"/>
  <c r="BA85" i="1" s="1"/>
  <c r="BB85" i="1" a="1"/>
  <c r="BB85" i="1" s="1"/>
  <c r="BC85" i="1" a="1"/>
  <c r="BC85" i="1" s="1"/>
  <c r="AP85" i="1"/>
  <c r="AF85" i="1"/>
  <c r="AM85" i="1"/>
  <c r="AJ85" i="1"/>
  <c r="BD85" i="1" a="1"/>
  <c r="BD85" i="1" s="1"/>
  <c r="BE85" i="1" a="1"/>
  <c r="BE85" i="1" s="1"/>
  <c r="BF85" i="1" a="1"/>
  <c r="BF85" i="1" s="1"/>
  <c r="AO85" i="1"/>
  <c r="AH85" i="1"/>
  <c r="AI85" i="1"/>
  <c r="AK85" i="1"/>
  <c r="AW85" i="1" a="1"/>
  <c r="AW85" i="1" s="1"/>
  <c r="BA86" i="1" a="1"/>
  <c r="BA86" i="1" s="1"/>
  <c r="BB86" i="1" a="1"/>
  <c r="BB86" i="1" s="1"/>
  <c r="BC86" i="1" a="1"/>
  <c r="BC86" i="1" s="1"/>
  <c r="BD86" i="1" a="1"/>
  <c r="BD86" i="1" s="1"/>
  <c r="BE86" i="1" a="1"/>
  <c r="BE86" i="1" s="1"/>
  <c r="BF86" i="1" a="1"/>
  <c r="BF86" i="1" s="1"/>
  <c r="AN86" i="1"/>
  <c r="AO86" i="1"/>
  <c r="AP86" i="1"/>
  <c r="AI86" i="1"/>
  <c r="AJ86" i="1"/>
  <c r="AK86" i="1"/>
  <c r="AM86" i="1"/>
  <c r="AX86" i="1" a="1"/>
  <c r="AX86" i="1" s="1"/>
  <c r="AL86" i="1"/>
  <c r="AF86" i="1"/>
  <c r="AH86" i="1"/>
  <c r="AE86" i="1"/>
  <c r="AV86" i="1" a="1"/>
  <c r="AV86" i="1" s="1"/>
  <c r="AU86" i="1" a="1"/>
  <c r="AU86" i="1" s="1"/>
  <c r="AW86" i="1" a="1"/>
  <c r="AW86" i="1" s="1"/>
  <c r="AY86" i="1" a="1"/>
  <c r="AY86" i="1" s="1"/>
  <c r="AZ86" i="1" a="1"/>
  <c r="AZ86" i="1" s="1"/>
  <c r="AG86" i="1"/>
  <c r="AX87" i="1" a="1"/>
  <c r="AX87" i="1" s="1"/>
  <c r="AU87" i="1" a="1"/>
  <c r="AU87" i="1" s="1"/>
  <c r="AG87" i="1"/>
  <c r="AJ87" i="1"/>
  <c r="AI87" i="1"/>
  <c r="AY87" i="1" a="1"/>
  <c r="AY87" i="1" s="1"/>
  <c r="AM87" i="1"/>
  <c r="AZ87" i="1" a="1"/>
  <c r="AZ87" i="1" s="1"/>
  <c r="BF87" i="1" a="1"/>
  <c r="BF87" i="1" s="1"/>
  <c r="AK87" i="1"/>
  <c r="AL87" i="1"/>
  <c r="BE87" i="1" a="1"/>
  <c r="BE87" i="1" s="1"/>
  <c r="AV87" i="1" a="1"/>
  <c r="AV87" i="1" s="1"/>
  <c r="AE87" i="1"/>
  <c r="BD87" i="1" a="1"/>
  <c r="BD87" i="1" s="1"/>
  <c r="BC87" i="1" a="1"/>
  <c r="BC87" i="1" s="1"/>
  <c r="BB87" i="1" a="1"/>
  <c r="BB87" i="1" s="1"/>
  <c r="AF87" i="1"/>
  <c r="BA87" i="1" a="1"/>
  <c r="BA87" i="1" s="1"/>
  <c r="AW87" i="1" a="1"/>
  <c r="AW87" i="1" s="1"/>
  <c r="AH87" i="1"/>
  <c r="AN87" i="1"/>
  <c r="AO87" i="1"/>
  <c r="AP87" i="1"/>
  <c r="AI88" i="1"/>
  <c r="BE88" i="1" a="1"/>
  <c r="BE88" i="1" s="1"/>
  <c r="AJ88" i="1"/>
  <c r="AK88" i="1"/>
  <c r="BF88" i="1" a="1"/>
  <c r="BF88" i="1" s="1"/>
  <c r="BB88" i="1" a="1"/>
  <c r="BB88" i="1" s="1"/>
  <c r="AO88" i="1"/>
  <c r="BA88" i="1" a="1"/>
  <c r="BA88" i="1" s="1"/>
  <c r="BC88" i="1" a="1"/>
  <c r="BC88" i="1" s="1"/>
  <c r="BD88" i="1" a="1"/>
  <c r="BD88" i="1" s="1"/>
  <c r="AM88" i="1"/>
  <c r="AN88" i="1"/>
  <c r="AF88" i="1"/>
  <c r="AG88" i="1"/>
  <c r="AZ88" i="1" a="1"/>
  <c r="AZ88" i="1" s="1"/>
  <c r="AY88" i="1" a="1"/>
  <c r="AY88" i="1" s="1"/>
  <c r="AL88" i="1"/>
  <c r="AE88" i="1"/>
  <c r="AX88" i="1" a="1"/>
  <c r="AX88" i="1" s="1"/>
  <c r="AW88" i="1" a="1"/>
  <c r="AW88" i="1" s="1"/>
  <c r="AV88" i="1" a="1"/>
  <c r="AV88" i="1" s="1"/>
  <c r="AP88" i="1"/>
  <c r="AU88" i="1" a="1"/>
  <c r="AU88" i="1" s="1"/>
  <c r="AH88" i="1"/>
  <c r="BB89" i="1" a="1"/>
  <c r="BB89" i="1" s="1"/>
  <c r="BF89" i="1" a="1"/>
  <c r="BF89" i="1" s="1"/>
  <c r="AK89" i="1"/>
  <c r="AG89" i="1"/>
  <c r="AW89" i="1" a="1"/>
  <c r="AW89" i="1" s="1"/>
  <c r="BD89" i="1" a="1"/>
  <c r="BD89" i="1" s="1"/>
  <c r="AH89" i="1"/>
  <c r="AF89" i="1"/>
  <c r="AI89" i="1"/>
  <c r="AJ89" i="1"/>
  <c r="AY89" i="1" a="1"/>
  <c r="AY89" i="1" s="1"/>
  <c r="AL89" i="1"/>
  <c r="AM89" i="1"/>
  <c r="AN89" i="1"/>
  <c r="AO89" i="1"/>
  <c r="AP89" i="1"/>
  <c r="AV89" i="1" a="1"/>
  <c r="AV89" i="1" s="1"/>
  <c r="BE89" i="1" a="1"/>
  <c r="BE89" i="1" s="1"/>
  <c r="BC89" i="1" a="1"/>
  <c r="BC89" i="1" s="1"/>
  <c r="BA89" i="1" a="1"/>
  <c r="BA89" i="1" s="1"/>
  <c r="AU89" i="1" a="1"/>
  <c r="AU89" i="1" s="1"/>
  <c r="AX89" i="1" a="1"/>
  <c r="AX89" i="1" s="1"/>
  <c r="AZ89" i="1" a="1"/>
  <c r="AZ89" i="1" s="1"/>
  <c r="AE89" i="1"/>
  <c r="AV90" i="1" a="1"/>
  <c r="AV90" i="1" s="1"/>
  <c r="AG90" i="1"/>
  <c r="AF90" i="1"/>
  <c r="AY90" i="1" a="1"/>
  <c r="AY90" i="1" s="1"/>
  <c r="AH90" i="1"/>
  <c r="AI90" i="1"/>
  <c r="AJ90" i="1"/>
  <c r="AK90" i="1"/>
  <c r="AL90" i="1"/>
  <c r="AM90" i="1"/>
  <c r="AN90" i="1"/>
  <c r="AO90" i="1"/>
  <c r="AP90" i="1"/>
  <c r="BC90" i="1" a="1"/>
  <c r="BC90" i="1" s="1"/>
  <c r="BD90" i="1" a="1"/>
  <c r="BD90" i="1" s="1"/>
  <c r="BB90" i="1" a="1"/>
  <c r="BB90" i="1" s="1"/>
  <c r="BF90" i="1" a="1"/>
  <c r="BF90" i="1" s="1"/>
  <c r="AU90" i="1" a="1"/>
  <c r="AU90" i="1" s="1"/>
  <c r="AX90" i="1" a="1"/>
  <c r="AX90" i="1" s="1"/>
  <c r="BA90" i="1" a="1"/>
  <c r="BA90" i="1" s="1"/>
  <c r="AW90" i="1" a="1"/>
  <c r="AW90" i="1" s="1"/>
  <c r="AZ90" i="1" a="1"/>
  <c r="AZ90" i="1" s="1"/>
  <c r="AE90" i="1"/>
  <c r="BE90" i="1" a="1"/>
  <c r="BE90" i="1" s="1"/>
  <c r="AU91" i="1" a="1"/>
  <c r="AU91" i="1" s="1"/>
  <c r="AG91" i="1"/>
  <c r="AH91" i="1"/>
  <c r="AI91" i="1"/>
  <c r="AJ91" i="1"/>
  <c r="AK91" i="1"/>
  <c r="AL91" i="1"/>
  <c r="AM91" i="1"/>
  <c r="AF91" i="1"/>
  <c r="BF91" i="1" a="1"/>
  <c r="BF91" i="1" s="1"/>
  <c r="BE91" i="1" a="1"/>
  <c r="BE91" i="1" s="1"/>
  <c r="BD91" i="1" a="1"/>
  <c r="BD91" i="1" s="1"/>
  <c r="BC91" i="1" a="1"/>
  <c r="BC91" i="1" s="1"/>
  <c r="BB91" i="1" a="1"/>
  <c r="BB91" i="1" s="1"/>
  <c r="BA91" i="1" a="1"/>
  <c r="BA91" i="1" s="1"/>
  <c r="AZ91" i="1" a="1"/>
  <c r="AZ91" i="1" s="1"/>
  <c r="AY91" i="1" a="1"/>
  <c r="AY91" i="1" s="1"/>
  <c r="AX91" i="1" a="1"/>
  <c r="AX91" i="1" s="1"/>
  <c r="AW91" i="1" a="1"/>
  <c r="AW91" i="1" s="1"/>
  <c r="AN91" i="1"/>
  <c r="AO91" i="1"/>
  <c r="AP91" i="1"/>
  <c r="AE91" i="1"/>
  <c r="AV91" i="1" a="1"/>
  <c r="AV91" i="1" s="1"/>
  <c r="AF92" i="1"/>
  <c r="BD92" i="1" a="1"/>
  <c r="BD92" i="1" s="1"/>
  <c r="AJ92" i="1"/>
  <c r="AE92" i="1"/>
  <c r="AN92" i="1"/>
  <c r="AI92" i="1"/>
  <c r="BF92" i="1" a="1"/>
  <c r="BF92" i="1" s="1"/>
  <c r="AM92" i="1"/>
  <c r="AL92" i="1"/>
  <c r="AK92" i="1"/>
  <c r="BC92" i="1" a="1"/>
  <c r="BC92" i="1" s="1"/>
  <c r="AG92" i="1"/>
  <c r="AH92" i="1"/>
  <c r="AP92" i="1"/>
  <c r="AO92" i="1"/>
  <c r="AY92" i="1" a="1"/>
  <c r="AY92" i="1" s="1"/>
  <c r="AU92" i="1" a="1"/>
  <c r="AU92" i="1" s="1"/>
  <c r="AV92" i="1" a="1"/>
  <c r="AV92" i="1" s="1"/>
  <c r="AW92" i="1" a="1"/>
  <c r="AW92" i="1" s="1"/>
  <c r="AX92" i="1" a="1"/>
  <c r="AX92" i="1" s="1"/>
  <c r="AZ92" i="1" a="1"/>
  <c r="AZ92" i="1" s="1"/>
  <c r="BA92" i="1" a="1"/>
  <c r="BA92" i="1" s="1"/>
  <c r="BB92" i="1" a="1"/>
  <c r="BB92" i="1" s="1"/>
  <c r="BE92" i="1" a="1"/>
  <c r="BE92" i="1" s="1"/>
  <c r="AY93" i="1" a="1"/>
  <c r="AY93" i="1" s="1"/>
  <c r="BE93" i="1" a="1"/>
  <c r="BE93" i="1" s="1"/>
  <c r="BD93" i="1" a="1"/>
  <c r="BD93" i="1" s="1"/>
  <c r="BC93" i="1" a="1"/>
  <c r="BC93" i="1" s="1"/>
  <c r="AI93" i="1"/>
  <c r="BB93" i="1" a="1"/>
  <c r="BB93" i="1" s="1"/>
  <c r="AH93" i="1"/>
  <c r="AE93" i="1"/>
  <c r="AF93" i="1"/>
  <c r="AP93" i="1"/>
  <c r="AO93" i="1"/>
  <c r="AN93" i="1"/>
  <c r="AW93" i="1" a="1"/>
  <c r="AW93" i="1" s="1"/>
  <c r="AL93" i="1"/>
  <c r="AK93" i="1"/>
  <c r="AJ93" i="1"/>
  <c r="AM93" i="1"/>
  <c r="BF93" i="1" a="1"/>
  <c r="BF93" i="1" s="1"/>
  <c r="AV93" i="1" a="1"/>
  <c r="AV93" i="1" s="1"/>
  <c r="AU93" i="1" a="1"/>
  <c r="AU93" i="1" s="1"/>
  <c r="BA93" i="1" a="1"/>
  <c r="BA93" i="1" s="1"/>
  <c r="AZ93" i="1" a="1"/>
  <c r="AZ93" i="1" s="1"/>
  <c r="AG93" i="1"/>
  <c r="AX93" i="1" a="1"/>
  <c r="AX93" i="1" s="1"/>
  <c r="BD94" i="1" a="1"/>
  <c r="BD94" i="1" s="1"/>
  <c r="BC94" i="1" a="1"/>
  <c r="BC94" i="1" s="1"/>
  <c r="BA94" i="1" a="1"/>
  <c r="BA94" i="1" s="1"/>
  <c r="AZ94" i="1" a="1"/>
  <c r="AZ94" i="1" s="1"/>
  <c r="AY94" i="1" a="1"/>
  <c r="AY94" i="1" s="1"/>
  <c r="AX94" i="1" a="1"/>
  <c r="AX94" i="1" s="1"/>
  <c r="AW94" i="1" a="1"/>
  <c r="AW94" i="1" s="1"/>
  <c r="AV94" i="1" a="1"/>
  <c r="AV94" i="1" s="1"/>
  <c r="AU94" i="1" a="1"/>
  <c r="AU94" i="1" s="1"/>
  <c r="AE94" i="1"/>
  <c r="AG94" i="1"/>
  <c r="AF94" i="1"/>
  <c r="BB94" i="1" a="1"/>
  <c r="BB94" i="1" s="1"/>
  <c r="AH94" i="1"/>
  <c r="AI94" i="1"/>
  <c r="AJ94" i="1"/>
  <c r="AK94" i="1"/>
  <c r="AL94" i="1"/>
  <c r="AM94" i="1"/>
  <c r="AN94" i="1"/>
  <c r="AO94" i="1"/>
  <c r="BF94" i="1" a="1"/>
  <c r="BF94" i="1" s="1"/>
  <c r="BE94" i="1" a="1"/>
  <c r="BE94" i="1" s="1"/>
  <c r="AP94" i="1"/>
  <c r="AU95" i="1" a="1"/>
  <c r="AU95" i="1" s="1"/>
  <c r="AV95" i="1" a="1"/>
  <c r="AV95" i="1" s="1"/>
  <c r="AW95" i="1" a="1"/>
  <c r="AW95" i="1" s="1"/>
  <c r="AX95" i="1" a="1"/>
  <c r="AX95" i="1" s="1"/>
  <c r="AY95" i="1" a="1"/>
  <c r="AY95" i="1" s="1"/>
  <c r="AZ95" i="1" a="1"/>
  <c r="AZ95" i="1" s="1"/>
  <c r="BA95" i="1" a="1"/>
  <c r="BA95" i="1" s="1"/>
  <c r="AP95" i="1"/>
  <c r="BD95" i="1" a="1"/>
  <c r="BD95" i="1" s="1"/>
  <c r="BB95" i="1" a="1"/>
  <c r="BB95" i="1" s="1"/>
  <c r="BC95" i="1" a="1"/>
  <c r="BC95" i="1" s="1"/>
  <c r="AE95" i="1"/>
  <c r="AF95" i="1"/>
  <c r="BF95" i="1" a="1"/>
  <c r="BF95" i="1" s="1"/>
  <c r="AG95" i="1"/>
  <c r="BE95" i="1" a="1"/>
  <c r="BE95" i="1" s="1"/>
  <c r="AH95" i="1"/>
  <c r="AI95" i="1"/>
  <c r="AJ95" i="1"/>
  <c r="AK95" i="1"/>
  <c r="AL95" i="1"/>
  <c r="AM95" i="1"/>
  <c r="AN95" i="1"/>
  <c r="AO95" i="1"/>
  <c r="AZ96" i="1" a="1"/>
  <c r="AZ96" i="1" s="1"/>
  <c r="BA96" i="1" a="1"/>
  <c r="BA96" i="1" s="1"/>
  <c r="BB96" i="1" a="1"/>
  <c r="BB96" i="1" s="1"/>
  <c r="BC96" i="1" a="1"/>
  <c r="BC96" i="1" s="1"/>
  <c r="BD96" i="1" a="1"/>
  <c r="BD96" i="1" s="1"/>
  <c r="BE96" i="1" a="1"/>
  <c r="BE96" i="1" s="1"/>
  <c r="BF96" i="1" a="1"/>
  <c r="BF96" i="1" s="1"/>
  <c r="AY96" i="1" a="1"/>
  <c r="AY96" i="1" s="1"/>
  <c r="AH96" i="1"/>
  <c r="AP96" i="1"/>
  <c r="AX96" i="1" a="1"/>
  <c r="AX96" i="1" s="1"/>
  <c r="AI96" i="1"/>
  <c r="AG96" i="1"/>
  <c r="AJ96" i="1"/>
  <c r="AE96" i="1"/>
  <c r="AW96" i="1" a="1"/>
  <c r="AW96" i="1" s="1"/>
  <c r="AV96" i="1" a="1"/>
  <c r="AV96" i="1" s="1"/>
  <c r="AU96" i="1" a="1"/>
  <c r="AU96" i="1" s="1"/>
  <c r="AK96" i="1"/>
  <c r="AL96" i="1"/>
  <c r="AF96" i="1"/>
  <c r="AM96" i="1"/>
  <c r="AN96" i="1"/>
  <c r="AO96" i="1"/>
  <c r="BC97" i="1" a="1"/>
  <c r="BC97" i="1" s="1"/>
  <c r="BD97" i="1" a="1"/>
  <c r="BD97" i="1" s="1"/>
  <c r="BE97" i="1" a="1"/>
  <c r="BE97" i="1" s="1"/>
  <c r="BF97" i="1" a="1"/>
  <c r="BF97" i="1" s="1"/>
  <c r="AG97" i="1"/>
  <c r="AE97" i="1"/>
  <c r="AP97" i="1"/>
  <c r="AF97" i="1"/>
  <c r="AH97" i="1"/>
  <c r="AI97" i="1"/>
  <c r="AJ97" i="1"/>
  <c r="AK97" i="1"/>
  <c r="AL97" i="1"/>
  <c r="AM97" i="1"/>
  <c r="AN97" i="1"/>
  <c r="AO97" i="1"/>
  <c r="AU97" i="1" a="1"/>
  <c r="AU97" i="1" s="1"/>
  <c r="AV97" i="1" a="1"/>
  <c r="AV97" i="1" s="1"/>
  <c r="AW97" i="1" a="1"/>
  <c r="AW97" i="1" s="1"/>
  <c r="AX97" i="1" a="1"/>
  <c r="AX97" i="1" s="1"/>
  <c r="AY97" i="1" a="1"/>
  <c r="AY97" i="1" s="1"/>
  <c r="AZ97" i="1" a="1"/>
  <c r="AZ97" i="1" s="1"/>
  <c r="BA97" i="1" a="1"/>
  <c r="BA97" i="1" s="1"/>
  <c r="BB97" i="1" a="1"/>
  <c r="BB97" i="1" s="1"/>
  <c r="BB98" i="1" a="1"/>
  <c r="BB98" i="1" s="1"/>
  <c r="BD98" i="1" a="1"/>
  <c r="BD98" i="1" s="1"/>
  <c r="BE98" i="1" a="1"/>
  <c r="BE98" i="1" s="1"/>
  <c r="BC98" i="1" a="1"/>
  <c r="BC98" i="1" s="1"/>
  <c r="BF98" i="1" a="1"/>
  <c r="BF98" i="1" s="1"/>
  <c r="AP98" i="1"/>
  <c r="AO98" i="1"/>
  <c r="AM98" i="1"/>
  <c r="AL98" i="1"/>
  <c r="AN98" i="1"/>
  <c r="AK98" i="1"/>
  <c r="AJ98" i="1"/>
  <c r="AI98" i="1"/>
  <c r="AH98" i="1"/>
  <c r="AX98" i="1" a="1"/>
  <c r="AX98" i="1" s="1"/>
  <c r="AE98" i="1"/>
  <c r="AF98" i="1"/>
  <c r="AG98" i="1"/>
  <c r="AU98" i="1" a="1"/>
  <c r="AU98" i="1" s="1"/>
  <c r="AV98" i="1" a="1"/>
  <c r="AV98" i="1" s="1"/>
  <c r="AW98" i="1" a="1"/>
  <c r="AW98" i="1" s="1"/>
  <c r="AY98" i="1" a="1"/>
  <c r="AY98" i="1" s="1"/>
  <c r="AZ98" i="1" a="1"/>
  <c r="AZ98" i="1" s="1"/>
  <c r="BA98" i="1" a="1"/>
  <c r="BA98" i="1" s="1"/>
  <c r="BF99" i="1" a="1"/>
  <c r="BF99" i="1" s="1"/>
  <c r="AO99" i="1"/>
  <c r="AP99" i="1"/>
  <c r="AM99" i="1"/>
  <c r="AN99" i="1"/>
  <c r="AG99" i="1"/>
  <c r="BE99" i="1" a="1"/>
  <c r="BE99" i="1" s="1"/>
  <c r="BC99" i="1" a="1"/>
  <c r="BC99" i="1" s="1"/>
  <c r="BB99" i="1" a="1"/>
  <c r="BB99" i="1" s="1"/>
  <c r="BA99" i="1" a="1"/>
  <c r="BA99" i="1" s="1"/>
  <c r="AZ99" i="1" a="1"/>
  <c r="AZ99" i="1" s="1"/>
  <c r="AY99" i="1" a="1"/>
  <c r="AY99" i="1" s="1"/>
  <c r="AX99" i="1" a="1"/>
  <c r="AX99" i="1" s="1"/>
  <c r="AW99" i="1" a="1"/>
  <c r="AW99" i="1" s="1"/>
  <c r="AV99" i="1" a="1"/>
  <c r="AV99" i="1" s="1"/>
  <c r="BD99" i="1" a="1"/>
  <c r="BD99" i="1" s="1"/>
  <c r="AU99" i="1" a="1"/>
  <c r="AU99" i="1" s="1"/>
  <c r="AF99" i="1"/>
  <c r="AE99" i="1"/>
  <c r="AH99" i="1"/>
  <c r="AI99" i="1"/>
  <c r="AJ99" i="1"/>
  <c r="AK99" i="1"/>
  <c r="AL99" i="1"/>
  <c r="AH100" i="1"/>
  <c r="AI100" i="1"/>
  <c r="AW100" i="1" a="1"/>
  <c r="AW100" i="1" s="1"/>
  <c r="BF100" i="1" a="1"/>
  <c r="BF100" i="1" s="1"/>
  <c r="AV100" i="1" a="1"/>
  <c r="AV100" i="1" s="1"/>
  <c r="AU100" i="1" a="1"/>
  <c r="AU100" i="1" s="1"/>
  <c r="AN100" i="1"/>
  <c r="BC100" i="1" a="1"/>
  <c r="BC100" i="1" s="1"/>
  <c r="AE100" i="1"/>
  <c r="AF100" i="1"/>
  <c r="AP100" i="1"/>
  <c r="AO100" i="1"/>
  <c r="AM100" i="1"/>
  <c r="AG100" i="1"/>
  <c r="AL100" i="1"/>
  <c r="AK100" i="1"/>
  <c r="AJ100" i="1"/>
  <c r="AY100" i="1" a="1"/>
  <c r="AY100" i="1" s="1"/>
  <c r="BB100" i="1" a="1"/>
  <c r="BB100" i="1" s="1"/>
  <c r="AZ100" i="1" a="1"/>
  <c r="AZ100" i="1" s="1"/>
  <c r="BA100" i="1" a="1"/>
  <c r="BA100" i="1" s="1"/>
  <c r="BE100" i="1" a="1"/>
  <c r="BE100" i="1" s="1"/>
  <c r="BD100" i="1" a="1"/>
  <c r="BD100" i="1" s="1"/>
  <c r="AX100" i="1" a="1"/>
  <c r="AX100" i="1" s="1"/>
  <c r="BF101" i="1" a="1"/>
  <c r="BF101" i="1" s="1"/>
  <c r="AG101" i="1"/>
  <c r="AE101" i="1"/>
  <c r="BE101" i="1" a="1"/>
  <c r="BE101" i="1" s="1"/>
  <c r="BD101" i="1" a="1"/>
  <c r="BD101" i="1" s="1"/>
  <c r="BC101" i="1" a="1"/>
  <c r="BC101" i="1" s="1"/>
  <c r="BA101" i="1" a="1"/>
  <c r="BA101" i="1" s="1"/>
  <c r="AH101" i="1"/>
  <c r="AI101" i="1"/>
  <c r="AJ101" i="1"/>
  <c r="AK101" i="1"/>
  <c r="AL101" i="1"/>
  <c r="AM101" i="1"/>
  <c r="AN101" i="1"/>
  <c r="AO101" i="1"/>
  <c r="AP101" i="1"/>
  <c r="AZ101" i="1" a="1"/>
  <c r="AZ101" i="1" s="1"/>
  <c r="AY101" i="1" a="1"/>
  <c r="AY101" i="1" s="1"/>
  <c r="AX101" i="1" a="1"/>
  <c r="AX101" i="1" s="1"/>
  <c r="AW101" i="1" a="1"/>
  <c r="AW101" i="1" s="1"/>
  <c r="AV101" i="1" a="1"/>
  <c r="AV101" i="1" s="1"/>
  <c r="AU101" i="1" a="1"/>
  <c r="AU101" i="1" s="1"/>
  <c r="AF101" i="1"/>
  <c r="BB101" i="1" a="1"/>
  <c r="BB101" i="1" s="1"/>
  <c r="BC102" i="1" a="1"/>
  <c r="BC102" i="1" s="1"/>
  <c r="BE102" i="1" a="1"/>
  <c r="BE102" i="1" s="1"/>
  <c r="BF102" i="1" a="1"/>
  <c r="BF102" i="1" s="1"/>
  <c r="AU102" i="1" a="1"/>
  <c r="AU102" i="1" s="1"/>
  <c r="AM102" i="1"/>
  <c r="AN102" i="1"/>
  <c r="AO102" i="1"/>
  <c r="AP102" i="1"/>
  <c r="BB102" i="1" a="1"/>
  <c r="BB102" i="1" s="1"/>
  <c r="BA102" i="1" a="1"/>
  <c r="BA102" i="1" s="1"/>
  <c r="AZ102" i="1" a="1"/>
  <c r="AZ102" i="1" s="1"/>
  <c r="AE102" i="1"/>
  <c r="BD102" i="1" a="1"/>
  <c r="BD102" i="1" s="1"/>
  <c r="AY102" i="1" a="1"/>
  <c r="AY102" i="1" s="1"/>
  <c r="AF102" i="1"/>
  <c r="AL102" i="1"/>
  <c r="AK102" i="1"/>
  <c r="AJ102" i="1"/>
  <c r="AI102" i="1"/>
  <c r="AX102" i="1" a="1"/>
  <c r="AX102" i="1" s="1"/>
  <c r="AH102" i="1"/>
  <c r="AG102" i="1"/>
  <c r="AW102" i="1" a="1"/>
  <c r="AW102" i="1" s="1"/>
  <c r="AV102" i="1" a="1"/>
  <c r="AV102" i="1" s="1"/>
  <c r="AP103" i="1"/>
  <c r="AY103" i="1" a="1"/>
  <c r="AY103" i="1" s="1"/>
  <c r="AM103" i="1"/>
  <c r="AF103" i="1"/>
  <c r="AE103" i="1"/>
  <c r="AH103" i="1"/>
  <c r="AG103" i="1"/>
  <c r="AI103" i="1"/>
  <c r="BF103" i="1" a="1"/>
  <c r="BF103" i="1" s="1"/>
  <c r="AJ103" i="1"/>
  <c r="AK103" i="1"/>
  <c r="AO103" i="1"/>
  <c r="BA103" i="1" a="1"/>
  <c r="BA103" i="1" s="1"/>
  <c r="BB103" i="1" a="1"/>
  <c r="BB103" i="1" s="1"/>
  <c r="BC103" i="1" a="1"/>
  <c r="BC103" i="1" s="1"/>
  <c r="BD103" i="1" a="1"/>
  <c r="BD103" i="1" s="1"/>
  <c r="BE103" i="1" a="1"/>
  <c r="BE103" i="1" s="1"/>
  <c r="AL103" i="1"/>
  <c r="AZ103" i="1" a="1"/>
  <c r="AZ103" i="1" s="1"/>
  <c r="AU103" i="1" a="1"/>
  <c r="AU103" i="1" s="1"/>
  <c r="AV103" i="1" a="1"/>
  <c r="AV103" i="1" s="1"/>
  <c r="AW103" i="1" a="1"/>
  <c r="AW103" i="1" s="1"/>
  <c r="AX103" i="1" a="1"/>
  <c r="AX103" i="1" s="1"/>
  <c r="AN103" i="1"/>
  <c r="AP104" i="1"/>
  <c r="AM104" i="1"/>
  <c r="AX104" i="1" a="1"/>
  <c r="AX104" i="1" s="1"/>
  <c r="AY104" i="1" a="1"/>
  <c r="AY104" i="1" s="1"/>
  <c r="AZ104" i="1" a="1"/>
  <c r="AZ104" i="1" s="1"/>
  <c r="AL104" i="1"/>
  <c r="BF104" i="1" a="1"/>
  <c r="BF104" i="1" s="1"/>
  <c r="BE104" i="1" a="1"/>
  <c r="BE104" i="1" s="1"/>
  <c r="BD104" i="1" a="1"/>
  <c r="BD104" i="1" s="1"/>
  <c r="BC104" i="1" a="1"/>
  <c r="BC104" i="1" s="1"/>
  <c r="BB104" i="1" a="1"/>
  <c r="BB104" i="1" s="1"/>
  <c r="BA104" i="1" a="1"/>
  <c r="BA104" i="1" s="1"/>
  <c r="AN104" i="1"/>
  <c r="AH104" i="1"/>
  <c r="AG104" i="1"/>
  <c r="AF104" i="1"/>
  <c r="AK104" i="1"/>
  <c r="AW104" i="1" a="1"/>
  <c r="AW104" i="1" s="1"/>
  <c r="AO104" i="1"/>
  <c r="AV104" i="1" a="1"/>
  <c r="AV104" i="1" s="1"/>
  <c r="AU104" i="1" a="1"/>
  <c r="AU104" i="1" s="1"/>
  <c r="AJ104" i="1"/>
  <c r="AI104" i="1"/>
  <c r="AE104" i="1"/>
  <c r="AY105" i="1" a="1"/>
  <c r="AY105" i="1" s="1"/>
  <c r="AZ105" i="1" a="1"/>
  <c r="AZ105" i="1" s="1"/>
  <c r="BA105" i="1" a="1"/>
  <c r="BA105" i="1" s="1"/>
  <c r="BB105" i="1" a="1"/>
  <c r="BB105" i="1" s="1"/>
  <c r="BC105" i="1" a="1"/>
  <c r="BC105" i="1" s="1"/>
  <c r="BD105" i="1" a="1"/>
  <c r="BD105" i="1" s="1"/>
  <c r="BE105" i="1" a="1"/>
  <c r="BE105" i="1" s="1"/>
  <c r="BF105" i="1" a="1"/>
  <c r="BF105" i="1" s="1"/>
  <c r="AU105" i="1" a="1"/>
  <c r="AU105" i="1" s="1"/>
  <c r="AO105" i="1"/>
  <c r="AF105" i="1"/>
  <c r="AH105" i="1"/>
  <c r="AE105" i="1"/>
  <c r="AV105" i="1" a="1"/>
  <c r="AV105" i="1" s="1"/>
  <c r="AW105" i="1" a="1"/>
  <c r="AW105" i="1" s="1"/>
  <c r="AX105" i="1" a="1"/>
  <c r="AX105" i="1" s="1"/>
  <c r="AG105" i="1"/>
  <c r="AM105" i="1"/>
  <c r="AI105" i="1"/>
  <c r="AL105" i="1"/>
  <c r="AN105" i="1"/>
  <c r="AJ105" i="1"/>
  <c r="AP105" i="1"/>
  <c r="AK105" i="1"/>
  <c r="AO106" i="1"/>
  <c r="AY106" i="1" a="1"/>
  <c r="AY106" i="1" s="1"/>
  <c r="AZ106" i="1" a="1"/>
  <c r="AZ106" i="1" s="1"/>
  <c r="AW106" i="1" a="1"/>
  <c r="AW106" i="1" s="1"/>
  <c r="AV106" i="1" a="1"/>
  <c r="AV106" i="1" s="1"/>
  <c r="AU106" i="1" a="1"/>
  <c r="AU106" i="1" s="1"/>
  <c r="BD106" i="1" a="1"/>
  <c r="BD106" i="1" s="1"/>
  <c r="BE106" i="1" a="1"/>
  <c r="BE106" i="1" s="1"/>
  <c r="AX106" i="1" a="1"/>
  <c r="AX106" i="1" s="1"/>
  <c r="AI106" i="1"/>
  <c r="AF106" i="1"/>
  <c r="BF106" i="1" a="1"/>
  <c r="BF106" i="1" s="1"/>
  <c r="AG106" i="1"/>
  <c r="BA106" i="1" a="1"/>
  <c r="BA106" i="1" s="1"/>
  <c r="BB106" i="1" a="1"/>
  <c r="BB106" i="1" s="1"/>
  <c r="BC106" i="1" a="1"/>
  <c r="BC106" i="1" s="1"/>
  <c r="AM106" i="1"/>
  <c r="AJ106" i="1"/>
  <c r="AH106" i="1"/>
  <c r="AK106" i="1"/>
  <c r="AN106" i="1"/>
  <c r="AE106" i="1"/>
  <c r="AP106" i="1"/>
  <c r="AL106" i="1"/>
  <c r="BD107" i="1" a="1"/>
  <c r="BD107" i="1" s="1"/>
  <c r="AV107" i="1" a="1"/>
  <c r="AV107" i="1" s="1"/>
  <c r="AW107" i="1" a="1"/>
  <c r="AW107" i="1" s="1"/>
  <c r="AL107" i="1"/>
  <c r="AE107" i="1"/>
  <c r="AZ107" i="1" a="1"/>
  <c r="AZ107" i="1" s="1"/>
  <c r="AH107" i="1"/>
  <c r="BA107" i="1" a="1"/>
  <c r="BA107" i="1" s="1"/>
  <c r="BC107" i="1" a="1"/>
  <c r="BC107" i="1" s="1"/>
  <c r="BE107" i="1" a="1"/>
  <c r="BE107" i="1" s="1"/>
  <c r="BF107" i="1" a="1"/>
  <c r="BF107" i="1" s="1"/>
  <c r="AX107" i="1" a="1"/>
  <c r="AX107" i="1" s="1"/>
  <c r="AP107" i="1"/>
  <c r="AY107" i="1" a="1"/>
  <c r="AY107" i="1" s="1"/>
  <c r="BB107" i="1" a="1"/>
  <c r="BB107" i="1" s="1"/>
  <c r="AN107" i="1"/>
  <c r="AJ107" i="1"/>
  <c r="AU107" i="1" a="1"/>
  <c r="AU107" i="1" s="1"/>
  <c r="AF107" i="1"/>
  <c r="AI107" i="1"/>
  <c r="AK107" i="1"/>
  <c r="AO107" i="1"/>
  <c r="AG107" i="1"/>
  <c r="AM107" i="1"/>
  <c r="AZ108" i="1" a="1"/>
  <c r="AZ108" i="1" s="1"/>
  <c r="BB108" i="1" a="1"/>
  <c r="BB108" i="1" s="1"/>
  <c r="BC108" i="1" a="1"/>
  <c r="BC108" i="1" s="1"/>
  <c r="AP108" i="1"/>
  <c r="AJ108" i="1"/>
  <c r="AF108" i="1"/>
  <c r="AG108" i="1"/>
  <c r="AL108" i="1"/>
  <c r="AN108" i="1"/>
  <c r="AE108" i="1"/>
  <c r="AM108" i="1"/>
  <c r="AV108" i="1" a="1"/>
  <c r="AV108" i="1" s="1"/>
  <c r="AH108" i="1"/>
  <c r="AX108" i="1" a="1"/>
  <c r="AX108" i="1" s="1"/>
  <c r="BF108" i="1" a="1"/>
  <c r="BF108" i="1" s="1"/>
  <c r="BA108" i="1" a="1"/>
  <c r="BA108" i="1" s="1"/>
  <c r="AI108" i="1"/>
  <c r="AO108" i="1"/>
  <c r="AU108" i="1" a="1"/>
  <c r="AU108" i="1" s="1"/>
  <c r="BD108" i="1" a="1"/>
  <c r="BD108" i="1" s="1"/>
  <c r="AW108" i="1" a="1"/>
  <c r="AW108" i="1" s="1"/>
  <c r="AY108" i="1" a="1"/>
  <c r="AY108" i="1" s="1"/>
  <c r="AK108" i="1"/>
  <c r="BE108" i="1" a="1"/>
  <c r="BE108" i="1" s="1"/>
  <c r="AL109" i="1"/>
  <c r="AH109" i="1"/>
  <c r="AP109" i="1"/>
  <c r="AN109" i="1"/>
  <c r="AG109" i="1"/>
  <c r="AF109" i="1"/>
  <c r="AJ109" i="1"/>
  <c r="BF109" i="1" a="1"/>
  <c r="BF109" i="1" s="1"/>
  <c r="BE109" i="1" a="1"/>
  <c r="BE109" i="1" s="1"/>
  <c r="BD109" i="1" a="1"/>
  <c r="BD109" i="1" s="1"/>
  <c r="BC109" i="1" a="1"/>
  <c r="BC109" i="1" s="1"/>
  <c r="BB109" i="1" a="1"/>
  <c r="BB109" i="1" s="1"/>
  <c r="AE109" i="1"/>
  <c r="BA109" i="1" a="1"/>
  <c r="BA109" i="1" s="1"/>
  <c r="AO109" i="1"/>
  <c r="AI109" i="1"/>
  <c r="AM109" i="1"/>
  <c r="AZ109" i="1" a="1"/>
  <c r="AZ109" i="1" s="1"/>
  <c r="AY109" i="1" a="1"/>
  <c r="AY109" i="1" s="1"/>
  <c r="AX109" i="1" a="1"/>
  <c r="AX109" i="1" s="1"/>
  <c r="AW109" i="1" a="1"/>
  <c r="AW109" i="1" s="1"/>
  <c r="AV109" i="1" a="1"/>
  <c r="AV109" i="1" s="1"/>
  <c r="AK109" i="1"/>
  <c r="AU109" i="1" a="1"/>
  <c r="AU109" i="1" s="1"/>
  <c r="AF110" i="1"/>
  <c r="AG110" i="1"/>
  <c r="AP110" i="1"/>
  <c r="AO110" i="1"/>
  <c r="AE110" i="1"/>
  <c r="AL110" i="1"/>
  <c r="AH110" i="1"/>
  <c r="BE110" i="1" a="1"/>
  <c r="BE110" i="1" s="1"/>
  <c r="BF110" i="1" a="1"/>
  <c r="BF110" i="1" s="1"/>
  <c r="AU110" i="1" a="1"/>
  <c r="AU110" i="1" s="1"/>
  <c r="AV110" i="1" a="1"/>
  <c r="AV110" i="1" s="1"/>
  <c r="AJ110" i="1"/>
  <c r="AI110" i="1"/>
  <c r="AM110" i="1"/>
  <c r="AW110" i="1" a="1"/>
  <c r="AW110" i="1" s="1"/>
  <c r="AN110" i="1"/>
  <c r="AX110" i="1" a="1"/>
  <c r="AX110" i="1" s="1"/>
  <c r="AY110" i="1" a="1"/>
  <c r="AY110" i="1" s="1"/>
  <c r="AZ110" i="1" a="1"/>
  <c r="AZ110" i="1" s="1"/>
  <c r="BA110" i="1" a="1"/>
  <c r="BA110" i="1" s="1"/>
  <c r="BD110" i="1" a="1"/>
  <c r="BD110" i="1" s="1"/>
  <c r="BB110" i="1" a="1"/>
  <c r="BB110" i="1" s="1"/>
  <c r="BC110" i="1" a="1"/>
  <c r="BC110" i="1" s="1"/>
  <c r="AK110" i="1"/>
  <c r="P16" i="1" a="1"/>
  <c r="P16" i="1" s="1"/>
  <c r="V16" i="1" a="1"/>
  <c r="V16" i="1" s="1"/>
  <c r="U16" i="1" a="1"/>
  <c r="U16" i="1" s="1"/>
  <c r="T16" i="1" a="1"/>
  <c r="T16" i="1" s="1"/>
  <c r="S16" i="1" a="1"/>
  <c r="S16" i="1" s="1"/>
  <c r="R16" i="1" a="1"/>
  <c r="R16" i="1" s="1"/>
  <c r="Q16" i="1" a="1"/>
  <c r="Q16" i="1" s="1"/>
  <c r="O16" i="1" a="1"/>
  <c r="O16" i="1" s="1"/>
  <c r="X16" i="1" a="1"/>
  <c r="X16" i="1" s="1"/>
  <c r="Z16" i="1" a="1"/>
  <c r="Z16" i="1" s="1"/>
  <c r="W16" i="1" a="1"/>
  <c r="W16" i="1" s="1"/>
  <c r="Y16" i="1" a="1"/>
  <c r="Y16" i="1" s="1"/>
  <c r="P17" i="1" a="1"/>
  <c r="P17" i="1" s="1"/>
  <c r="T17" i="1" a="1"/>
  <c r="T17" i="1" s="1"/>
  <c r="Q17" i="1" a="1"/>
  <c r="Q17" i="1" s="1"/>
  <c r="O17" i="1" a="1"/>
  <c r="O17" i="1" s="1"/>
  <c r="R17" i="1" a="1"/>
  <c r="R17" i="1" s="1"/>
  <c r="S17" i="1" a="1"/>
  <c r="S17" i="1" s="1"/>
  <c r="U17" i="1" a="1"/>
  <c r="U17" i="1" s="1"/>
  <c r="V17" i="1" a="1"/>
  <c r="V17" i="1" s="1"/>
  <c r="X17" i="1" a="1"/>
  <c r="X17" i="1" s="1"/>
  <c r="Z17" i="1" a="1"/>
  <c r="Z17" i="1" s="1"/>
  <c r="Y17" i="1" a="1"/>
  <c r="Y17" i="1" s="1"/>
  <c r="W17" i="1" a="1"/>
  <c r="W17" i="1" s="1"/>
  <c r="Y18" i="1" a="1"/>
  <c r="Y18" i="1" s="1"/>
  <c r="U18" i="1" a="1"/>
  <c r="U18" i="1" s="1"/>
  <c r="Q18" i="1" a="1"/>
  <c r="Q18" i="1" s="1"/>
  <c r="T18" i="1" a="1"/>
  <c r="T18" i="1" s="1"/>
  <c r="X18" i="1" a="1"/>
  <c r="X18" i="1" s="1"/>
  <c r="Z18" i="1" a="1"/>
  <c r="Z18" i="1" s="1"/>
  <c r="W18" i="1" a="1"/>
  <c r="W18" i="1" s="1"/>
  <c r="S18" i="1" a="1"/>
  <c r="S18" i="1" s="1"/>
  <c r="R18" i="1" a="1"/>
  <c r="R18" i="1" s="1"/>
  <c r="V18" i="1" a="1"/>
  <c r="V18" i="1" s="1"/>
  <c r="P18" i="1" a="1"/>
  <c r="P18" i="1" s="1"/>
  <c r="O18" i="1" a="1"/>
  <c r="O18" i="1" s="1"/>
  <c r="S19" i="1" a="1"/>
  <c r="S19" i="1" s="1"/>
  <c r="T19" i="1" a="1"/>
  <c r="T19" i="1" s="1"/>
  <c r="P19" i="1" a="1"/>
  <c r="P19" i="1" s="1"/>
  <c r="X19" i="1" a="1"/>
  <c r="X19" i="1" s="1"/>
  <c r="U19" i="1" a="1"/>
  <c r="U19" i="1" s="1"/>
  <c r="Q19" i="1" a="1"/>
  <c r="Q19" i="1" s="1"/>
  <c r="Z19" i="1" a="1"/>
  <c r="Z19" i="1" s="1"/>
  <c r="Y19" i="1" a="1"/>
  <c r="Y19" i="1" s="1"/>
  <c r="V19" i="1" a="1"/>
  <c r="V19" i="1" s="1"/>
  <c r="R19" i="1" a="1"/>
  <c r="R19" i="1" s="1"/>
  <c r="O19" i="1" a="1"/>
  <c r="O19" i="1" s="1"/>
  <c r="W19" i="1" a="1"/>
  <c r="W19" i="1" s="1"/>
  <c r="S20" i="1" a="1"/>
  <c r="S20" i="1" s="1"/>
  <c r="X20" i="1" a="1"/>
  <c r="X20" i="1" s="1"/>
  <c r="W20" i="1" a="1"/>
  <c r="W20" i="1" s="1"/>
  <c r="U20" i="1" a="1"/>
  <c r="U20" i="1" s="1"/>
  <c r="Q20" i="1" a="1"/>
  <c r="Q20" i="1" s="1"/>
  <c r="P20" i="1" a="1"/>
  <c r="P20" i="1" s="1"/>
  <c r="T20" i="1" a="1"/>
  <c r="T20" i="1" s="1"/>
  <c r="Y20" i="1" a="1"/>
  <c r="Y20" i="1" s="1"/>
  <c r="Z20" i="1" a="1"/>
  <c r="Z20" i="1" s="1"/>
  <c r="V20" i="1" a="1"/>
  <c r="V20" i="1" s="1"/>
  <c r="R20" i="1" a="1"/>
  <c r="R20" i="1" s="1"/>
  <c r="O20" i="1" a="1"/>
  <c r="O20" i="1" s="1"/>
  <c r="T21" i="1" a="1"/>
  <c r="T21" i="1" s="1"/>
  <c r="X21" i="1" a="1"/>
  <c r="X21" i="1" s="1"/>
  <c r="U21" i="1" a="1"/>
  <c r="U21" i="1" s="1"/>
  <c r="Q21" i="1" a="1"/>
  <c r="Q21" i="1" s="1"/>
  <c r="O21" i="1" a="1"/>
  <c r="O21" i="1" s="1"/>
  <c r="Z21" i="1" a="1"/>
  <c r="Z21" i="1" s="1"/>
  <c r="V21" i="1" a="1"/>
  <c r="V21" i="1" s="1"/>
  <c r="R21" i="1" a="1"/>
  <c r="R21" i="1" s="1"/>
  <c r="Y21" i="1" a="1"/>
  <c r="Y21" i="1" s="1"/>
  <c r="P21" i="1" a="1"/>
  <c r="P21" i="1" s="1"/>
  <c r="S21" i="1" a="1"/>
  <c r="S21" i="1" s="1"/>
  <c r="W21" i="1" a="1"/>
  <c r="W21" i="1" s="1"/>
  <c r="R22" i="1" a="1"/>
  <c r="R22" i="1" s="1"/>
  <c r="W22" i="1" a="1"/>
  <c r="W22" i="1" s="1"/>
  <c r="T22" i="1" a="1"/>
  <c r="T22" i="1" s="1"/>
  <c r="P22" i="1" a="1"/>
  <c r="P22" i="1" s="1"/>
  <c r="V22" i="1" a="1"/>
  <c r="V22" i="1" s="1"/>
  <c r="Y22" i="1" a="1"/>
  <c r="Y22" i="1" s="1"/>
  <c r="U22" i="1" a="1"/>
  <c r="U22" i="1" s="1"/>
  <c r="O22" i="1" a="1"/>
  <c r="O22" i="1" s="1"/>
  <c r="Z22" i="1" a="1"/>
  <c r="Z22" i="1" s="1"/>
  <c r="Q22" i="1" a="1"/>
  <c r="Q22" i="1" s="1"/>
  <c r="S22" i="1" a="1"/>
  <c r="S22" i="1" s="1"/>
  <c r="X22" i="1" a="1"/>
  <c r="X22" i="1" s="1"/>
  <c r="T23" i="1" a="1"/>
  <c r="T23" i="1" s="1"/>
  <c r="Z23" i="1" a="1"/>
  <c r="Z23" i="1" s="1"/>
  <c r="U23" i="1" a="1"/>
  <c r="U23" i="1" s="1"/>
  <c r="R23" i="1" a="1"/>
  <c r="R23" i="1" s="1"/>
  <c r="X23" i="1" a="1"/>
  <c r="X23" i="1" s="1"/>
  <c r="Q23" i="1" a="1"/>
  <c r="Q23" i="1" s="1"/>
  <c r="Y23" i="1" a="1"/>
  <c r="Y23" i="1" s="1"/>
  <c r="V23" i="1" a="1"/>
  <c r="V23" i="1" s="1"/>
  <c r="S23" i="1" a="1"/>
  <c r="S23" i="1" s="1"/>
  <c r="W23" i="1" a="1"/>
  <c r="W23" i="1" s="1"/>
  <c r="O23" i="1" a="1"/>
  <c r="O23" i="1" s="1"/>
  <c r="P23" i="1" a="1"/>
  <c r="P23" i="1" s="1"/>
  <c r="V24" i="1" a="1"/>
  <c r="V24" i="1" s="1"/>
  <c r="Q24" i="1" a="1"/>
  <c r="Q24" i="1" s="1"/>
  <c r="T24" i="1" a="1"/>
  <c r="T24" i="1" s="1"/>
  <c r="O24" i="1" a="1"/>
  <c r="O24" i="1" s="1"/>
  <c r="S24" i="1" a="1"/>
  <c r="S24" i="1" s="1"/>
  <c r="R24" i="1" a="1"/>
  <c r="R24" i="1" s="1"/>
  <c r="Z24" i="1" a="1"/>
  <c r="Z24" i="1" s="1"/>
  <c r="X24" i="1" a="1"/>
  <c r="X24" i="1" s="1"/>
  <c r="U24" i="1" a="1"/>
  <c r="U24" i="1" s="1"/>
  <c r="Y24" i="1" a="1"/>
  <c r="Y24" i="1" s="1"/>
  <c r="W24" i="1" a="1"/>
  <c r="W24" i="1" s="1"/>
  <c r="P24" i="1" a="1"/>
  <c r="P24" i="1" s="1"/>
  <c r="U25" i="1" a="1"/>
  <c r="U25" i="1" s="1"/>
  <c r="X25" i="1" a="1"/>
  <c r="X25" i="1" s="1"/>
  <c r="Z25" i="1" a="1"/>
  <c r="Z25" i="1" s="1"/>
  <c r="S25" i="1" a="1"/>
  <c r="S25" i="1" s="1"/>
  <c r="V25" i="1" a="1"/>
  <c r="V25" i="1" s="1"/>
  <c r="P25" i="1" a="1"/>
  <c r="P25" i="1" s="1"/>
  <c r="W25" i="1" a="1"/>
  <c r="W25" i="1" s="1"/>
  <c r="Q25" i="1" a="1"/>
  <c r="Q25" i="1" s="1"/>
  <c r="O25" i="1" a="1"/>
  <c r="O25" i="1" s="1"/>
  <c r="Y25" i="1" a="1"/>
  <c r="Y25" i="1" s="1"/>
  <c r="R25" i="1" a="1"/>
  <c r="R25" i="1" s="1"/>
  <c r="T25" i="1" a="1"/>
  <c r="T25" i="1" s="1"/>
  <c r="V26" i="1" a="1"/>
  <c r="V26" i="1" s="1"/>
  <c r="P26" i="1" a="1"/>
  <c r="P26" i="1" s="1"/>
  <c r="Z26" i="1" a="1"/>
  <c r="Z26" i="1" s="1"/>
  <c r="Y26" i="1" a="1"/>
  <c r="Y26" i="1" s="1"/>
  <c r="Q26" i="1" a="1"/>
  <c r="Q26" i="1" s="1"/>
  <c r="O26" i="1" a="1"/>
  <c r="O26" i="1" s="1"/>
  <c r="R26" i="1" a="1"/>
  <c r="R26" i="1" s="1"/>
  <c r="S26" i="1" a="1"/>
  <c r="S26" i="1" s="1"/>
  <c r="U26" i="1" a="1"/>
  <c r="U26" i="1" s="1"/>
  <c r="X26" i="1" a="1"/>
  <c r="X26" i="1" s="1"/>
  <c r="W26" i="1" a="1"/>
  <c r="W26" i="1" s="1"/>
  <c r="T26" i="1" a="1"/>
  <c r="T26" i="1" s="1"/>
  <c r="O27" i="1" a="1"/>
  <c r="O27" i="1" s="1"/>
  <c r="V27" i="1" a="1"/>
  <c r="V27" i="1" s="1"/>
  <c r="S27" i="1" a="1"/>
  <c r="S27" i="1" s="1"/>
  <c r="X27" i="1" a="1"/>
  <c r="X27" i="1" s="1"/>
  <c r="Q27" i="1" a="1"/>
  <c r="Q27" i="1" s="1"/>
  <c r="Z27" i="1" a="1"/>
  <c r="Z27" i="1" s="1"/>
  <c r="T27" i="1" a="1"/>
  <c r="T27" i="1" s="1"/>
  <c r="Y27" i="1" a="1"/>
  <c r="Y27" i="1" s="1"/>
  <c r="W27" i="1" a="1"/>
  <c r="W27" i="1" s="1"/>
  <c r="P27" i="1" a="1"/>
  <c r="P27" i="1" s="1"/>
  <c r="U27" i="1" a="1"/>
  <c r="U27" i="1" s="1"/>
  <c r="U28" i="1" a="1"/>
  <c r="U28" i="1" s="1"/>
  <c r="T28" i="1" a="1"/>
  <c r="T28" i="1" s="1"/>
  <c r="O28" i="1" a="1"/>
  <c r="O28" i="1" s="1"/>
  <c r="X28" i="1" a="1"/>
  <c r="X28" i="1" s="1"/>
  <c r="S28" i="1" a="1"/>
  <c r="S28" i="1" s="1"/>
  <c r="P28" i="1" a="1"/>
  <c r="P28" i="1" s="1"/>
  <c r="V28" i="1" a="1"/>
  <c r="V28" i="1" s="1"/>
  <c r="Z28" i="1" a="1"/>
  <c r="Z28" i="1" s="1"/>
  <c r="Q28" i="1" a="1"/>
  <c r="Q28" i="1" s="1"/>
  <c r="W28" i="1" a="1"/>
  <c r="W28" i="1" s="1"/>
  <c r="Y28" i="1" a="1"/>
  <c r="Y28" i="1" s="1"/>
  <c r="R28" i="1" a="1"/>
  <c r="R28" i="1" s="1"/>
  <c r="P29" i="1" a="1"/>
  <c r="P29" i="1" s="1"/>
  <c r="O29" i="1" a="1"/>
  <c r="O29" i="1" s="1"/>
  <c r="V29" i="1" a="1"/>
  <c r="V29" i="1" s="1"/>
  <c r="S29" i="1" a="1"/>
  <c r="S29" i="1" s="1"/>
  <c r="R29" i="1" a="1"/>
  <c r="R29" i="1" s="1"/>
  <c r="Y29" i="1" a="1"/>
  <c r="Y29" i="1" s="1"/>
  <c r="Q29" i="1" a="1"/>
  <c r="Q29" i="1" s="1"/>
  <c r="T29" i="1" a="1"/>
  <c r="T29" i="1" s="1"/>
  <c r="W29" i="1" a="1"/>
  <c r="W29" i="1" s="1"/>
  <c r="U29" i="1" a="1"/>
  <c r="U29" i="1" s="1"/>
  <c r="Z29" i="1" a="1"/>
  <c r="Z29" i="1" s="1"/>
  <c r="X29" i="1" a="1"/>
  <c r="X29" i="1" s="1"/>
  <c r="W30" i="1" a="1"/>
  <c r="W30" i="1" s="1"/>
  <c r="X30" i="1" a="1"/>
  <c r="X30" i="1" s="1"/>
  <c r="S30" i="1" a="1"/>
  <c r="S30" i="1" s="1"/>
  <c r="T30" i="1" a="1"/>
  <c r="T30" i="1" s="1"/>
  <c r="R30" i="1" a="1"/>
  <c r="R30" i="1" s="1"/>
  <c r="V30" i="1" a="1"/>
  <c r="V30" i="1" s="1"/>
  <c r="P30" i="1" a="1"/>
  <c r="P30" i="1" s="1"/>
  <c r="Q30" i="1" a="1"/>
  <c r="Q30" i="1" s="1"/>
  <c r="U30" i="1" a="1"/>
  <c r="U30" i="1" s="1"/>
  <c r="Z30" i="1" a="1"/>
  <c r="Z30" i="1" s="1"/>
  <c r="O30" i="1" a="1"/>
  <c r="O30" i="1" s="1"/>
  <c r="Y30" i="1" a="1"/>
  <c r="Y30" i="1" s="1"/>
  <c r="O31" i="1" a="1"/>
  <c r="O31" i="1" s="1"/>
  <c r="T31" i="1" a="1"/>
  <c r="T31" i="1" s="1"/>
  <c r="X31" i="1" a="1"/>
  <c r="X31" i="1" s="1"/>
  <c r="Q31" i="1" a="1"/>
  <c r="Q31" i="1" s="1"/>
  <c r="W31" i="1" a="1"/>
  <c r="W31" i="1" s="1"/>
  <c r="R31" i="1" a="1"/>
  <c r="R31" i="1" s="1"/>
  <c r="P31" i="1" a="1"/>
  <c r="P31" i="1" s="1"/>
  <c r="Z31" i="1" a="1"/>
  <c r="Z31" i="1" s="1"/>
  <c r="V31" i="1" a="1"/>
  <c r="V31" i="1" s="1"/>
  <c r="S31" i="1" a="1"/>
  <c r="S31" i="1" s="1"/>
  <c r="Y31" i="1" a="1"/>
  <c r="Y31" i="1" s="1"/>
  <c r="U31" i="1" a="1"/>
  <c r="U31" i="1" s="1"/>
  <c r="Q32" i="1" a="1"/>
  <c r="Q32" i="1" s="1"/>
  <c r="X32" i="1" a="1"/>
  <c r="X32" i="1" s="1"/>
  <c r="T32" i="1" a="1"/>
  <c r="T32" i="1" s="1"/>
  <c r="Y32" i="1" a="1"/>
  <c r="Y32" i="1" s="1"/>
  <c r="W32" i="1" a="1"/>
  <c r="W32" i="1" s="1"/>
  <c r="U32" i="1" a="1"/>
  <c r="U32" i="1" s="1"/>
  <c r="Z32" i="1" a="1"/>
  <c r="Z32" i="1" s="1"/>
  <c r="O32" i="1" a="1"/>
  <c r="O32" i="1" s="1"/>
  <c r="V32" i="1" a="1"/>
  <c r="V32" i="1" s="1"/>
  <c r="P32" i="1" a="1"/>
  <c r="P32" i="1" s="1"/>
  <c r="S32" i="1" a="1"/>
  <c r="S32" i="1" s="1"/>
  <c r="R32" i="1" a="1"/>
  <c r="R32" i="1" s="1"/>
  <c r="Q33" i="1" a="1"/>
  <c r="Q33" i="1" s="1"/>
  <c r="T33" i="1" a="1"/>
  <c r="T33" i="1" s="1"/>
  <c r="O33" i="1" a="1"/>
  <c r="O33" i="1" s="1"/>
  <c r="U33" i="1" a="1"/>
  <c r="U33" i="1" s="1"/>
  <c r="X33" i="1" a="1"/>
  <c r="X33" i="1" s="1"/>
  <c r="R33" i="1" a="1"/>
  <c r="R33" i="1" s="1"/>
  <c r="S33" i="1" a="1"/>
  <c r="S33" i="1" s="1"/>
  <c r="Y33" i="1" a="1"/>
  <c r="Y33" i="1" s="1"/>
  <c r="V33" i="1" a="1"/>
  <c r="V33" i="1" s="1"/>
  <c r="Z33" i="1" a="1"/>
  <c r="Z33" i="1" s="1"/>
  <c r="P33" i="1" a="1"/>
  <c r="P33" i="1" s="1"/>
  <c r="W33" i="1" a="1"/>
  <c r="W33" i="1" s="1"/>
  <c r="O34" i="1" a="1"/>
  <c r="O34" i="1" s="1"/>
  <c r="Z34" i="1" a="1"/>
  <c r="Z34" i="1" s="1"/>
  <c r="U34" i="1" a="1"/>
  <c r="U34" i="1" s="1"/>
  <c r="S34" i="1" a="1"/>
  <c r="S34" i="1" s="1"/>
  <c r="X34" i="1" a="1"/>
  <c r="X34" i="1" s="1"/>
  <c r="V34" i="1" a="1"/>
  <c r="V34" i="1" s="1"/>
  <c r="Y34" i="1" a="1"/>
  <c r="Y34" i="1" s="1"/>
  <c r="T34" i="1" a="1"/>
  <c r="T34" i="1" s="1"/>
  <c r="R34" i="1" a="1"/>
  <c r="R34" i="1" s="1"/>
  <c r="P34" i="1" a="1"/>
  <c r="P34" i="1" s="1"/>
  <c r="W34" i="1" a="1"/>
  <c r="W34" i="1" s="1"/>
  <c r="Q34" i="1" a="1"/>
  <c r="Q34" i="1" s="1"/>
  <c r="T35" i="1" a="1"/>
  <c r="T35" i="1" s="1"/>
  <c r="W35" i="1" a="1"/>
  <c r="W35" i="1" s="1"/>
  <c r="P35" i="1" a="1"/>
  <c r="P35" i="1" s="1"/>
  <c r="X35" i="1" a="1"/>
  <c r="X35" i="1" s="1"/>
  <c r="Q35" i="1" a="1"/>
  <c r="Q35" i="1" s="1"/>
  <c r="U35" i="1" a="1"/>
  <c r="U35" i="1" s="1"/>
  <c r="S35" i="1" a="1"/>
  <c r="S35" i="1" s="1"/>
  <c r="V35" i="1" a="1"/>
  <c r="V35" i="1" s="1"/>
  <c r="Y35" i="1" a="1"/>
  <c r="Y35" i="1" s="1"/>
  <c r="R35" i="1" a="1"/>
  <c r="R35" i="1" s="1"/>
  <c r="O35" i="1" a="1"/>
  <c r="O35" i="1" s="1"/>
  <c r="Z35" i="1" a="1"/>
  <c r="Z35" i="1" s="1"/>
  <c r="P36" i="1" a="1"/>
  <c r="P36" i="1" s="1"/>
  <c r="T36" i="1" a="1"/>
  <c r="T36" i="1" s="1"/>
  <c r="W36" i="1" a="1"/>
  <c r="W36" i="1" s="1"/>
  <c r="S36" i="1" a="1"/>
  <c r="S36" i="1" s="1"/>
  <c r="O36" i="1" a="1"/>
  <c r="O36" i="1" s="1"/>
  <c r="X36" i="1" a="1"/>
  <c r="X36" i="1" s="1"/>
  <c r="Q36" i="1" a="1"/>
  <c r="Q36" i="1" s="1"/>
  <c r="Y36" i="1" a="1"/>
  <c r="Y36" i="1" s="1"/>
  <c r="V36" i="1" a="1"/>
  <c r="V36" i="1" s="1"/>
  <c r="R36" i="1" a="1"/>
  <c r="R36" i="1" s="1"/>
  <c r="U36" i="1" a="1"/>
  <c r="U36" i="1" s="1"/>
  <c r="Z36" i="1" a="1"/>
  <c r="Z36" i="1" s="1"/>
  <c r="Y37" i="1" a="1"/>
  <c r="Y37" i="1" s="1"/>
  <c r="O37" i="1" a="1"/>
  <c r="O37" i="1" s="1"/>
  <c r="P37" i="1" a="1"/>
  <c r="P37" i="1" s="1"/>
  <c r="T37" i="1" a="1"/>
  <c r="T37" i="1" s="1"/>
  <c r="Q37" i="1" a="1"/>
  <c r="Q37" i="1" s="1"/>
  <c r="V37" i="1" a="1"/>
  <c r="V37" i="1" s="1"/>
  <c r="U37" i="1" a="1"/>
  <c r="U37" i="1" s="1"/>
  <c r="R37" i="1" a="1"/>
  <c r="R37" i="1" s="1"/>
  <c r="X37" i="1" a="1"/>
  <c r="X37" i="1" s="1"/>
  <c r="W37" i="1" a="1"/>
  <c r="W37" i="1" s="1"/>
  <c r="S37" i="1" a="1"/>
  <c r="S37" i="1" s="1"/>
  <c r="Z37" i="1" a="1"/>
  <c r="Z37" i="1" s="1"/>
  <c r="U38" i="1" a="1"/>
  <c r="U38" i="1" s="1"/>
  <c r="O38" i="1" a="1"/>
  <c r="O38" i="1" s="1"/>
  <c r="R38" i="1" a="1"/>
  <c r="R38" i="1" s="1"/>
  <c r="Z38" i="1" a="1"/>
  <c r="Z38" i="1" s="1"/>
  <c r="S38" i="1" a="1"/>
  <c r="S38" i="1" s="1"/>
  <c r="V38" i="1" a="1"/>
  <c r="V38" i="1" s="1"/>
  <c r="T38" i="1" a="1"/>
  <c r="T38" i="1" s="1"/>
  <c r="Y38" i="1" a="1"/>
  <c r="Y38" i="1" s="1"/>
  <c r="W38" i="1" a="1"/>
  <c r="W38" i="1" s="1"/>
  <c r="X38" i="1" a="1"/>
  <c r="X38" i="1" s="1"/>
  <c r="Q38" i="1" a="1"/>
  <c r="Q38" i="1" s="1"/>
  <c r="P38" i="1" a="1"/>
  <c r="P38" i="1" s="1"/>
  <c r="T39" i="1" a="1"/>
  <c r="T39" i="1" s="1"/>
  <c r="U39" i="1" a="1"/>
  <c r="U39" i="1" s="1"/>
  <c r="W39" i="1" a="1"/>
  <c r="W39" i="1" s="1"/>
  <c r="Q39" i="1" a="1"/>
  <c r="Q39" i="1" s="1"/>
  <c r="V39" i="1" a="1"/>
  <c r="V39" i="1" s="1"/>
  <c r="R39" i="1" a="1"/>
  <c r="R39" i="1" s="1"/>
  <c r="X39" i="1" a="1"/>
  <c r="X39" i="1" s="1"/>
  <c r="Y39" i="1" a="1"/>
  <c r="Y39" i="1" s="1"/>
  <c r="S39" i="1" a="1"/>
  <c r="S39" i="1" s="1"/>
  <c r="P39" i="1" a="1"/>
  <c r="P39" i="1" s="1"/>
  <c r="O39" i="1" a="1"/>
  <c r="O39" i="1" s="1"/>
  <c r="Z39" i="1" a="1"/>
  <c r="Z39" i="1" s="1"/>
  <c r="T40" i="1" a="1"/>
  <c r="T40" i="1" s="1"/>
  <c r="P40" i="1" a="1"/>
  <c r="P40" i="1" s="1"/>
  <c r="O40" i="1" a="1"/>
  <c r="O40" i="1" s="1"/>
  <c r="Q40" i="1" a="1"/>
  <c r="Q40" i="1" s="1"/>
  <c r="Z40" i="1" a="1"/>
  <c r="Z40" i="1" s="1"/>
  <c r="S40" i="1" a="1"/>
  <c r="S40" i="1" s="1"/>
  <c r="V40" i="1" a="1"/>
  <c r="V40" i="1" s="1"/>
  <c r="W40" i="1" a="1"/>
  <c r="W40" i="1" s="1"/>
  <c r="Y40" i="1" a="1"/>
  <c r="Y40" i="1" s="1"/>
  <c r="U40" i="1" a="1"/>
  <c r="U40" i="1" s="1"/>
  <c r="R40" i="1" a="1"/>
  <c r="R40" i="1" s="1"/>
  <c r="X40" i="1" a="1"/>
  <c r="X40" i="1" s="1"/>
  <c r="Z41" i="1" a="1"/>
  <c r="Z41" i="1" s="1"/>
  <c r="O41" i="1" a="1"/>
  <c r="O41" i="1" s="1"/>
  <c r="V41" i="1" a="1"/>
  <c r="V41" i="1" s="1"/>
  <c r="S41" i="1" a="1"/>
  <c r="S41" i="1" s="1"/>
  <c r="R41" i="1" a="1"/>
  <c r="R41" i="1" s="1"/>
  <c r="U41" i="1" a="1"/>
  <c r="U41" i="1" s="1"/>
  <c r="Y41" i="1" a="1"/>
  <c r="Y41" i="1" s="1"/>
  <c r="Q41" i="1" a="1"/>
  <c r="Q41" i="1" s="1"/>
  <c r="W41" i="1" a="1"/>
  <c r="W41" i="1" s="1"/>
  <c r="P41" i="1" a="1"/>
  <c r="P41" i="1" s="1"/>
  <c r="T41" i="1" a="1"/>
  <c r="T41" i="1" s="1"/>
  <c r="X41" i="1" a="1"/>
  <c r="X41" i="1" s="1"/>
  <c r="Q42" i="1" a="1"/>
  <c r="Q42" i="1" s="1"/>
  <c r="S42" i="1" a="1"/>
  <c r="S42" i="1" s="1"/>
  <c r="Y42" i="1" a="1"/>
  <c r="Y42" i="1" s="1"/>
  <c r="V42" i="1" a="1"/>
  <c r="V42" i="1" s="1"/>
  <c r="T42" i="1" a="1"/>
  <c r="T42" i="1" s="1"/>
  <c r="Z42" i="1" a="1"/>
  <c r="Z42" i="1" s="1"/>
  <c r="W42" i="1" a="1"/>
  <c r="W42" i="1" s="1"/>
  <c r="U42" i="1" a="1"/>
  <c r="U42" i="1" s="1"/>
  <c r="R42" i="1" a="1"/>
  <c r="R42" i="1" s="1"/>
  <c r="P42" i="1" a="1"/>
  <c r="P42" i="1" s="1"/>
  <c r="O42" i="1" a="1"/>
  <c r="O42" i="1" s="1"/>
  <c r="X42" i="1" a="1"/>
  <c r="X42" i="1" s="1"/>
  <c r="U43" i="1" a="1"/>
  <c r="U43" i="1" s="1"/>
  <c r="T43" i="1" a="1"/>
  <c r="T43" i="1" s="1"/>
  <c r="O43" i="1" a="1"/>
  <c r="O43" i="1" s="1"/>
  <c r="W43" i="1" a="1"/>
  <c r="W43" i="1" s="1"/>
  <c r="Q43" i="1" a="1"/>
  <c r="Q43" i="1" s="1"/>
  <c r="V43" i="1" a="1"/>
  <c r="V43" i="1" s="1"/>
  <c r="P43" i="1" a="1"/>
  <c r="P43" i="1" s="1"/>
  <c r="Z43" i="1" a="1"/>
  <c r="Z43" i="1" s="1"/>
  <c r="R43" i="1" a="1"/>
  <c r="R43" i="1" s="1"/>
  <c r="X43" i="1" a="1"/>
  <c r="X43" i="1" s="1"/>
  <c r="S43" i="1" a="1"/>
  <c r="S43" i="1" s="1"/>
  <c r="Y43" i="1" a="1"/>
  <c r="Y43" i="1" s="1"/>
  <c r="T44" i="1" a="1"/>
  <c r="T44" i="1" s="1"/>
  <c r="R44" i="1" a="1"/>
  <c r="R44" i="1" s="1"/>
  <c r="X44" i="1" a="1"/>
  <c r="X44" i="1" s="1"/>
  <c r="Y44" i="1" a="1"/>
  <c r="Y44" i="1" s="1"/>
  <c r="Z44" i="1" a="1"/>
  <c r="Z44" i="1" s="1"/>
  <c r="S44" i="1" a="1"/>
  <c r="S44" i="1" s="1"/>
  <c r="Q44" i="1" a="1"/>
  <c r="Q44" i="1" s="1"/>
  <c r="U44" i="1" a="1"/>
  <c r="U44" i="1" s="1"/>
  <c r="P44" i="1" a="1"/>
  <c r="P44" i="1" s="1"/>
  <c r="V44" i="1" a="1"/>
  <c r="V44" i="1" s="1"/>
  <c r="O44" i="1" a="1"/>
  <c r="O44" i="1" s="1"/>
  <c r="W44" i="1" a="1"/>
  <c r="W44" i="1" s="1"/>
  <c r="O45" i="1" a="1"/>
  <c r="O45" i="1" s="1"/>
  <c r="Z45" i="1" a="1"/>
  <c r="Z45" i="1" s="1"/>
  <c r="U45" i="1" a="1"/>
  <c r="U45" i="1" s="1"/>
  <c r="Y45" i="1" a="1"/>
  <c r="Y45" i="1" s="1"/>
  <c r="W45" i="1" a="1"/>
  <c r="W45" i="1" s="1"/>
  <c r="X45" i="1" a="1"/>
  <c r="X45" i="1" s="1"/>
  <c r="V45" i="1" a="1"/>
  <c r="V45" i="1" s="1"/>
  <c r="P45" i="1" a="1"/>
  <c r="P45" i="1" s="1"/>
  <c r="Q45" i="1" a="1"/>
  <c r="Q45" i="1" s="1"/>
  <c r="S45" i="1" a="1"/>
  <c r="S45" i="1" s="1"/>
  <c r="T45" i="1" a="1"/>
  <c r="T45" i="1" s="1"/>
  <c r="R45" i="1" a="1"/>
  <c r="R45" i="1" s="1"/>
  <c r="O46" i="1" a="1"/>
  <c r="O46" i="1" s="1"/>
  <c r="T46" i="1" a="1"/>
  <c r="T46" i="1" s="1"/>
  <c r="U46" i="1" a="1"/>
  <c r="U46" i="1" s="1"/>
  <c r="V46" i="1" a="1"/>
  <c r="V46" i="1" s="1"/>
  <c r="R46" i="1" a="1"/>
  <c r="R46" i="1" s="1"/>
  <c r="X46" i="1" a="1"/>
  <c r="X46" i="1" s="1"/>
  <c r="Y46" i="1" a="1"/>
  <c r="Y46" i="1" s="1"/>
  <c r="Z46" i="1" a="1"/>
  <c r="Z46" i="1" s="1"/>
  <c r="Q46" i="1" a="1"/>
  <c r="Q46" i="1" s="1"/>
  <c r="P46" i="1" a="1"/>
  <c r="P46" i="1" s="1"/>
  <c r="S46" i="1" a="1"/>
  <c r="S46" i="1" s="1"/>
  <c r="W46" i="1" a="1"/>
  <c r="W46" i="1" s="1"/>
  <c r="R47" i="1" a="1"/>
  <c r="R47" i="1" s="1"/>
  <c r="S47" i="1" a="1"/>
  <c r="S47" i="1" s="1"/>
  <c r="T47" i="1" a="1"/>
  <c r="T47" i="1" s="1"/>
  <c r="Y47" i="1" a="1"/>
  <c r="Y47" i="1" s="1"/>
  <c r="O47" i="1" a="1"/>
  <c r="O47" i="1" s="1"/>
  <c r="P47" i="1" a="1"/>
  <c r="P47" i="1" s="1"/>
  <c r="Q47" i="1" a="1"/>
  <c r="Q47" i="1" s="1"/>
  <c r="U47" i="1" a="1"/>
  <c r="U47" i="1" s="1"/>
  <c r="V47" i="1" a="1"/>
  <c r="V47" i="1" s="1"/>
  <c r="X47" i="1" a="1"/>
  <c r="X47" i="1" s="1"/>
  <c r="Z47" i="1" a="1"/>
  <c r="Z47" i="1" s="1"/>
  <c r="W47" i="1" a="1"/>
  <c r="W47" i="1" s="1"/>
  <c r="Z48" i="1" a="1"/>
  <c r="Z48" i="1" s="1"/>
  <c r="Y48" i="1" a="1"/>
  <c r="Y48" i="1" s="1"/>
  <c r="O48" i="1" a="1"/>
  <c r="O48" i="1" s="1"/>
  <c r="P48" i="1" a="1"/>
  <c r="P48" i="1" s="1"/>
  <c r="Q48" i="1" a="1"/>
  <c r="Q48" i="1" s="1"/>
  <c r="R48" i="1" a="1"/>
  <c r="R48" i="1" s="1"/>
  <c r="S48" i="1" a="1"/>
  <c r="S48" i="1" s="1"/>
  <c r="T48" i="1" a="1"/>
  <c r="T48" i="1" s="1"/>
  <c r="U48" i="1" a="1"/>
  <c r="U48" i="1" s="1"/>
  <c r="V48" i="1" a="1"/>
  <c r="V48" i="1" s="1"/>
  <c r="W48" i="1" a="1"/>
  <c r="W48" i="1" s="1"/>
  <c r="X48" i="1" a="1"/>
  <c r="X48" i="1" s="1"/>
  <c r="P49" i="1" a="1"/>
  <c r="P49" i="1" s="1"/>
  <c r="O49" i="1" a="1"/>
  <c r="O49" i="1" s="1"/>
  <c r="W49" i="1" a="1"/>
  <c r="W49" i="1" s="1"/>
  <c r="Z49" i="1" a="1"/>
  <c r="Z49" i="1" s="1"/>
  <c r="Y49" i="1" a="1"/>
  <c r="Y49" i="1" s="1"/>
  <c r="X49" i="1" a="1"/>
  <c r="X49" i="1" s="1"/>
  <c r="V49" i="1" a="1"/>
  <c r="V49" i="1" s="1"/>
  <c r="U49" i="1" a="1"/>
  <c r="U49" i="1" s="1"/>
  <c r="T49" i="1" a="1"/>
  <c r="T49" i="1" s="1"/>
  <c r="S49" i="1" a="1"/>
  <c r="S49" i="1" s="1"/>
  <c r="R49" i="1" a="1"/>
  <c r="R49" i="1" s="1"/>
  <c r="Q49" i="1" a="1"/>
  <c r="Q49" i="1" s="1"/>
  <c r="Q50" i="1" a="1"/>
  <c r="Q50" i="1" s="1"/>
  <c r="P50" i="1" a="1"/>
  <c r="P50" i="1" s="1"/>
  <c r="O50" i="1" a="1"/>
  <c r="O50" i="1" s="1"/>
  <c r="Z50" i="1" a="1"/>
  <c r="Z50" i="1" s="1"/>
  <c r="Y50" i="1" a="1"/>
  <c r="Y50" i="1" s="1"/>
  <c r="X50" i="1" a="1"/>
  <c r="X50" i="1" s="1"/>
  <c r="W50" i="1" a="1"/>
  <c r="W50" i="1" s="1"/>
  <c r="V50" i="1" a="1"/>
  <c r="V50" i="1" s="1"/>
  <c r="U50" i="1" a="1"/>
  <c r="U50" i="1" s="1"/>
  <c r="T50" i="1" a="1"/>
  <c r="T50" i="1" s="1"/>
  <c r="S50" i="1" a="1"/>
  <c r="S50" i="1" s="1"/>
  <c r="R50" i="1" a="1"/>
  <c r="R50" i="1" s="1"/>
  <c r="P51" i="1" a="1"/>
  <c r="P51" i="1" s="1"/>
  <c r="U51" i="1" a="1"/>
  <c r="U51" i="1" s="1"/>
  <c r="T51" i="1" a="1"/>
  <c r="T51" i="1" s="1"/>
  <c r="S51" i="1" a="1"/>
  <c r="S51" i="1" s="1"/>
  <c r="O51" i="1" a="1"/>
  <c r="O51" i="1" s="1"/>
  <c r="R51" i="1" a="1"/>
  <c r="R51" i="1" s="1"/>
  <c r="Z51" i="1" a="1"/>
  <c r="Z51" i="1" s="1"/>
  <c r="Q51" i="1" a="1"/>
  <c r="Q51" i="1" s="1"/>
  <c r="Y51" i="1" a="1"/>
  <c r="Y51" i="1" s="1"/>
  <c r="X51" i="1" a="1"/>
  <c r="X51" i="1" s="1"/>
  <c r="W51" i="1" a="1"/>
  <c r="W51" i="1" s="1"/>
  <c r="V51" i="1" a="1"/>
  <c r="V51" i="1" s="1"/>
  <c r="W52" i="1" a="1"/>
  <c r="W52" i="1" s="1"/>
  <c r="X52" i="1" a="1"/>
  <c r="X52" i="1" s="1"/>
  <c r="Y52" i="1" a="1"/>
  <c r="Y52" i="1" s="1"/>
  <c r="Z52" i="1" a="1"/>
  <c r="Z52" i="1" s="1"/>
  <c r="V52" i="1" a="1"/>
  <c r="V52" i="1" s="1"/>
  <c r="T52" i="1" a="1"/>
  <c r="T52" i="1" s="1"/>
  <c r="R52" i="1" a="1"/>
  <c r="R52" i="1" s="1"/>
  <c r="O52" i="1" a="1"/>
  <c r="O52" i="1" s="1"/>
  <c r="P52" i="1" a="1"/>
  <c r="P52" i="1" s="1"/>
  <c r="Q52" i="1" a="1"/>
  <c r="Q52" i="1" s="1"/>
  <c r="S52" i="1" a="1"/>
  <c r="S52" i="1" s="1"/>
  <c r="U52" i="1" a="1"/>
  <c r="U52" i="1" s="1"/>
  <c r="O53" i="1" a="1"/>
  <c r="O53" i="1" s="1"/>
  <c r="Y53" i="1" a="1"/>
  <c r="Y53" i="1" s="1"/>
  <c r="R53" i="1" a="1"/>
  <c r="R53" i="1" s="1"/>
  <c r="Q53" i="1" a="1"/>
  <c r="Q53" i="1" s="1"/>
  <c r="P53" i="1" a="1"/>
  <c r="P53" i="1" s="1"/>
  <c r="W53" i="1" a="1"/>
  <c r="W53" i="1" s="1"/>
  <c r="V53" i="1" a="1"/>
  <c r="V53" i="1" s="1"/>
  <c r="U53" i="1" a="1"/>
  <c r="U53" i="1" s="1"/>
  <c r="X53" i="1" a="1"/>
  <c r="X53" i="1" s="1"/>
  <c r="T53" i="1" a="1"/>
  <c r="T53" i="1" s="1"/>
  <c r="S53" i="1" a="1"/>
  <c r="S53" i="1" s="1"/>
  <c r="Z53" i="1" a="1"/>
  <c r="Z53" i="1" s="1"/>
  <c r="T54" i="1" a="1"/>
  <c r="T54" i="1" s="1"/>
  <c r="Y54" i="1" a="1"/>
  <c r="Y54" i="1" s="1"/>
  <c r="U54" i="1" a="1"/>
  <c r="U54" i="1" s="1"/>
  <c r="Z54" i="1" a="1"/>
  <c r="Z54" i="1" s="1"/>
  <c r="V54" i="1" a="1"/>
  <c r="V54" i="1" s="1"/>
  <c r="W54" i="1" a="1"/>
  <c r="W54" i="1" s="1"/>
  <c r="X54" i="1" a="1"/>
  <c r="X54" i="1" s="1"/>
  <c r="O54" i="1" a="1"/>
  <c r="O54" i="1" s="1"/>
  <c r="P54" i="1" a="1"/>
  <c r="P54" i="1" s="1"/>
  <c r="Q54" i="1" a="1"/>
  <c r="Q54" i="1" s="1"/>
  <c r="R54" i="1" a="1"/>
  <c r="R54" i="1" s="1"/>
  <c r="S54" i="1" a="1"/>
  <c r="S54" i="1" s="1"/>
  <c r="O55" i="1" a="1"/>
  <c r="O55" i="1" s="1"/>
  <c r="Y55" i="1" a="1"/>
  <c r="Y55" i="1" s="1"/>
  <c r="Z55" i="1" a="1"/>
  <c r="Z55" i="1" s="1"/>
  <c r="X55" i="1" a="1"/>
  <c r="X55" i="1" s="1"/>
  <c r="W55" i="1" a="1"/>
  <c r="W55" i="1" s="1"/>
  <c r="V55" i="1" a="1"/>
  <c r="V55" i="1" s="1"/>
  <c r="U55" i="1" a="1"/>
  <c r="U55" i="1" s="1"/>
  <c r="T55" i="1" a="1"/>
  <c r="T55" i="1" s="1"/>
  <c r="R55" i="1" a="1"/>
  <c r="R55" i="1" s="1"/>
  <c r="P55" i="1" a="1"/>
  <c r="P55" i="1" s="1"/>
  <c r="Q55" i="1" a="1"/>
  <c r="Q55" i="1" s="1"/>
  <c r="S55" i="1" a="1"/>
  <c r="S55" i="1" s="1"/>
  <c r="T57" i="1" a="1"/>
  <c r="T57" i="1" s="1"/>
  <c r="U57" i="1" a="1"/>
  <c r="U57" i="1" s="1"/>
  <c r="Q57" i="1" a="1"/>
  <c r="Q57" i="1" s="1"/>
  <c r="P57" i="1" a="1"/>
  <c r="P57" i="1" s="1"/>
  <c r="O57" i="1" a="1"/>
  <c r="O57" i="1" s="1"/>
  <c r="V57" i="1" a="1"/>
  <c r="V57" i="1" s="1"/>
  <c r="Y57" i="1" a="1"/>
  <c r="Y57" i="1" s="1"/>
  <c r="R57" i="1" a="1"/>
  <c r="R57" i="1" s="1"/>
  <c r="X57" i="1" a="1"/>
  <c r="X57" i="1" s="1"/>
  <c r="W57" i="1" a="1"/>
  <c r="W57" i="1" s="1"/>
  <c r="S57" i="1" a="1"/>
  <c r="S57" i="1" s="1"/>
  <c r="Z57" i="1" a="1"/>
  <c r="Z57" i="1" s="1"/>
  <c r="V58" i="1" a="1"/>
  <c r="V58" i="1" s="1"/>
  <c r="P58" i="1" a="1"/>
  <c r="P58" i="1" s="1"/>
  <c r="T58" i="1" a="1"/>
  <c r="T58" i="1" s="1"/>
  <c r="S58" i="1" a="1"/>
  <c r="S58" i="1" s="1"/>
  <c r="U58" i="1" a="1"/>
  <c r="U58" i="1" s="1"/>
  <c r="R58" i="1" a="1"/>
  <c r="R58" i="1" s="1"/>
  <c r="Q58" i="1" a="1"/>
  <c r="Q58" i="1" s="1"/>
  <c r="O58" i="1" a="1"/>
  <c r="O58" i="1" s="1"/>
  <c r="W58" i="1" a="1"/>
  <c r="W58" i="1" s="1"/>
  <c r="X58" i="1" a="1"/>
  <c r="X58" i="1" s="1"/>
  <c r="Y58" i="1" a="1"/>
  <c r="Y58" i="1" s="1"/>
  <c r="Z58" i="1" a="1"/>
  <c r="Z58" i="1" s="1"/>
  <c r="S59" i="1" a="1"/>
  <c r="S59" i="1" s="1"/>
  <c r="T59" i="1" a="1"/>
  <c r="T59" i="1" s="1"/>
  <c r="U59" i="1" a="1"/>
  <c r="U59" i="1" s="1"/>
  <c r="Q59" i="1" a="1"/>
  <c r="Q59" i="1" s="1"/>
  <c r="V59" i="1" a="1"/>
  <c r="V59" i="1" s="1"/>
  <c r="W59" i="1" a="1"/>
  <c r="W59" i="1" s="1"/>
  <c r="X59" i="1" a="1"/>
  <c r="X59" i="1" s="1"/>
  <c r="Y59" i="1" a="1"/>
  <c r="Y59" i="1" s="1"/>
  <c r="Z59" i="1" a="1"/>
  <c r="Z59" i="1" s="1"/>
  <c r="R59" i="1" a="1"/>
  <c r="R59" i="1" s="1"/>
  <c r="P59" i="1" a="1"/>
  <c r="P59" i="1" s="1"/>
  <c r="O59" i="1" a="1"/>
  <c r="O59" i="1" s="1"/>
  <c r="Q60" i="1" a="1"/>
  <c r="Q60" i="1" s="1"/>
  <c r="P60" i="1" a="1"/>
  <c r="P60" i="1" s="1"/>
  <c r="Z60" i="1" a="1"/>
  <c r="Z60" i="1" s="1"/>
  <c r="Y60" i="1" a="1"/>
  <c r="Y60" i="1" s="1"/>
  <c r="X60" i="1" a="1"/>
  <c r="X60" i="1" s="1"/>
  <c r="W60" i="1" a="1"/>
  <c r="W60" i="1" s="1"/>
  <c r="V60" i="1" a="1"/>
  <c r="V60" i="1" s="1"/>
  <c r="U60" i="1" a="1"/>
  <c r="U60" i="1" s="1"/>
  <c r="T60" i="1" a="1"/>
  <c r="T60" i="1" s="1"/>
  <c r="S60" i="1" a="1"/>
  <c r="S60" i="1" s="1"/>
  <c r="R60" i="1" a="1"/>
  <c r="R60" i="1" s="1"/>
  <c r="O60" i="1" a="1"/>
  <c r="O60" i="1" s="1"/>
  <c r="Y61" i="1" a="1"/>
  <c r="Y61" i="1" s="1"/>
  <c r="X61" i="1" a="1"/>
  <c r="X61" i="1" s="1"/>
  <c r="W61" i="1" a="1"/>
  <c r="W61" i="1" s="1"/>
  <c r="V61" i="1" a="1"/>
  <c r="V61" i="1" s="1"/>
  <c r="U61" i="1" a="1"/>
  <c r="U61" i="1" s="1"/>
  <c r="S61" i="1" a="1"/>
  <c r="S61" i="1" s="1"/>
  <c r="R61" i="1" a="1"/>
  <c r="R61" i="1" s="1"/>
  <c r="Q61" i="1" a="1"/>
  <c r="Q61" i="1" s="1"/>
  <c r="P61" i="1" a="1"/>
  <c r="P61" i="1" s="1"/>
  <c r="O61" i="1" a="1"/>
  <c r="O61" i="1" s="1"/>
  <c r="Z61" i="1" a="1"/>
  <c r="Z61" i="1" s="1"/>
  <c r="T61" i="1" a="1"/>
  <c r="T61" i="1" s="1"/>
  <c r="Z62" i="1" a="1"/>
  <c r="Z62" i="1" s="1"/>
  <c r="W62" i="1" a="1"/>
  <c r="W62" i="1" s="1"/>
  <c r="S62" i="1" a="1"/>
  <c r="S62" i="1" s="1"/>
  <c r="T62" i="1" a="1"/>
  <c r="T62" i="1" s="1"/>
  <c r="U62" i="1" a="1"/>
  <c r="U62" i="1" s="1"/>
  <c r="V62" i="1" a="1"/>
  <c r="V62" i="1" s="1"/>
  <c r="P62" i="1" a="1"/>
  <c r="P62" i="1" s="1"/>
  <c r="Q62" i="1" a="1"/>
  <c r="Q62" i="1" s="1"/>
  <c r="R62" i="1" a="1"/>
  <c r="R62" i="1" s="1"/>
  <c r="X62" i="1" a="1"/>
  <c r="X62" i="1" s="1"/>
  <c r="Y62" i="1" a="1"/>
  <c r="Y62" i="1" s="1"/>
  <c r="O62" i="1" a="1"/>
  <c r="O62" i="1" s="1"/>
  <c r="U63" i="1" a="1"/>
  <c r="U63" i="1" s="1"/>
  <c r="V63" i="1" a="1"/>
  <c r="V63" i="1" s="1"/>
  <c r="W63" i="1" a="1"/>
  <c r="W63" i="1" s="1"/>
  <c r="X63" i="1" a="1"/>
  <c r="X63" i="1" s="1"/>
  <c r="Y63" i="1" a="1"/>
  <c r="Y63" i="1" s="1"/>
  <c r="Z63" i="1" a="1"/>
  <c r="Z63" i="1" s="1"/>
  <c r="T63" i="1" a="1"/>
  <c r="T63" i="1" s="1"/>
  <c r="O63" i="1" a="1"/>
  <c r="O63" i="1" s="1"/>
  <c r="P63" i="1" a="1"/>
  <c r="P63" i="1" s="1"/>
  <c r="Q63" i="1" a="1"/>
  <c r="Q63" i="1" s="1"/>
  <c r="R63" i="1" a="1"/>
  <c r="R63" i="1" s="1"/>
  <c r="S63" i="1" a="1"/>
  <c r="S63" i="1" s="1"/>
  <c r="Z65" i="1" a="1"/>
  <c r="Z65" i="1" s="1"/>
  <c r="U65" i="1" a="1"/>
  <c r="U65" i="1" s="1"/>
  <c r="V65" i="1" a="1"/>
  <c r="V65" i="1" s="1"/>
  <c r="W65" i="1" a="1"/>
  <c r="W65" i="1" s="1"/>
  <c r="X65" i="1" a="1"/>
  <c r="X65" i="1" s="1"/>
  <c r="Y65" i="1" a="1"/>
  <c r="Y65" i="1" s="1"/>
  <c r="O65" i="1" a="1"/>
  <c r="O65" i="1" s="1"/>
  <c r="Q65" i="1" a="1"/>
  <c r="Q65" i="1" s="1"/>
  <c r="P65" i="1" a="1"/>
  <c r="P65" i="1" s="1"/>
  <c r="R65" i="1" a="1"/>
  <c r="R65" i="1" s="1"/>
  <c r="S65" i="1" a="1"/>
  <c r="S65" i="1" s="1"/>
  <c r="T65" i="1" a="1"/>
  <c r="T65" i="1" s="1"/>
  <c r="U66" i="1" a="1"/>
  <c r="U66" i="1" s="1"/>
  <c r="S66" i="1" a="1"/>
  <c r="S66" i="1" s="1"/>
  <c r="R66" i="1" a="1"/>
  <c r="R66" i="1" s="1"/>
  <c r="Q66" i="1" a="1"/>
  <c r="Q66" i="1" s="1"/>
  <c r="P66" i="1" a="1"/>
  <c r="P66" i="1" s="1"/>
  <c r="O66" i="1" a="1"/>
  <c r="O66" i="1" s="1"/>
  <c r="Z66" i="1" a="1"/>
  <c r="Z66" i="1" s="1"/>
  <c r="T66" i="1" a="1"/>
  <c r="T66" i="1" s="1"/>
  <c r="Y66" i="1" a="1"/>
  <c r="Y66" i="1" s="1"/>
  <c r="X66" i="1" a="1"/>
  <c r="X66" i="1" s="1"/>
  <c r="W66" i="1" a="1"/>
  <c r="W66" i="1" s="1"/>
  <c r="V66" i="1" a="1"/>
  <c r="V66" i="1" s="1"/>
  <c r="U67" i="1" a="1"/>
  <c r="U67" i="1" s="1"/>
  <c r="O67" i="1" a="1"/>
  <c r="O67" i="1" s="1"/>
  <c r="P67" i="1" a="1"/>
  <c r="P67" i="1" s="1"/>
  <c r="Q67" i="1" a="1"/>
  <c r="Q67" i="1" s="1"/>
  <c r="R67" i="1" a="1"/>
  <c r="R67" i="1" s="1"/>
  <c r="S67" i="1" a="1"/>
  <c r="S67" i="1" s="1"/>
  <c r="T67" i="1" a="1"/>
  <c r="T67" i="1" s="1"/>
  <c r="V67" i="1" a="1"/>
  <c r="V67" i="1" s="1"/>
  <c r="W67" i="1" a="1"/>
  <c r="W67" i="1" s="1"/>
  <c r="X67" i="1" a="1"/>
  <c r="X67" i="1" s="1"/>
  <c r="Y67" i="1" a="1"/>
  <c r="Y67" i="1" s="1"/>
  <c r="Z67" i="1" a="1"/>
  <c r="Z67" i="1" s="1"/>
  <c r="Q68" i="1" a="1"/>
  <c r="Q68" i="1" s="1"/>
  <c r="P68" i="1" a="1"/>
  <c r="P68" i="1" s="1"/>
  <c r="Z68" i="1" a="1"/>
  <c r="Z68" i="1" s="1"/>
  <c r="Y68" i="1" a="1"/>
  <c r="Y68" i="1" s="1"/>
  <c r="X68" i="1" a="1"/>
  <c r="X68" i="1" s="1"/>
  <c r="V68" i="1" a="1"/>
  <c r="V68" i="1" s="1"/>
  <c r="U68" i="1" a="1"/>
  <c r="U68" i="1" s="1"/>
  <c r="O68" i="1" a="1"/>
  <c r="O68" i="1" s="1"/>
  <c r="T68" i="1" a="1"/>
  <c r="T68" i="1" s="1"/>
  <c r="S68" i="1" a="1"/>
  <c r="S68" i="1" s="1"/>
  <c r="R68" i="1" a="1"/>
  <c r="R68" i="1" s="1"/>
  <c r="W68" i="1" a="1"/>
  <c r="W68" i="1" s="1"/>
  <c r="S70" i="1" a="1"/>
  <c r="S70" i="1" s="1"/>
  <c r="U70" i="1" a="1"/>
  <c r="U70" i="1" s="1"/>
  <c r="R70" i="1" a="1"/>
  <c r="R70" i="1" s="1"/>
  <c r="P70" i="1" a="1"/>
  <c r="P70" i="1" s="1"/>
  <c r="O70" i="1" a="1"/>
  <c r="O70" i="1" s="1"/>
  <c r="W70" i="1" a="1"/>
  <c r="W70" i="1" s="1"/>
  <c r="Q70" i="1" a="1"/>
  <c r="Q70" i="1" s="1"/>
  <c r="V70" i="1" a="1"/>
  <c r="V70" i="1" s="1"/>
  <c r="X70" i="1" a="1"/>
  <c r="X70" i="1" s="1"/>
  <c r="Y70" i="1" a="1"/>
  <c r="Y70" i="1" s="1"/>
  <c r="Z70" i="1" a="1"/>
  <c r="Z70" i="1" s="1"/>
  <c r="T70" i="1" a="1"/>
  <c r="T70" i="1" s="1"/>
  <c r="O71" i="1" a="1"/>
  <c r="O71" i="1" s="1"/>
  <c r="S71" i="1" a="1"/>
  <c r="S71" i="1" s="1"/>
  <c r="X71" i="1" a="1"/>
  <c r="X71" i="1" s="1"/>
  <c r="Q71" i="1" a="1"/>
  <c r="Q71" i="1" s="1"/>
  <c r="V71" i="1" a="1"/>
  <c r="V71" i="1" s="1"/>
  <c r="U71" i="1" a="1"/>
  <c r="U71" i="1" s="1"/>
  <c r="T71" i="1" a="1"/>
  <c r="T71" i="1" s="1"/>
  <c r="W71" i="1" a="1"/>
  <c r="W71" i="1" s="1"/>
  <c r="R71" i="1" a="1"/>
  <c r="R71" i="1" s="1"/>
  <c r="P71" i="1" a="1"/>
  <c r="P71" i="1" s="1"/>
  <c r="Z71" i="1" a="1"/>
  <c r="Z71" i="1" s="1"/>
  <c r="Y71" i="1" a="1"/>
  <c r="Y71" i="1" s="1"/>
  <c r="U72" i="1" a="1"/>
  <c r="U72" i="1" s="1"/>
  <c r="O72" i="1" a="1"/>
  <c r="O72" i="1" s="1"/>
  <c r="P72" i="1" a="1"/>
  <c r="P72" i="1" s="1"/>
  <c r="Q72" i="1" a="1"/>
  <c r="Q72" i="1" s="1"/>
  <c r="R72" i="1" a="1"/>
  <c r="R72" i="1" s="1"/>
  <c r="T72" i="1" a="1"/>
  <c r="T72" i="1" s="1"/>
  <c r="S72" i="1" a="1"/>
  <c r="S72" i="1" s="1"/>
  <c r="V72" i="1" a="1"/>
  <c r="V72" i="1" s="1"/>
  <c r="W72" i="1" a="1"/>
  <c r="W72" i="1" s="1"/>
  <c r="X72" i="1" a="1"/>
  <c r="X72" i="1" s="1"/>
  <c r="Y72" i="1" a="1"/>
  <c r="Y72" i="1" s="1"/>
  <c r="Z72" i="1" a="1"/>
  <c r="Z72" i="1" s="1"/>
  <c r="O73" i="1" a="1"/>
  <c r="O73" i="1" s="1"/>
  <c r="P73" i="1" a="1"/>
  <c r="P73" i="1" s="1"/>
  <c r="Q73" i="1" a="1"/>
  <c r="Q73" i="1" s="1"/>
  <c r="R73" i="1" a="1"/>
  <c r="R73" i="1" s="1"/>
  <c r="S73" i="1" a="1"/>
  <c r="S73" i="1" s="1"/>
  <c r="T73" i="1" a="1"/>
  <c r="T73" i="1" s="1"/>
  <c r="U73" i="1" a="1"/>
  <c r="U73" i="1" s="1"/>
  <c r="W73" i="1" a="1"/>
  <c r="W73" i="1" s="1"/>
  <c r="V73" i="1" a="1"/>
  <c r="V73" i="1" s="1"/>
  <c r="X73" i="1" a="1"/>
  <c r="X73" i="1" s="1"/>
  <c r="Y73" i="1" a="1"/>
  <c r="Y73" i="1" s="1"/>
  <c r="Z73" i="1" a="1"/>
  <c r="Z73" i="1" s="1"/>
  <c r="P74" i="1" a="1"/>
  <c r="P74" i="1" s="1"/>
  <c r="Q74" i="1" a="1"/>
  <c r="Q74" i="1" s="1"/>
  <c r="R74" i="1" a="1"/>
  <c r="R74" i="1" s="1"/>
  <c r="S74" i="1" a="1"/>
  <c r="S74" i="1" s="1"/>
  <c r="T74" i="1" a="1"/>
  <c r="T74" i="1" s="1"/>
  <c r="U74" i="1" a="1"/>
  <c r="U74" i="1" s="1"/>
  <c r="Z74" i="1" a="1"/>
  <c r="Z74" i="1" s="1"/>
  <c r="Y74" i="1" a="1"/>
  <c r="Y74" i="1" s="1"/>
  <c r="X74" i="1" a="1"/>
  <c r="X74" i="1" s="1"/>
  <c r="W74" i="1" a="1"/>
  <c r="W74" i="1" s="1"/>
  <c r="V74" i="1" a="1"/>
  <c r="V74" i="1" s="1"/>
  <c r="O74" i="1" a="1"/>
  <c r="O74" i="1" s="1"/>
  <c r="X75" i="1" a="1"/>
  <c r="X75" i="1" s="1"/>
  <c r="Y75" i="1" a="1"/>
  <c r="Y75" i="1" s="1"/>
  <c r="Z75" i="1" a="1"/>
  <c r="Z75" i="1" s="1"/>
  <c r="V75" i="1" a="1"/>
  <c r="V75" i="1" s="1"/>
  <c r="T75" i="1" a="1"/>
  <c r="T75" i="1" s="1"/>
  <c r="S75" i="1" a="1"/>
  <c r="S75" i="1" s="1"/>
  <c r="R75" i="1" a="1"/>
  <c r="R75" i="1" s="1"/>
  <c r="Q75" i="1" a="1"/>
  <c r="Q75" i="1" s="1"/>
  <c r="P75" i="1" a="1"/>
  <c r="P75" i="1" s="1"/>
  <c r="O75" i="1" a="1"/>
  <c r="O75" i="1" s="1"/>
  <c r="U75" i="1" a="1"/>
  <c r="U75" i="1" s="1"/>
  <c r="W75" i="1" a="1"/>
  <c r="W75" i="1" s="1"/>
  <c r="S76" i="1" a="1"/>
  <c r="S76" i="1" s="1"/>
  <c r="T76" i="1" a="1"/>
  <c r="T76" i="1" s="1"/>
  <c r="U76" i="1" a="1"/>
  <c r="U76" i="1" s="1"/>
  <c r="Q76" i="1" a="1"/>
  <c r="Q76" i="1" s="1"/>
  <c r="V76" i="1" a="1"/>
  <c r="V76" i="1" s="1"/>
  <c r="W76" i="1" a="1"/>
  <c r="W76" i="1" s="1"/>
  <c r="X76" i="1" a="1"/>
  <c r="X76" i="1" s="1"/>
  <c r="Y76" i="1" a="1"/>
  <c r="Y76" i="1" s="1"/>
  <c r="Z76" i="1" a="1"/>
  <c r="Z76" i="1" s="1"/>
  <c r="O76" i="1" a="1"/>
  <c r="O76" i="1" s="1"/>
  <c r="P76" i="1" a="1"/>
  <c r="P76" i="1" s="1"/>
  <c r="R76" i="1" a="1"/>
  <c r="R76" i="1" s="1"/>
  <c r="S77" i="1" a="1"/>
  <c r="S77" i="1" s="1"/>
  <c r="T77" i="1" a="1"/>
  <c r="T77" i="1" s="1"/>
  <c r="U77" i="1" a="1"/>
  <c r="U77" i="1" s="1"/>
  <c r="V77" i="1" a="1"/>
  <c r="V77" i="1" s="1"/>
  <c r="O77" i="1" a="1"/>
  <c r="O77" i="1" s="1"/>
  <c r="X77" i="1" a="1"/>
  <c r="X77" i="1" s="1"/>
  <c r="Y77" i="1" a="1"/>
  <c r="Y77" i="1" s="1"/>
  <c r="Z77" i="1" a="1"/>
  <c r="Z77" i="1" s="1"/>
  <c r="P77" i="1" a="1"/>
  <c r="P77" i="1" s="1"/>
  <c r="Q77" i="1" a="1"/>
  <c r="Q77" i="1" s="1"/>
  <c r="R77" i="1" a="1"/>
  <c r="R77" i="1" s="1"/>
  <c r="W77" i="1" a="1"/>
  <c r="W77" i="1" s="1"/>
  <c r="O78" i="1" a="1"/>
  <c r="O78" i="1" s="1"/>
  <c r="P78" i="1" a="1"/>
  <c r="P78" i="1" s="1"/>
  <c r="Q78" i="1" a="1"/>
  <c r="Q78" i="1" s="1"/>
  <c r="R78" i="1" a="1"/>
  <c r="R78" i="1" s="1"/>
  <c r="S78" i="1" a="1"/>
  <c r="S78" i="1" s="1"/>
  <c r="T78" i="1" a="1"/>
  <c r="T78" i="1" s="1"/>
  <c r="U78" i="1" a="1"/>
  <c r="U78" i="1" s="1"/>
  <c r="V78" i="1" a="1"/>
  <c r="V78" i="1" s="1"/>
  <c r="W78" i="1" a="1"/>
  <c r="W78" i="1" s="1"/>
  <c r="X78" i="1" a="1"/>
  <c r="X78" i="1" s="1"/>
  <c r="Y78" i="1" a="1"/>
  <c r="Y78" i="1" s="1"/>
  <c r="Z78" i="1" a="1"/>
  <c r="Z78" i="1" s="1"/>
  <c r="Y79" i="1" a="1"/>
  <c r="Y79" i="1" s="1"/>
  <c r="O79" i="1" a="1"/>
  <c r="O79" i="1" s="1"/>
  <c r="P79" i="1" a="1"/>
  <c r="P79" i="1" s="1"/>
  <c r="Q79" i="1" a="1"/>
  <c r="Q79" i="1" s="1"/>
  <c r="S79" i="1" a="1"/>
  <c r="S79" i="1" s="1"/>
  <c r="T79" i="1" a="1"/>
  <c r="T79" i="1" s="1"/>
  <c r="U79" i="1" a="1"/>
  <c r="U79" i="1" s="1"/>
  <c r="V79" i="1" a="1"/>
  <c r="V79" i="1" s="1"/>
  <c r="W79" i="1" a="1"/>
  <c r="W79" i="1" s="1"/>
  <c r="X79" i="1" a="1"/>
  <c r="X79" i="1" s="1"/>
  <c r="R79" i="1" a="1"/>
  <c r="R79" i="1" s="1"/>
  <c r="Z79" i="1" a="1"/>
  <c r="Z79" i="1" s="1"/>
  <c r="S80" i="1" a="1"/>
  <c r="S80" i="1" s="1"/>
  <c r="T80" i="1" a="1"/>
  <c r="T80" i="1" s="1"/>
  <c r="U80" i="1" a="1"/>
  <c r="U80" i="1" s="1"/>
  <c r="O80" i="1" a="1"/>
  <c r="O80" i="1" s="1"/>
  <c r="V80" i="1" a="1"/>
  <c r="V80" i="1" s="1"/>
  <c r="P80" i="1" a="1"/>
  <c r="P80" i="1" s="1"/>
  <c r="Z80" i="1" a="1"/>
  <c r="Z80" i="1" s="1"/>
  <c r="W80" i="1" a="1"/>
  <c r="W80" i="1" s="1"/>
  <c r="X80" i="1" a="1"/>
  <c r="X80" i="1" s="1"/>
  <c r="Y80" i="1" a="1"/>
  <c r="Y80" i="1" s="1"/>
  <c r="Q80" i="1" a="1"/>
  <c r="Q80" i="1" s="1"/>
  <c r="R80" i="1" a="1"/>
  <c r="R80" i="1" s="1"/>
  <c r="R81" i="1" a="1"/>
  <c r="R81" i="1" s="1"/>
  <c r="Q81" i="1" a="1"/>
  <c r="Q81" i="1" s="1"/>
  <c r="W81" i="1" a="1"/>
  <c r="W81" i="1" s="1"/>
  <c r="P81" i="1" a="1"/>
  <c r="P81" i="1" s="1"/>
  <c r="Z81" i="1" a="1"/>
  <c r="Z81" i="1" s="1"/>
  <c r="O81" i="1" a="1"/>
  <c r="O81" i="1" s="1"/>
  <c r="V81" i="1" a="1"/>
  <c r="V81" i="1" s="1"/>
  <c r="Y81" i="1" a="1"/>
  <c r="Y81" i="1" s="1"/>
  <c r="X81" i="1" a="1"/>
  <c r="X81" i="1" s="1"/>
  <c r="U81" i="1" a="1"/>
  <c r="U81" i="1" s="1"/>
  <c r="T81" i="1" a="1"/>
  <c r="T81" i="1" s="1"/>
  <c r="S81" i="1" a="1"/>
  <c r="S81" i="1" s="1"/>
  <c r="V82" i="1" a="1"/>
  <c r="V82" i="1" s="1"/>
  <c r="U82" i="1" a="1"/>
  <c r="U82" i="1" s="1"/>
  <c r="W82" i="1" a="1"/>
  <c r="W82" i="1" s="1"/>
  <c r="X82" i="1" a="1"/>
  <c r="X82" i="1" s="1"/>
  <c r="Z82" i="1" a="1"/>
  <c r="Z82" i="1" s="1"/>
  <c r="O82" i="1" a="1"/>
  <c r="O82" i="1" s="1"/>
  <c r="P82" i="1" a="1"/>
  <c r="P82" i="1" s="1"/>
  <c r="Q82" i="1" a="1"/>
  <c r="Q82" i="1" s="1"/>
  <c r="R82" i="1" a="1"/>
  <c r="R82" i="1" s="1"/>
  <c r="Y82" i="1" a="1"/>
  <c r="Y82" i="1" s="1"/>
  <c r="S82" i="1" a="1"/>
  <c r="S82" i="1" s="1"/>
  <c r="T82" i="1" a="1"/>
  <c r="T82" i="1" s="1"/>
  <c r="O83" i="1" a="1"/>
  <c r="O83" i="1" s="1"/>
  <c r="S83" i="1" a="1"/>
  <c r="S83" i="1" s="1"/>
  <c r="X83" i="1" a="1"/>
  <c r="X83" i="1" s="1"/>
  <c r="Z83" i="1" a="1"/>
  <c r="Z83" i="1" s="1"/>
  <c r="W83" i="1" a="1"/>
  <c r="W83" i="1" s="1"/>
  <c r="Q83" i="1" a="1"/>
  <c r="Q83" i="1" s="1"/>
  <c r="V83" i="1" a="1"/>
  <c r="V83" i="1" s="1"/>
  <c r="Y83" i="1" a="1"/>
  <c r="Y83" i="1" s="1"/>
  <c r="T83" i="1" a="1"/>
  <c r="T83" i="1" s="1"/>
  <c r="P83" i="1" a="1"/>
  <c r="P83" i="1" s="1"/>
  <c r="U83" i="1" a="1"/>
  <c r="U83" i="1" s="1"/>
  <c r="R83" i="1" a="1"/>
  <c r="R83" i="1" s="1"/>
  <c r="T84" i="1" a="1"/>
  <c r="T84" i="1" s="1"/>
  <c r="S84" i="1" a="1"/>
  <c r="S84" i="1" s="1"/>
  <c r="V84" i="1" a="1"/>
  <c r="V84" i="1" s="1"/>
  <c r="W84" i="1" a="1"/>
  <c r="W84" i="1" s="1"/>
  <c r="P84" i="1" a="1"/>
  <c r="P84" i="1" s="1"/>
  <c r="R84" i="1" a="1"/>
  <c r="R84" i="1" s="1"/>
  <c r="U84" i="1" a="1"/>
  <c r="U84" i="1" s="1"/>
  <c r="Z84" i="1" a="1"/>
  <c r="Z84" i="1" s="1"/>
  <c r="X84" i="1" a="1"/>
  <c r="X84" i="1" s="1"/>
  <c r="O84" i="1" a="1"/>
  <c r="O84" i="1" s="1"/>
  <c r="Y84" i="1" a="1"/>
  <c r="Y84" i="1" s="1"/>
  <c r="Q84" i="1" a="1"/>
  <c r="Q84" i="1" s="1"/>
  <c r="S85" i="1" a="1"/>
  <c r="S85" i="1" s="1"/>
  <c r="V85" i="1" a="1"/>
  <c r="V85" i="1" s="1"/>
  <c r="P85" i="1" a="1"/>
  <c r="P85" i="1" s="1"/>
  <c r="Q85" i="1" a="1"/>
  <c r="Q85" i="1" s="1"/>
  <c r="X85" i="1" a="1"/>
  <c r="X85" i="1" s="1"/>
  <c r="Y85" i="1" a="1"/>
  <c r="Y85" i="1" s="1"/>
  <c r="Z85" i="1" a="1"/>
  <c r="Z85" i="1" s="1"/>
  <c r="T85" i="1" a="1"/>
  <c r="T85" i="1" s="1"/>
  <c r="U85" i="1" a="1"/>
  <c r="U85" i="1" s="1"/>
  <c r="R85" i="1" a="1"/>
  <c r="R85" i="1" s="1"/>
  <c r="W85" i="1" a="1"/>
  <c r="W85" i="1" s="1"/>
  <c r="O85" i="1" a="1"/>
  <c r="O85" i="1" s="1"/>
  <c r="T86" i="1" a="1"/>
  <c r="T86" i="1" s="1"/>
  <c r="Z86" i="1" a="1"/>
  <c r="Z86" i="1" s="1"/>
  <c r="P86" i="1" a="1"/>
  <c r="P86" i="1" s="1"/>
  <c r="U86" i="1" a="1"/>
  <c r="U86" i="1" s="1"/>
  <c r="R86" i="1" a="1"/>
  <c r="R86" i="1" s="1"/>
  <c r="X86" i="1" a="1"/>
  <c r="X86" i="1" s="1"/>
  <c r="W86" i="1" a="1"/>
  <c r="W86" i="1" s="1"/>
  <c r="O86" i="1" a="1"/>
  <c r="O86" i="1" s="1"/>
  <c r="S86" i="1" a="1"/>
  <c r="S86" i="1" s="1"/>
  <c r="V86" i="1" a="1"/>
  <c r="V86" i="1" s="1"/>
  <c r="Q86" i="1" a="1"/>
  <c r="Q86" i="1" s="1"/>
  <c r="Y86" i="1" a="1"/>
  <c r="Y86" i="1" s="1"/>
  <c r="Q87" i="1" a="1"/>
  <c r="Q87" i="1" s="1"/>
  <c r="X87" i="1" a="1"/>
  <c r="X87" i="1" s="1"/>
  <c r="P87" i="1" a="1"/>
  <c r="P87" i="1" s="1"/>
  <c r="V87" i="1" a="1"/>
  <c r="V87" i="1" s="1"/>
  <c r="O87" i="1" a="1"/>
  <c r="O87" i="1" s="1"/>
  <c r="Y87" i="1" a="1"/>
  <c r="Y87" i="1" s="1"/>
  <c r="S87" i="1" a="1"/>
  <c r="S87" i="1" s="1"/>
  <c r="Z87" i="1" a="1"/>
  <c r="Z87" i="1" s="1"/>
  <c r="W87" i="1" a="1"/>
  <c r="W87" i="1" s="1"/>
  <c r="R87" i="1" a="1"/>
  <c r="R87" i="1" s="1"/>
  <c r="T87" i="1" a="1"/>
  <c r="T87" i="1" s="1"/>
  <c r="U87" i="1" a="1"/>
  <c r="U87" i="1" s="1"/>
  <c r="S88" i="1" a="1"/>
  <c r="S88" i="1" s="1"/>
  <c r="V88" i="1" a="1"/>
  <c r="V88" i="1" s="1"/>
  <c r="W88" i="1" a="1"/>
  <c r="W88" i="1" s="1"/>
  <c r="U88" i="1" a="1"/>
  <c r="U88" i="1" s="1"/>
  <c r="P88" i="1" a="1"/>
  <c r="P88" i="1" s="1"/>
  <c r="Q88" i="1" a="1"/>
  <c r="Q88" i="1" s="1"/>
  <c r="Z88" i="1" a="1"/>
  <c r="Z88" i="1" s="1"/>
  <c r="X88" i="1" a="1"/>
  <c r="X88" i="1" s="1"/>
  <c r="O88" i="1" a="1"/>
  <c r="O88" i="1" s="1"/>
  <c r="R88" i="1" a="1"/>
  <c r="R88" i="1" s="1"/>
  <c r="T88" i="1" a="1"/>
  <c r="T88" i="1" s="1"/>
  <c r="Y88" i="1" a="1"/>
  <c r="Y88" i="1" s="1"/>
  <c r="S89" i="1" a="1"/>
  <c r="S89" i="1" s="1"/>
  <c r="W89" i="1" a="1"/>
  <c r="W89" i="1" s="1"/>
  <c r="Y89" i="1" a="1"/>
  <c r="Y89" i="1" s="1"/>
  <c r="R89" i="1" a="1"/>
  <c r="R89" i="1" s="1"/>
  <c r="O89" i="1" a="1"/>
  <c r="O89" i="1" s="1"/>
  <c r="T89" i="1" a="1"/>
  <c r="T89" i="1" s="1"/>
  <c r="V89" i="1" a="1"/>
  <c r="V89" i="1" s="1"/>
  <c r="U89" i="1" a="1"/>
  <c r="U89" i="1" s="1"/>
  <c r="Z89" i="1" a="1"/>
  <c r="Z89" i="1" s="1"/>
  <c r="P89" i="1" a="1"/>
  <c r="P89" i="1" s="1"/>
  <c r="X89" i="1" a="1"/>
  <c r="X89" i="1" s="1"/>
  <c r="Q89" i="1" a="1"/>
  <c r="Q89" i="1" s="1"/>
  <c r="Y90" i="1" a="1"/>
  <c r="Y90" i="1" s="1"/>
  <c r="R90" i="1" a="1"/>
  <c r="R90" i="1" s="1"/>
  <c r="Q90" i="1" a="1"/>
  <c r="Q90" i="1" s="1"/>
  <c r="X90" i="1" a="1"/>
  <c r="X90" i="1" s="1"/>
  <c r="V90" i="1" a="1"/>
  <c r="V90" i="1" s="1"/>
  <c r="P90" i="1" a="1"/>
  <c r="P90" i="1" s="1"/>
  <c r="O90" i="1" a="1"/>
  <c r="O90" i="1" s="1"/>
  <c r="S90" i="1" a="1"/>
  <c r="S90" i="1" s="1"/>
  <c r="U90" i="1" a="1"/>
  <c r="U90" i="1" s="1"/>
  <c r="W90" i="1" a="1"/>
  <c r="W90" i="1" s="1"/>
  <c r="Z90" i="1" a="1"/>
  <c r="Z90" i="1" s="1"/>
  <c r="T90" i="1" a="1"/>
  <c r="T90" i="1" s="1"/>
  <c r="Q91" i="1" a="1"/>
  <c r="Q91" i="1" s="1"/>
  <c r="U91" i="1" a="1"/>
  <c r="U91" i="1" s="1"/>
  <c r="R91" i="1" a="1"/>
  <c r="R91" i="1" s="1"/>
  <c r="W91" i="1" a="1"/>
  <c r="W91" i="1" s="1"/>
  <c r="Y91" i="1" a="1"/>
  <c r="Y91" i="1" s="1"/>
  <c r="S91" i="1" a="1"/>
  <c r="S91" i="1" s="1"/>
  <c r="O91" i="1" a="1"/>
  <c r="O91" i="1" s="1"/>
  <c r="Z91" i="1" a="1"/>
  <c r="Z91" i="1" s="1"/>
  <c r="T91" i="1" a="1"/>
  <c r="T91" i="1" s="1"/>
  <c r="P91" i="1" a="1"/>
  <c r="P91" i="1" s="1"/>
  <c r="X91" i="1" a="1"/>
  <c r="X91" i="1" s="1"/>
  <c r="V91" i="1" a="1"/>
  <c r="V91" i="1" s="1"/>
  <c r="Z92" i="1" a="1"/>
  <c r="Z92" i="1" s="1"/>
  <c r="R92" i="1" a="1"/>
  <c r="R92" i="1" s="1"/>
  <c r="V92" i="1" a="1"/>
  <c r="V92" i="1" s="1"/>
  <c r="U92" i="1" a="1"/>
  <c r="U92" i="1" s="1"/>
  <c r="S92" i="1" a="1"/>
  <c r="S92" i="1" s="1"/>
  <c r="Y92" i="1" a="1"/>
  <c r="Y92" i="1" s="1"/>
  <c r="T92" i="1" a="1"/>
  <c r="T92" i="1" s="1"/>
  <c r="X92" i="1" a="1"/>
  <c r="X92" i="1" s="1"/>
  <c r="O92" i="1" a="1"/>
  <c r="O92" i="1" s="1"/>
  <c r="P92" i="1" a="1"/>
  <c r="P92" i="1" s="1"/>
  <c r="Q92" i="1" a="1"/>
  <c r="Q92" i="1" s="1"/>
  <c r="W92" i="1" a="1"/>
  <c r="W92" i="1" s="1"/>
  <c r="T93" i="1" a="1"/>
  <c r="T93" i="1" s="1"/>
  <c r="V93" i="1" a="1"/>
  <c r="V93" i="1" s="1"/>
  <c r="R93" i="1" a="1"/>
  <c r="R93" i="1" s="1"/>
  <c r="P93" i="1" a="1"/>
  <c r="P93" i="1" s="1"/>
  <c r="Q93" i="1" a="1"/>
  <c r="Q93" i="1" s="1"/>
  <c r="W93" i="1" a="1"/>
  <c r="W93" i="1" s="1"/>
  <c r="S93" i="1" a="1"/>
  <c r="S93" i="1" s="1"/>
  <c r="O93" i="1" a="1"/>
  <c r="O93" i="1" s="1"/>
  <c r="Y93" i="1" a="1"/>
  <c r="Y93" i="1" s="1"/>
  <c r="U93" i="1" a="1"/>
  <c r="U93" i="1" s="1"/>
  <c r="Z93" i="1" a="1"/>
  <c r="Z93" i="1" s="1"/>
  <c r="X93" i="1" a="1"/>
  <c r="X93" i="1" s="1"/>
  <c r="T94" i="1" a="1"/>
  <c r="T94" i="1" s="1"/>
  <c r="S94" i="1" a="1"/>
  <c r="S94" i="1" s="1"/>
  <c r="O94" i="1" a="1"/>
  <c r="O94" i="1" s="1"/>
  <c r="Y94" i="1" a="1"/>
  <c r="Y94" i="1" s="1"/>
  <c r="W94" i="1" a="1"/>
  <c r="W94" i="1" s="1"/>
  <c r="X94" i="1" a="1"/>
  <c r="X94" i="1" s="1"/>
  <c r="P94" i="1" a="1"/>
  <c r="P94" i="1" s="1"/>
  <c r="Q94" i="1" a="1"/>
  <c r="Q94" i="1" s="1"/>
  <c r="V94" i="1" a="1"/>
  <c r="V94" i="1" s="1"/>
  <c r="U94" i="1" a="1"/>
  <c r="U94" i="1" s="1"/>
  <c r="R94" i="1" a="1"/>
  <c r="R94" i="1" s="1"/>
  <c r="Z94" i="1" a="1"/>
  <c r="Z94" i="1" s="1"/>
  <c r="R95" i="1" a="1"/>
  <c r="R95" i="1" s="1"/>
  <c r="V95" i="1" a="1"/>
  <c r="V95" i="1" s="1"/>
  <c r="Z95" i="1" a="1"/>
  <c r="Z95" i="1" s="1"/>
  <c r="U95" i="1" a="1"/>
  <c r="U95" i="1" s="1"/>
  <c r="Q95" i="1" a="1"/>
  <c r="Q95" i="1" s="1"/>
  <c r="Y95" i="1" a="1"/>
  <c r="Y95" i="1" s="1"/>
  <c r="S95" i="1" a="1"/>
  <c r="S95" i="1" s="1"/>
  <c r="P95" i="1" a="1"/>
  <c r="P95" i="1" s="1"/>
  <c r="O95" i="1" a="1"/>
  <c r="O95" i="1" s="1"/>
  <c r="T95" i="1" a="1"/>
  <c r="T95" i="1" s="1"/>
  <c r="X95" i="1" a="1"/>
  <c r="X95" i="1" s="1"/>
  <c r="W95" i="1" a="1"/>
  <c r="W95" i="1" s="1"/>
  <c r="V96" i="1" a="1"/>
  <c r="V96" i="1" s="1"/>
  <c r="W96" i="1" a="1"/>
  <c r="W96" i="1" s="1"/>
  <c r="O96" i="1" a="1"/>
  <c r="O96" i="1" s="1"/>
  <c r="U96" i="1" a="1"/>
  <c r="U96" i="1" s="1"/>
  <c r="Y96" i="1" a="1"/>
  <c r="Y96" i="1" s="1"/>
  <c r="P96" i="1" a="1"/>
  <c r="P96" i="1" s="1"/>
  <c r="X96" i="1" a="1"/>
  <c r="X96" i="1" s="1"/>
  <c r="Q96" i="1" a="1"/>
  <c r="Q96" i="1" s="1"/>
  <c r="T96" i="1" a="1"/>
  <c r="T96" i="1" s="1"/>
  <c r="S96" i="1" a="1"/>
  <c r="S96" i="1" s="1"/>
  <c r="Z96" i="1" a="1"/>
  <c r="Z96" i="1" s="1"/>
  <c r="R96" i="1" a="1"/>
  <c r="R96" i="1" s="1"/>
  <c r="O97" i="1" a="1"/>
  <c r="O97" i="1" s="1"/>
  <c r="X97" i="1" a="1"/>
  <c r="X97" i="1" s="1"/>
  <c r="S97" i="1" a="1"/>
  <c r="S97" i="1" s="1"/>
  <c r="T97" i="1" a="1"/>
  <c r="T97" i="1" s="1"/>
  <c r="P97" i="1" a="1"/>
  <c r="P97" i="1" s="1"/>
  <c r="U97" i="1" a="1"/>
  <c r="U97" i="1" s="1"/>
  <c r="Q97" i="1" a="1"/>
  <c r="Q97" i="1" s="1"/>
  <c r="V97" i="1" a="1"/>
  <c r="V97" i="1" s="1"/>
  <c r="Z97" i="1" a="1"/>
  <c r="Z97" i="1" s="1"/>
  <c r="W97" i="1" a="1"/>
  <c r="W97" i="1" s="1"/>
  <c r="Y97" i="1" a="1"/>
  <c r="Y97" i="1" s="1"/>
  <c r="R97" i="1" a="1"/>
  <c r="R97" i="1" s="1"/>
  <c r="T98" i="1" a="1"/>
  <c r="T98" i="1" s="1"/>
  <c r="Q98" i="1" a="1"/>
  <c r="Q98" i="1" s="1"/>
  <c r="X98" i="1" a="1"/>
  <c r="X98" i="1" s="1"/>
  <c r="V98" i="1" a="1"/>
  <c r="V98" i="1" s="1"/>
  <c r="Z98" i="1" a="1"/>
  <c r="Z98" i="1" s="1"/>
  <c r="U98" i="1" a="1"/>
  <c r="U98" i="1" s="1"/>
  <c r="Y98" i="1" a="1"/>
  <c r="Y98" i="1" s="1"/>
  <c r="R98" i="1" a="1"/>
  <c r="R98" i="1" s="1"/>
  <c r="S98" i="1" a="1"/>
  <c r="S98" i="1" s="1"/>
  <c r="P98" i="1" a="1"/>
  <c r="P98" i="1" s="1"/>
  <c r="W98" i="1" a="1"/>
  <c r="W98" i="1" s="1"/>
  <c r="O98" i="1" a="1"/>
  <c r="O98" i="1" s="1"/>
  <c r="T99" i="1" a="1"/>
  <c r="T99" i="1" s="1"/>
  <c r="V99" i="1" a="1"/>
  <c r="V99" i="1" s="1"/>
  <c r="X99" i="1" a="1"/>
  <c r="X99" i="1" s="1"/>
  <c r="W99" i="1" a="1"/>
  <c r="W99" i="1" s="1"/>
  <c r="U99" i="1" a="1"/>
  <c r="U99" i="1" s="1"/>
  <c r="R99" i="1" a="1"/>
  <c r="R99" i="1" s="1"/>
  <c r="Y99" i="1" a="1"/>
  <c r="Y99" i="1" s="1"/>
  <c r="Z99" i="1" a="1"/>
  <c r="Z99" i="1" s="1"/>
  <c r="P99" i="1" a="1"/>
  <c r="P99" i="1" s="1"/>
  <c r="S99" i="1" a="1"/>
  <c r="S99" i="1" s="1"/>
  <c r="Q99" i="1" a="1"/>
  <c r="Q99" i="1" s="1"/>
  <c r="O99" i="1" a="1"/>
  <c r="O99" i="1" s="1"/>
  <c r="P100" i="1" a="1"/>
  <c r="P100" i="1" s="1"/>
  <c r="O100" i="1" a="1"/>
  <c r="O100" i="1" s="1"/>
  <c r="X100" i="1" a="1"/>
  <c r="X100" i="1" s="1"/>
  <c r="W100" i="1" a="1"/>
  <c r="W100" i="1" s="1"/>
  <c r="V100" i="1" a="1"/>
  <c r="V100" i="1" s="1"/>
  <c r="T100" i="1" a="1"/>
  <c r="T100" i="1" s="1"/>
  <c r="S100" i="1" a="1"/>
  <c r="S100" i="1" s="1"/>
  <c r="R100" i="1" a="1"/>
  <c r="R100" i="1" s="1"/>
  <c r="U100" i="1" a="1"/>
  <c r="U100" i="1" s="1"/>
  <c r="Z100" i="1" a="1"/>
  <c r="Z100" i="1" s="1"/>
  <c r="Q100" i="1" a="1"/>
  <c r="Q100" i="1" s="1"/>
  <c r="Y100" i="1" a="1"/>
  <c r="Y100" i="1" s="1"/>
  <c r="P101" i="1" a="1"/>
  <c r="P101" i="1" s="1"/>
  <c r="S101" i="1" a="1"/>
  <c r="S101" i="1" s="1"/>
  <c r="Q101" i="1" a="1"/>
  <c r="Q101" i="1" s="1"/>
  <c r="T101" i="1" a="1"/>
  <c r="T101" i="1" s="1"/>
  <c r="R101" i="1" a="1"/>
  <c r="R101" i="1" s="1"/>
  <c r="U101" i="1" a="1"/>
  <c r="U101" i="1" s="1"/>
  <c r="O101" i="1" a="1"/>
  <c r="O101" i="1" s="1"/>
  <c r="V101" i="1" a="1"/>
  <c r="V101" i="1" s="1"/>
  <c r="W101" i="1" a="1"/>
  <c r="W101" i="1" s="1"/>
  <c r="X101" i="1" a="1"/>
  <c r="X101" i="1" s="1"/>
  <c r="Y101" i="1" a="1"/>
  <c r="Y101" i="1" s="1"/>
  <c r="Z101" i="1" a="1"/>
  <c r="Z101" i="1" s="1"/>
  <c r="Z102" i="1" a="1"/>
  <c r="Z102" i="1" s="1"/>
  <c r="Y102" i="1" a="1"/>
  <c r="Y102" i="1" s="1"/>
  <c r="X102" i="1" a="1"/>
  <c r="X102" i="1" s="1"/>
  <c r="W102" i="1" a="1"/>
  <c r="W102" i="1" s="1"/>
  <c r="V102" i="1" a="1"/>
  <c r="V102" i="1" s="1"/>
  <c r="P102" i="1" a="1"/>
  <c r="P102" i="1" s="1"/>
  <c r="Q102" i="1" a="1"/>
  <c r="Q102" i="1" s="1"/>
  <c r="R102" i="1" a="1"/>
  <c r="R102" i="1" s="1"/>
  <c r="S102" i="1" a="1"/>
  <c r="S102" i="1" s="1"/>
  <c r="U102" i="1" a="1"/>
  <c r="U102" i="1" s="1"/>
  <c r="T102" i="1" a="1"/>
  <c r="T102" i="1" s="1"/>
  <c r="O102" i="1" a="1"/>
  <c r="O102" i="1" s="1"/>
  <c r="V103" i="1" a="1"/>
  <c r="V103" i="1" s="1"/>
  <c r="U103" i="1" a="1"/>
  <c r="U103" i="1" s="1"/>
  <c r="T103" i="1" a="1"/>
  <c r="T103" i="1" s="1"/>
  <c r="O103" i="1" a="1"/>
  <c r="O103" i="1" s="1"/>
  <c r="S103" i="1" a="1"/>
  <c r="S103" i="1" s="1"/>
  <c r="R103" i="1" a="1"/>
  <c r="R103" i="1" s="1"/>
  <c r="Q103" i="1" a="1"/>
  <c r="Q103" i="1" s="1"/>
  <c r="P103" i="1" a="1"/>
  <c r="P103" i="1" s="1"/>
  <c r="Z103" i="1" a="1"/>
  <c r="Z103" i="1" s="1"/>
  <c r="Y103" i="1" a="1"/>
  <c r="Y103" i="1" s="1"/>
  <c r="X103" i="1" a="1"/>
  <c r="X103" i="1" s="1"/>
  <c r="W103" i="1" a="1"/>
  <c r="W103" i="1" s="1"/>
  <c r="Z104" i="1" a="1"/>
  <c r="Z104" i="1" s="1"/>
  <c r="Y104" i="1" a="1"/>
  <c r="Y104" i="1" s="1"/>
  <c r="X104" i="1" a="1"/>
  <c r="X104" i="1" s="1"/>
  <c r="W104" i="1" a="1"/>
  <c r="W104" i="1" s="1"/>
  <c r="V104" i="1" a="1"/>
  <c r="V104" i="1" s="1"/>
  <c r="U104" i="1" a="1"/>
  <c r="U104" i="1" s="1"/>
  <c r="R104" i="1" a="1"/>
  <c r="R104" i="1" s="1"/>
  <c r="T104" i="1" a="1"/>
  <c r="T104" i="1" s="1"/>
  <c r="O104" i="1" a="1"/>
  <c r="O104" i="1" s="1"/>
  <c r="P104" i="1" a="1"/>
  <c r="P104" i="1" s="1"/>
  <c r="Q104" i="1" a="1"/>
  <c r="Q104" i="1" s="1"/>
  <c r="S104" i="1" a="1"/>
  <c r="S104" i="1" s="1"/>
  <c r="W105" i="1" a="1"/>
  <c r="W105" i="1" s="1"/>
  <c r="V105" i="1" a="1"/>
  <c r="V105" i="1" s="1"/>
  <c r="U105" i="1" a="1"/>
  <c r="U105" i="1" s="1"/>
  <c r="T105" i="1" a="1"/>
  <c r="T105" i="1" s="1"/>
  <c r="S105" i="1" a="1"/>
  <c r="S105" i="1" s="1"/>
  <c r="R105" i="1" a="1"/>
  <c r="R105" i="1" s="1"/>
  <c r="Q105" i="1" a="1"/>
  <c r="Q105" i="1" s="1"/>
  <c r="P105" i="1" a="1"/>
  <c r="P105" i="1" s="1"/>
  <c r="O105" i="1" a="1"/>
  <c r="O105" i="1" s="1"/>
  <c r="X105" i="1" a="1"/>
  <c r="X105" i="1" s="1"/>
  <c r="Y105" i="1" a="1"/>
  <c r="Y105" i="1" s="1"/>
  <c r="Z105" i="1" a="1"/>
  <c r="Z105" i="1" s="1"/>
  <c r="P106" i="1" a="1"/>
  <c r="P106" i="1" s="1"/>
  <c r="O106" i="1" a="1"/>
  <c r="O106" i="1" s="1"/>
  <c r="R106" i="1" a="1"/>
  <c r="R106" i="1" s="1"/>
  <c r="Z106" i="1" a="1"/>
  <c r="Z106" i="1" s="1"/>
  <c r="Y106" i="1" a="1"/>
  <c r="Y106" i="1" s="1"/>
  <c r="X106" i="1" a="1"/>
  <c r="X106" i="1" s="1"/>
  <c r="W106" i="1" a="1"/>
  <c r="W106" i="1" s="1"/>
  <c r="V106" i="1" a="1"/>
  <c r="V106" i="1" s="1"/>
  <c r="U106" i="1" a="1"/>
  <c r="U106" i="1" s="1"/>
  <c r="T106" i="1" a="1"/>
  <c r="T106" i="1" s="1"/>
  <c r="S106" i="1" a="1"/>
  <c r="S106" i="1" s="1"/>
  <c r="Q106" i="1" a="1"/>
  <c r="Q106" i="1" s="1"/>
  <c r="Y107" i="1" a="1"/>
  <c r="Y107" i="1" s="1"/>
  <c r="W107" i="1" a="1"/>
  <c r="W107" i="1" s="1"/>
  <c r="X107" i="1" a="1"/>
  <c r="X107" i="1" s="1"/>
  <c r="O107" i="1" a="1"/>
  <c r="O107" i="1" s="1"/>
  <c r="P107" i="1" a="1"/>
  <c r="P107" i="1" s="1"/>
  <c r="T107" i="1" a="1"/>
  <c r="T107" i="1" s="1"/>
  <c r="V107" i="1" a="1"/>
  <c r="V107" i="1" s="1"/>
  <c r="Q107" i="1" a="1"/>
  <c r="Q107" i="1" s="1"/>
  <c r="R107" i="1" a="1"/>
  <c r="R107" i="1" s="1"/>
  <c r="U107" i="1" a="1"/>
  <c r="U107" i="1" s="1"/>
  <c r="S107" i="1" a="1"/>
  <c r="S107" i="1" s="1"/>
  <c r="Z107" i="1" a="1"/>
  <c r="Z107" i="1" s="1"/>
  <c r="W108" i="1" a="1"/>
  <c r="W108" i="1" s="1"/>
  <c r="V108" i="1" a="1"/>
  <c r="V108" i="1" s="1"/>
  <c r="U108" i="1" a="1"/>
  <c r="U108" i="1" s="1"/>
  <c r="T108" i="1" a="1"/>
  <c r="T108" i="1" s="1"/>
  <c r="S108" i="1" a="1"/>
  <c r="S108" i="1" s="1"/>
  <c r="Y108" i="1" a="1"/>
  <c r="Y108" i="1" s="1"/>
  <c r="Q108" i="1" a="1"/>
  <c r="Q108" i="1" s="1"/>
  <c r="P108" i="1" a="1"/>
  <c r="P108" i="1" s="1"/>
  <c r="O108" i="1" a="1"/>
  <c r="O108" i="1" s="1"/>
  <c r="R108" i="1" a="1"/>
  <c r="R108" i="1" s="1"/>
  <c r="Z108" i="1" a="1"/>
  <c r="Z108" i="1" s="1"/>
  <c r="X108" i="1" a="1"/>
  <c r="X108" i="1" s="1"/>
  <c r="O109" i="1" a="1"/>
  <c r="O109" i="1" s="1"/>
  <c r="T109" i="1" a="1"/>
  <c r="T109" i="1" s="1"/>
  <c r="U109" i="1" a="1"/>
  <c r="U109" i="1" s="1"/>
  <c r="R109" i="1" a="1"/>
  <c r="R109" i="1" s="1"/>
  <c r="W109" i="1" a="1"/>
  <c r="W109" i="1" s="1"/>
  <c r="Q109" i="1" a="1"/>
  <c r="Q109" i="1" s="1"/>
  <c r="S109" i="1" a="1"/>
  <c r="S109" i="1" s="1"/>
  <c r="P109" i="1" a="1"/>
  <c r="P109" i="1" s="1"/>
  <c r="X109" i="1" a="1"/>
  <c r="X109" i="1" s="1"/>
  <c r="Y109" i="1" a="1"/>
  <c r="Y109" i="1" s="1"/>
  <c r="Z109" i="1" a="1"/>
  <c r="Z109" i="1" s="1"/>
  <c r="V109" i="1" a="1"/>
  <c r="V109" i="1" s="1"/>
  <c r="O110" i="1" a="1"/>
  <c r="O110" i="1" s="1"/>
  <c r="P110" i="1" a="1"/>
  <c r="P110" i="1" s="1"/>
  <c r="R110" i="1" a="1"/>
  <c r="R110" i="1" s="1"/>
  <c r="S110" i="1" a="1"/>
  <c r="S110" i="1" s="1"/>
  <c r="T110" i="1" a="1"/>
  <c r="T110" i="1" s="1"/>
  <c r="U110" i="1" a="1"/>
  <c r="U110" i="1" s="1"/>
  <c r="V110" i="1" a="1"/>
  <c r="V110" i="1" s="1"/>
  <c r="W110" i="1" a="1"/>
  <c r="W110" i="1" s="1"/>
  <c r="X110" i="1" a="1"/>
  <c r="X110" i="1" s="1"/>
  <c r="Y110" i="1" a="1"/>
  <c r="Y110" i="1" s="1"/>
  <c r="Z110" i="1" a="1"/>
  <c r="Z110" i="1" s="1"/>
  <c r="Q110" i="1" a="1"/>
  <c r="Q110" i="1" s="1"/>
  <c r="BM15" i="1"/>
  <c r="AA16" i="1" l="1"/>
  <c r="AB16" i="1"/>
  <c r="AC16" i="1"/>
  <c r="AA17" i="1"/>
  <c r="AB17" i="1"/>
  <c r="AC17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A23" i="1"/>
  <c r="AB23" i="1"/>
  <c r="AC23" i="1"/>
  <c r="AA24" i="1"/>
  <c r="AB24" i="1"/>
  <c r="AC24" i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C31" i="1"/>
  <c r="AB31" i="1"/>
  <c r="AA31" i="1"/>
  <c r="AA32" i="1"/>
  <c r="AB32" i="1"/>
  <c r="AC32" i="1"/>
  <c r="AA33" i="1"/>
  <c r="AB33" i="1"/>
  <c r="AC33" i="1"/>
  <c r="AA34" i="1"/>
  <c r="AC34" i="1"/>
  <c r="AB34" i="1"/>
  <c r="AB35" i="1"/>
  <c r="AC35" i="1"/>
  <c r="AA35" i="1"/>
  <c r="AC36" i="1"/>
  <c r="AA36" i="1"/>
  <c r="AB36" i="1"/>
  <c r="AC37" i="1"/>
  <c r="AA37" i="1"/>
  <c r="AB37" i="1"/>
  <c r="AA38" i="1"/>
  <c r="AB38" i="1"/>
  <c r="AC38" i="1"/>
  <c r="AA39" i="1"/>
  <c r="AB39" i="1"/>
  <c r="AC39" i="1"/>
  <c r="AC40" i="1"/>
  <c r="AA40" i="1"/>
  <c r="AB40" i="1"/>
  <c r="AC41" i="1"/>
  <c r="AA41" i="1"/>
  <c r="AB41" i="1"/>
  <c r="AA42" i="1"/>
  <c r="AB42" i="1"/>
  <c r="AC42" i="1"/>
  <c r="AC43" i="1"/>
  <c r="AA43" i="1"/>
  <c r="AB43" i="1"/>
  <c r="AC44" i="1"/>
  <c r="AA44" i="1"/>
  <c r="AB44" i="1"/>
  <c r="AC45" i="1"/>
  <c r="AA45" i="1"/>
  <c r="AB45" i="1"/>
  <c r="AC46" i="1"/>
  <c r="AA46" i="1"/>
  <c r="AB46" i="1"/>
  <c r="AC47" i="1"/>
  <c r="AB47" i="1"/>
  <c r="AA47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C54" i="1"/>
  <c r="AA54" i="1"/>
  <c r="AB54" i="1"/>
  <c r="AA55" i="1"/>
  <c r="AB55" i="1"/>
  <c r="AC55" i="1"/>
  <c r="AC57" i="1"/>
  <c r="AA57" i="1"/>
  <c r="AB57" i="1"/>
  <c r="AC58" i="1"/>
  <c r="AB58" i="1"/>
  <c r="AA58" i="1"/>
  <c r="AA59" i="1"/>
  <c r="AC59" i="1"/>
  <c r="AB59" i="1"/>
  <c r="AB60" i="1"/>
  <c r="AC60" i="1"/>
  <c r="AA60" i="1"/>
  <c r="AB61" i="1"/>
  <c r="AC61" i="1"/>
  <c r="AA61" i="1"/>
  <c r="AA62" i="1"/>
  <c r="AB62" i="1"/>
  <c r="AC62" i="1"/>
  <c r="AB63" i="1"/>
  <c r="AA63" i="1"/>
  <c r="AC63" i="1"/>
  <c r="AB65" i="1"/>
  <c r="AA65" i="1"/>
  <c r="AC65" i="1"/>
  <c r="AA66" i="1"/>
  <c r="AC66" i="1"/>
  <c r="AB66" i="1"/>
  <c r="AB67" i="1"/>
  <c r="AA67" i="1"/>
  <c r="AC67" i="1"/>
  <c r="AC68" i="1"/>
  <c r="AB68" i="1"/>
  <c r="AA68" i="1"/>
  <c r="AC70" i="1"/>
  <c r="AB70" i="1"/>
  <c r="AA70" i="1"/>
  <c r="AB71" i="1"/>
  <c r="AA71" i="1"/>
  <c r="AC71" i="1"/>
  <c r="AA72" i="1"/>
  <c r="AB72" i="1"/>
  <c r="AC72" i="1"/>
  <c r="AC73" i="1"/>
  <c r="AA73" i="1"/>
  <c r="AB73" i="1"/>
  <c r="AB74" i="1"/>
  <c r="AC74" i="1"/>
  <c r="AA74" i="1"/>
  <c r="AC75" i="1"/>
  <c r="AB75" i="1"/>
  <c r="AA75" i="1"/>
  <c r="AB76" i="1"/>
  <c r="AA76" i="1"/>
  <c r="AC76" i="1"/>
  <c r="AA77" i="1"/>
  <c r="AC77" i="1"/>
  <c r="AB77" i="1"/>
  <c r="AA78" i="1"/>
  <c r="AC78" i="1"/>
  <c r="AB78" i="1"/>
  <c r="AB79" i="1"/>
  <c r="AA79" i="1"/>
  <c r="AC79" i="1"/>
  <c r="AB80" i="1"/>
  <c r="AA80" i="1"/>
  <c r="AC80" i="1"/>
  <c r="AB81" i="1"/>
  <c r="AA81" i="1"/>
  <c r="AC81" i="1"/>
  <c r="AA82" i="1"/>
  <c r="AB82" i="1"/>
  <c r="AC82" i="1"/>
  <c r="AB83" i="1"/>
  <c r="AC83" i="1"/>
  <c r="AA83" i="1"/>
  <c r="AB84" i="1"/>
  <c r="AC84" i="1"/>
  <c r="AA84" i="1"/>
  <c r="AA85" i="1"/>
  <c r="AB85" i="1"/>
  <c r="AC85" i="1"/>
  <c r="AA86" i="1"/>
  <c r="AB86" i="1"/>
  <c r="AC86" i="1"/>
  <c r="AB87" i="1"/>
  <c r="AA87" i="1"/>
  <c r="AC87" i="1"/>
  <c r="AB88" i="1"/>
  <c r="AC88" i="1"/>
  <c r="AA88" i="1"/>
  <c r="AB89" i="1"/>
  <c r="AC89" i="1"/>
  <c r="AA89" i="1"/>
  <c r="AB90" i="1"/>
  <c r="AC90" i="1"/>
  <c r="AA90" i="1"/>
  <c r="AC91" i="1"/>
  <c r="AB91" i="1"/>
  <c r="AA91" i="1"/>
  <c r="AB92" i="1"/>
  <c r="AC92" i="1"/>
  <c r="AA92" i="1"/>
  <c r="AA93" i="1"/>
  <c r="AB93" i="1"/>
  <c r="AC93" i="1"/>
  <c r="AB94" i="1"/>
  <c r="AC94" i="1"/>
  <c r="AA94" i="1"/>
  <c r="AB95" i="1"/>
  <c r="AA95" i="1"/>
  <c r="AC95" i="1"/>
  <c r="AA96" i="1"/>
  <c r="AB96" i="1"/>
  <c r="AC96" i="1"/>
  <c r="AA97" i="1"/>
  <c r="AB97" i="1"/>
  <c r="AC97" i="1"/>
  <c r="AA98" i="1"/>
  <c r="AB98" i="1"/>
  <c r="AC98" i="1"/>
  <c r="AA99" i="1"/>
  <c r="AB99" i="1"/>
  <c r="AC99" i="1"/>
  <c r="AA100" i="1"/>
  <c r="AB100" i="1"/>
  <c r="AC100" i="1"/>
  <c r="AA101" i="1"/>
  <c r="AB101" i="1"/>
  <c r="AC101" i="1"/>
  <c r="AA102" i="1"/>
  <c r="AB102" i="1"/>
  <c r="AC102" i="1"/>
  <c r="AA103" i="1"/>
  <c r="AB103" i="1"/>
  <c r="AC103" i="1"/>
  <c r="AA104" i="1"/>
  <c r="AB104" i="1"/>
  <c r="AC104" i="1"/>
  <c r="AA105" i="1"/>
  <c r="AB105" i="1"/>
  <c r="AC105" i="1"/>
  <c r="AA106" i="1"/>
  <c r="AB106" i="1"/>
  <c r="AC106" i="1"/>
  <c r="AA107" i="1"/>
  <c r="AB107" i="1"/>
  <c r="AC107" i="1"/>
  <c r="AA108" i="1"/>
  <c r="AB108" i="1"/>
  <c r="AC108" i="1"/>
  <c r="AA109" i="1"/>
  <c r="AB109" i="1"/>
  <c r="AC109" i="1"/>
  <c r="AA110" i="1"/>
  <c r="AB110" i="1"/>
  <c r="AC110" i="1"/>
  <c r="BE69" i="1" a="1"/>
  <c r="BE69" i="1" s="1"/>
  <c r="AG69" i="1"/>
  <c r="AF69" i="1"/>
  <c r="AE69" i="1"/>
  <c r="AO69" i="1"/>
  <c r="AN69" i="1"/>
  <c r="AM69" i="1"/>
  <c r="AL69" i="1"/>
  <c r="AK69" i="1"/>
  <c r="BF69" i="1" a="1"/>
  <c r="BF69" i="1" s="1"/>
  <c r="AJ69" i="1"/>
  <c r="AI69" i="1"/>
  <c r="AH69" i="1"/>
  <c r="AU69" i="1" a="1"/>
  <c r="AU69" i="1" s="1"/>
  <c r="AV69" i="1" a="1"/>
  <c r="AV69" i="1" s="1"/>
  <c r="AW69" i="1" a="1"/>
  <c r="AW69" i="1" s="1"/>
  <c r="AX69" i="1" a="1"/>
  <c r="AX69" i="1" s="1"/>
  <c r="AY69" i="1" a="1"/>
  <c r="AY69" i="1" s="1"/>
  <c r="AP69" i="1"/>
  <c r="AZ69" i="1" a="1"/>
  <c r="AZ69" i="1" s="1"/>
  <c r="BA69" i="1" a="1"/>
  <c r="BA69" i="1" s="1"/>
  <c r="BB69" i="1" a="1"/>
  <c r="BB69" i="1" s="1"/>
  <c r="BC69" i="1" a="1"/>
  <c r="BC69" i="1" s="1"/>
  <c r="BD69" i="1" a="1"/>
  <c r="BD69" i="1" s="1"/>
  <c r="AZ64" i="1" a="1"/>
  <c r="AZ64" i="1" s="1"/>
  <c r="AU64" i="1" a="1"/>
  <c r="AU64" i="1" s="1"/>
  <c r="AV64" i="1" a="1"/>
  <c r="AV64" i="1" s="1"/>
  <c r="AW64" i="1" a="1"/>
  <c r="AW64" i="1" s="1"/>
  <c r="AX64" i="1" a="1"/>
  <c r="AX64" i="1" s="1"/>
  <c r="AY64" i="1" a="1"/>
  <c r="AY64" i="1" s="1"/>
  <c r="BA64" i="1" a="1"/>
  <c r="BA64" i="1" s="1"/>
  <c r="BB64" i="1" a="1"/>
  <c r="BB64" i="1" s="1"/>
  <c r="BC64" i="1" a="1"/>
  <c r="BC64" i="1" s="1"/>
  <c r="BD64" i="1" a="1"/>
  <c r="BD64" i="1" s="1"/>
  <c r="BE64" i="1" a="1"/>
  <c r="BE64" i="1" s="1"/>
  <c r="BE111" i="1" s="1" a="1"/>
  <c r="BE111" i="1" s="1"/>
  <c r="BF64" i="1" a="1"/>
  <c r="BF64" i="1" s="1"/>
  <c r="AP64" i="1"/>
  <c r="AH64" i="1"/>
  <c r="AI64" i="1"/>
  <c r="AJ64" i="1"/>
  <c r="AK64" i="1"/>
  <c r="AL64" i="1"/>
  <c r="AM64" i="1"/>
  <c r="AN64" i="1"/>
  <c r="AO64" i="1"/>
  <c r="AE64" i="1"/>
  <c r="AF64" i="1"/>
  <c r="AF111" i="1" s="1" a="1"/>
  <c r="AF111" i="1" s="1"/>
  <c r="AG64" i="1"/>
  <c r="AL56" i="1"/>
  <c r="AL111" i="1" s="1" a="1"/>
  <c r="AL111" i="1" s="1"/>
  <c r="AJ56" i="1"/>
  <c r="AJ111" i="1" s="1" a="1"/>
  <c r="AJ111" i="1" s="1"/>
  <c r="AN56" i="1"/>
  <c r="AN111" i="1" s="1" a="1"/>
  <c r="AN111" i="1" s="1"/>
  <c r="AO56" i="1"/>
  <c r="AP56" i="1"/>
  <c r="BC56" i="1" a="1"/>
  <c r="BC56" i="1" s="1"/>
  <c r="BF56" i="1" a="1"/>
  <c r="BF56" i="1" s="1"/>
  <c r="BE56" i="1" a="1"/>
  <c r="BE56" i="1" s="1"/>
  <c r="BD56" i="1" a="1"/>
  <c r="BD56" i="1" s="1"/>
  <c r="BB56" i="1" a="1"/>
  <c r="BB56" i="1" s="1"/>
  <c r="BA56" i="1" a="1"/>
  <c r="BA56" i="1" s="1"/>
  <c r="AZ56" i="1" a="1"/>
  <c r="AZ56" i="1" s="1"/>
  <c r="AY56" i="1" a="1"/>
  <c r="AY56" i="1" s="1"/>
  <c r="AX56" i="1" a="1"/>
  <c r="AX56" i="1" s="1"/>
  <c r="AK56" i="1"/>
  <c r="AK111" i="1" s="1" a="1"/>
  <c r="AK111" i="1" s="1"/>
  <c r="AW56" i="1" a="1"/>
  <c r="AW56" i="1" s="1"/>
  <c r="AV56" i="1" a="1"/>
  <c r="AV56" i="1" s="1"/>
  <c r="AU56" i="1" a="1"/>
  <c r="AU56" i="1" s="1"/>
  <c r="AU111" i="1" s="1" a="1"/>
  <c r="AU111" i="1" s="1"/>
  <c r="AF56" i="1"/>
  <c r="AM56" i="1"/>
  <c r="AH56" i="1"/>
  <c r="AI56" i="1"/>
  <c r="AI111" i="1" s="1" a="1"/>
  <c r="AI111" i="1" s="1"/>
  <c r="AE56" i="1"/>
  <c r="AG56" i="1"/>
  <c r="Z69" i="1" a="1"/>
  <c r="Z69" i="1" s="1"/>
  <c r="Y69" i="1" a="1"/>
  <c r="Y69" i="1" s="1"/>
  <c r="X69" i="1" a="1"/>
  <c r="X69" i="1" s="1"/>
  <c r="W69" i="1" a="1"/>
  <c r="W69" i="1" s="1"/>
  <c r="V69" i="1" a="1"/>
  <c r="V69" i="1" s="1"/>
  <c r="U69" i="1" a="1"/>
  <c r="U69" i="1" s="1"/>
  <c r="T69" i="1" a="1"/>
  <c r="T69" i="1" s="1"/>
  <c r="S69" i="1" a="1"/>
  <c r="S69" i="1" s="1"/>
  <c r="R69" i="1" a="1"/>
  <c r="R69" i="1" s="1"/>
  <c r="Q69" i="1" a="1"/>
  <c r="Q69" i="1" s="1"/>
  <c r="P69" i="1" a="1"/>
  <c r="P69" i="1" s="1"/>
  <c r="O69" i="1" a="1"/>
  <c r="O69" i="1" s="1"/>
  <c r="O64" i="1" a="1"/>
  <c r="O64" i="1" s="1"/>
  <c r="P64" i="1" a="1"/>
  <c r="P64" i="1" s="1"/>
  <c r="Q64" i="1" a="1"/>
  <c r="Q64" i="1" s="1"/>
  <c r="R64" i="1" a="1"/>
  <c r="R64" i="1" s="1"/>
  <c r="S64" i="1" a="1"/>
  <c r="S64" i="1" s="1"/>
  <c r="T64" i="1" a="1"/>
  <c r="T64" i="1" s="1"/>
  <c r="U64" i="1" a="1"/>
  <c r="U64" i="1" s="1"/>
  <c r="V64" i="1" a="1"/>
  <c r="V64" i="1" s="1"/>
  <c r="W64" i="1" a="1"/>
  <c r="W64" i="1" s="1"/>
  <c r="X64" i="1" a="1"/>
  <c r="X64" i="1" s="1"/>
  <c r="Y64" i="1" a="1"/>
  <c r="Y64" i="1" s="1"/>
  <c r="Z64" i="1" a="1"/>
  <c r="Z64" i="1" s="1"/>
  <c r="Z56" i="1" a="1"/>
  <c r="Z56" i="1" s="1"/>
  <c r="Y56" i="1" a="1"/>
  <c r="Y56" i="1" s="1"/>
  <c r="X56" i="1" a="1"/>
  <c r="X56" i="1" s="1"/>
  <c r="W56" i="1" a="1"/>
  <c r="W56" i="1" s="1"/>
  <c r="V56" i="1" a="1"/>
  <c r="V56" i="1" s="1"/>
  <c r="U56" i="1" a="1"/>
  <c r="U56" i="1" s="1"/>
  <c r="T56" i="1" a="1"/>
  <c r="T56" i="1" s="1"/>
  <c r="S56" i="1" a="1"/>
  <c r="S56" i="1" s="1"/>
  <c r="R56" i="1" a="1"/>
  <c r="R56" i="1" s="1"/>
  <c r="Q56" i="1" a="1"/>
  <c r="Q56" i="1" s="1"/>
  <c r="P56" i="1" a="1"/>
  <c r="P56" i="1" s="1"/>
  <c r="O56" i="1" a="1"/>
  <c r="O56" i="1" s="1"/>
  <c r="BW4" i="1"/>
  <c r="BK15" i="1"/>
  <c r="AO111" i="1" l="1" a="1"/>
  <c r="AO111" i="1" s="1"/>
  <c r="AP111" i="1" a="1"/>
  <c r="AP111" i="1" s="1"/>
  <c r="P111" i="1" a="1"/>
  <c r="P111" i="1" s="1"/>
  <c r="BA111" i="1" a="1"/>
  <c r="BA111" i="1" s="1"/>
  <c r="AH111" i="1" a="1"/>
  <c r="AH111" i="1" s="1"/>
  <c r="BB111" i="1" a="1"/>
  <c r="BB111" i="1" s="1"/>
  <c r="AM111" i="1" a="1"/>
  <c r="AM111" i="1" s="1"/>
  <c r="W111" i="1" a="1"/>
  <c r="W111" i="1" s="1"/>
  <c r="V111" i="1" a="1"/>
  <c r="V111" i="1" s="1"/>
  <c r="AG111" i="1" a="1"/>
  <c r="AG111" i="1" s="1"/>
  <c r="AY111" i="1" a="1"/>
  <c r="AY111" i="1" s="1"/>
  <c r="AV111" i="1" a="1"/>
  <c r="AV111" i="1" s="1"/>
  <c r="AZ111" i="1" a="1"/>
  <c r="AZ111" i="1" s="1"/>
  <c r="AW111" i="1" a="1"/>
  <c r="AW111" i="1" s="1"/>
  <c r="AX111" i="1" a="1"/>
  <c r="AX111" i="1" s="1"/>
  <c r="AE111" i="1" a="1"/>
  <c r="AE111" i="1" s="1"/>
  <c r="BC111" i="1" a="1"/>
  <c r="BC111" i="1" s="1"/>
  <c r="Z111" i="1" a="1"/>
  <c r="Z111" i="1" s="1"/>
  <c r="Y111" i="1" a="1"/>
  <c r="Y111" i="1" s="1"/>
  <c r="X111" i="1" a="1"/>
  <c r="X111" i="1" s="1"/>
  <c r="BF111" i="1" a="1"/>
  <c r="BF111" i="1" s="1"/>
  <c r="BD111" i="1" a="1"/>
  <c r="BD111" i="1" s="1"/>
  <c r="U111" i="1" a="1"/>
  <c r="U111" i="1" s="1"/>
  <c r="T111" i="1" a="1"/>
  <c r="T111" i="1" s="1"/>
  <c r="S111" i="1" a="1"/>
  <c r="S111" i="1" s="1"/>
  <c r="R111" i="1" a="1"/>
  <c r="R111" i="1" s="1"/>
  <c r="AA69" i="1"/>
  <c r="AB69" i="1"/>
  <c r="AC69" i="1"/>
  <c r="AB64" i="1"/>
  <c r="AA64" i="1"/>
  <c r="AC64" i="1"/>
  <c r="O111" i="1" a="1"/>
  <c r="O111" i="1" s="1"/>
  <c r="AB56" i="1"/>
  <c r="AC56" i="1"/>
  <c r="AA56" i="1"/>
  <c r="Q111" i="1" a="1"/>
  <c r="Q111" i="1" s="1"/>
  <c r="AD104" i="1"/>
  <c r="AD26" i="1"/>
  <c r="AD49" i="1"/>
  <c r="AD57" i="1"/>
  <c r="AD82" i="1"/>
  <c r="AD74" i="1"/>
  <c r="BJ85" i="1"/>
  <c r="BJ20" i="1"/>
  <c r="AD46" i="1"/>
  <c r="AD25" i="1"/>
  <c r="AT59" i="1"/>
  <c r="AT73" i="1"/>
  <c r="AD28" i="1"/>
  <c r="BJ92" i="1"/>
  <c r="AD23" i="1"/>
  <c r="AD80" i="1"/>
  <c r="AT78" i="1"/>
  <c r="AT79" i="1"/>
  <c r="AD60" i="1"/>
  <c r="BJ50" i="1"/>
  <c r="BJ44" i="1"/>
  <c r="AD93" i="1"/>
  <c r="AD29" i="1"/>
  <c r="BJ17" i="1"/>
  <c r="AD63" i="1"/>
  <c r="AT15" i="1"/>
  <c r="BJ84" i="1"/>
  <c r="AT69" i="1"/>
  <c r="AD22" i="1"/>
  <c r="AD39" i="1"/>
  <c r="AT62" i="1"/>
  <c r="AT109" i="1"/>
  <c r="AT77" i="1"/>
  <c r="AT64" i="1"/>
  <c r="AT55" i="1"/>
  <c r="AT49" i="1"/>
  <c r="AT36" i="1"/>
  <c r="AT33" i="1"/>
  <c r="AT24" i="1"/>
  <c r="AT18" i="1"/>
  <c r="BJ71" i="1"/>
  <c r="AT84" i="1"/>
  <c r="BJ24" i="1"/>
  <c r="AD76" i="1"/>
  <c r="AD72" i="1"/>
  <c r="AT97" i="1"/>
  <c r="AT54" i="1"/>
  <c r="BJ70" i="1"/>
  <c r="BJ103" i="1"/>
  <c r="AD96" i="1"/>
  <c r="AD20" i="1"/>
  <c r="AD53" i="1"/>
  <c r="BJ100" i="1"/>
  <c r="AD89" i="1"/>
  <c r="AD62" i="1"/>
  <c r="AD32" i="1"/>
  <c r="AT98" i="1"/>
  <c r="AT75" i="1"/>
  <c r="AT28" i="1"/>
  <c r="BJ91" i="1"/>
  <c r="BJ87" i="1"/>
  <c r="BJ36" i="1"/>
  <c r="BJ21" i="1"/>
  <c r="BJ18" i="1"/>
  <c r="BJ105" i="1"/>
  <c r="BJ25" i="1"/>
  <c r="BJ79" i="1"/>
  <c r="BJ53" i="1"/>
  <c r="AD98" i="1"/>
  <c r="AD75" i="1"/>
  <c r="AD16" i="1"/>
  <c r="AD103" i="1"/>
  <c r="AT29" i="1"/>
  <c r="AT63" i="1"/>
  <c r="AT60" i="1"/>
  <c r="AT42" i="1"/>
  <c r="AT34" i="1"/>
  <c r="AT19" i="1"/>
  <c r="AT103" i="1"/>
  <c r="BJ86" i="1"/>
  <c r="BJ101" i="1"/>
  <c r="BJ109" i="1"/>
  <c r="BJ95" i="1"/>
  <c r="BJ93" i="1"/>
  <c r="BJ77" i="1"/>
  <c r="BJ90" i="1"/>
  <c r="AD106" i="1"/>
  <c r="AD91" i="1"/>
  <c r="AD87" i="1"/>
  <c r="AD67" i="1"/>
  <c r="AD27" i="1"/>
  <c r="AD59" i="1"/>
  <c r="AT71" i="1"/>
  <c r="AT66" i="1"/>
  <c r="AT51" i="1"/>
  <c r="BJ42" i="1"/>
  <c r="BJ64" i="1"/>
  <c r="BJ98" i="1"/>
  <c r="AD100" i="1"/>
  <c r="AD85" i="1"/>
  <c r="AD77" i="1"/>
  <c r="AD71" i="1"/>
  <c r="AD52" i="1"/>
  <c r="AT93" i="1"/>
  <c r="AT100" i="1"/>
  <c r="AT76" i="1"/>
  <c r="AT72" i="1"/>
  <c r="BJ26" i="1"/>
  <c r="BJ67" i="1"/>
  <c r="BJ63" i="1"/>
  <c r="BJ39" i="1"/>
  <c r="BJ73" i="1"/>
  <c r="AD108" i="1"/>
  <c r="AD19" i="1"/>
  <c r="AD36" i="1"/>
  <c r="AT46" i="1"/>
  <c r="AT88" i="1"/>
  <c r="AT37" i="1"/>
  <c r="AT20" i="1"/>
  <c r="BJ28" i="1"/>
  <c r="BJ16" i="1"/>
  <c r="AD102" i="1"/>
  <c r="AD43" i="1"/>
  <c r="AD33" i="1"/>
  <c r="AD47" i="1"/>
  <c r="AD58" i="1"/>
  <c r="AT95" i="1"/>
  <c r="AT106" i="1"/>
  <c r="AT44" i="1"/>
  <c r="AT26" i="1"/>
  <c r="AT23" i="1"/>
  <c r="BJ46" i="1"/>
  <c r="BJ54" i="1"/>
  <c r="BJ51" i="1"/>
  <c r="BJ104" i="1"/>
  <c r="BJ99" i="1"/>
  <c r="BJ23" i="1"/>
  <c r="BJ78" i="1"/>
  <c r="BJ37" i="1"/>
  <c r="AD35" i="1"/>
  <c r="AD69" i="1"/>
  <c r="AD45" i="1"/>
  <c r="AT105" i="1"/>
  <c r="AT70" i="1"/>
  <c r="AT57" i="1"/>
  <c r="AT40" i="1"/>
  <c r="AT35" i="1"/>
  <c r="BJ58" i="1"/>
  <c r="BJ108" i="1"/>
  <c r="BJ106" i="1"/>
  <c r="BJ48" i="1"/>
  <c r="BJ83" i="1"/>
  <c r="BJ81" i="1"/>
  <c r="BJ80" i="1"/>
  <c r="BJ74" i="1"/>
  <c r="AD110" i="1"/>
  <c r="AD88" i="1"/>
  <c r="AD95" i="1"/>
  <c r="AT108" i="1"/>
  <c r="AT101" i="1"/>
  <c r="AT89" i="1"/>
  <c r="AT32" i="1"/>
  <c r="AT17" i="1"/>
  <c r="BJ38" i="1"/>
  <c r="BJ29" i="1"/>
  <c r="BJ89" i="1"/>
  <c r="AD97" i="1"/>
  <c r="AD38" i="1"/>
  <c r="AD70" i="1"/>
  <c r="AD30" i="1"/>
  <c r="AD66" i="1"/>
  <c r="AT104" i="1"/>
  <c r="AT50" i="1"/>
  <c r="AT41" i="1"/>
  <c r="AT38" i="1"/>
  <c r="BJ72" i="1"/>
  <c r="BJ32" i="1"/>
  <c r="BJ31" i="1"/>
  <c r="BJ47" i="1"/>
  <c r="BJ43" i="1"/>
  <c r="BJ41" i="1"/>
  <c r="BJ94" i="1"/>
  <c r="BJ76" i="1"/>
  <c r="AD105" i="1"/>
  <c r="AD90" i="1"/>
  <c r="AD84" i="1"/>
  <c r="AD56" i="1"/>
  <c r="AD73" i="1"/>
  <c r="AD15" i="1"/>
  <c r="AD50" i="1"/>
  <c r="AD44" i="1"/>
  <c r="AD41" i="1"/>
  <c r="AT30" i="1"/>
  <c r="AT45" i="1"/>
  <c r="AT96" i="1"/>
  <c r="AT83" i="1"/>
  <c r="AT58" i="1"/>
  <c r="AT43" i="1"/>
  <c r="AT27" i="1"/>
  <c r="AT21" i="1"/>
  <c r="BJ88" i="1"/>
  <c r="BJ40" i="1"/>
  <c r="BJ107" i="1"/>
  <c r="BJ69" i="1"/>
  <c r="BJ68" i="1"/>
  <c r="BJ22" i="1"/>
  <c r="BJ97" i="1"/>
  <c r="AD99" i="1"/>
  <c r="AD34" i="1"/>
  <c r="AD21" i="1"/>
  <c r="AT90" i="1"/>
  <c r="AT80" i="1"/>
  <c r="AT67" i="1"/>
  <c r="AT65" i="1"/>
  <c r="AT52" i="1"/>
  <c r="BJ33" i="1"/>
  <c r="AD107" i="1"/>
  <c r="AD92" i="1"/>
  <c r="AD81" i="1"/>
  <c r="AD18" i="1"/>
  <c r="AD24" i="1"/>
  <c r="AD79" i="1"/>
  <c r="AT91" i="1"/>
  <c r="AT87" i="1"/>
  <c r="AT86" i="1"/>
  <c r="BJ59" i="1"/>
  <c r="BJ57" i="1"/>
  <c r="BJ19" i="1"/>
  <c r="AD101" i="1"/>
  <c r="AD86" i="1"/>
  <c r="AD64" i="1"/>
  <c r="AD40" i="1"/>
  <c r="AT47" i="1"/>
  <c r="BJ30" i="1"/>
  <c r="BJ65" i="1"/>
  <c r="BJ96" i="1"/>
  <c r="AD37" i="1"/>
  <c r="AD54" i="1"/>
  <c r="AD17" i="1"/>
  <c r="AT61" i="1"/>
  <c r="AT94" i="1"/>
  <c r="AT99" i="1"/>
  <c r="AT81" i="1"/>
  <c r="AT22" i="1"/>
  <c r="BJ82" i="1"/>
  <c r="BJ52" i="1"/>
  <c r="BJ110" i="1"/>
  <c r="BJ56" i="1"/>
  <c r="BJ55" i="1"/>
  <c r="AD109" i="1"/>
  <c r="AD94" i="1"/>
  <c r="AD78" i="1"/>
  <c r="AD55" i="1"/>
  <c r="AD51" i="1"/>
  <c r="AD61" i="1"/>
  <c r="AD65" i="1"/>
  <c r="AT110" i="1"/>
  <c r="AT102" i="1"/>
  <c r="AT92" i="1"/>
  <c r="AT85" i="1"/>
  <c r="AT82" i="1"/>
  <c r="AT74" i="1"/>
  <c r="AT68" i="1"/>
  <c r="AT53" i="1"/>
  <c r="AT39" i="1"/>
  <c r="AT31" i="1"/>
  <c r="AT16" i="1"/>
  <c r="BJ66" i="1"/>
  <c r="BJ35" i="1"/>
  <c r="BJ102" i="1"/>
  <c r="BJ27" i="1"/>
  <c r="AD83" i="1"/>
  <c r="AD42" i="1"/>
  <c r="AD68" i="1"/>
  <c r="AD31" i="1"/>
  <c r="AD48" i="1"/>
  <c r="AT107" i="1"/>
  <c r="AT56" i="1"/>
  <c r="AT48" i="1"/>
  <c r="AT25" i="1"/>
  <c r="BJ15" i="1"/>
  <c r="BJ62" i="1"/>
  <c r="BJ34" i="1"/>
  <c r="BJ49" i="1"/>
  <c r="BJ61" i="1"/>
  <c r="BJ45" i="1"/>
  <c r="BJ60" i="1"/>
  <c r="BJ75" i="1"/>
  <c r="BG28" i="1"/>
  <c r="BI28" i="1"/>
  <c r="BG29" i="1"/>
  <c r="BH29" i="1"/>
  <c r="BI29" i="1"/>
  <c r="BG31" i="1"/>
  <c r="BG51" i="1"/>
  <c r="BI57" i="1"/>
  <c r="BG57" i="1"/>
  <c r="BG90" i="1"/>
  <c r="BG15" i="1"/>
  <c r="BI15" i="1"/>
  <c r="AS17" i="1"/>
  <c r="AQ18" i="1"/>
  <c r="AQ23" i="1"/>
  <c r="AQ24" i="1"/>
  <c r="AQ25" i="1"/>
  <c r="AQ26" i="1"/>
  <c r="AR28" i="1"/>
  <c r="AQ29" i="1"/>
  <c r="AQ30" i="1"/>
  <c r="AQ31" i="1"/>
  <c r="AS33" i="1"/>
  <c r="AQ34" i="1"/>
  <c r="AQ39" i="1"/>
  <c r="AQ40" i="1"/>
  <c r="AQ41" i="1"/>
  <c r="AQ42" i="1"/>
  <c r="AR44" i="1"/>
  <c r="AQ45" i="1"/>
  <c r="AQ46" i="1"/>
  <c r="AQ47" i="1"/>
  <c r="AS49" i="1"/>
  <c r="AQ50" i="1"/>
  <c r="AQ55" i="1"/>
  <c r="AQ56" i="1"/>
  <c r="AQ57" i="1"/>
  <c r="AQ58" i="1"/>
  <c r="AR60" i="1"/>
  <c r="AQ61" i="1"/>
  <c r="AQ62" i="1"/>
  <c r="AQ63" i="1"/>
  <c r="AS65" i="1"/>
  <c r="AQ66" i="1"/>
  <c r="AQ71" i="1"/>
  <c r="AQ72" i="1"/>
  <c r="AQ73" i="1"/>
  <c r="AQ74" i="1"/>
  <c r="AR76" i="1"/>
  <c r="AQ77" i="1"/>
  <c r="AQ78" i="1"/>
  <c r="AQ79" i="1"/>
  <c r="AS81" i="1"/>
  <c r="AQ82" i="1"/>
  <c r="AQ87" i="1"/>
  <c r="AQ88" i="1"/>
  <c r="AQ89" i="1"/>
  <c r="AQ90" i="1"/>
  <c r="AR92" i="1"/>
  <c r="AQ93" i="1"/>
  <c r="AQ95" i="1"/>
  <c r="AS97" i="1"/>
  <c r="AQ98" i="1"/>
  <c r="AQ103" i="1"/>
  <c r="AS15" i="1"/>
  <c r="M111" i="1"/>
  <c r="AB111" i="1" l="1" a="1"/>
  <c r="AB111" i="1" s="1"/>
  <c r="AC111" i="1" a="1"/>
  <c r="AC111" i="1" s="1"/>
  <c r="AA111" i="1" a="1"/>
  <c r="AA111" i="1" s="1"/>
  <c r="BN5" i="1"/>
  <c r="BW6" i="1" s="1"/>
  <c r="BW7" i="1"/>
  <c r="BL111" i="1"/>
  <c r="BJ111" i="1"/>
  <c r="AT111" i="1"/>
  <c r="AD111" i="1"/>
  <c r="BG91" i="1"/>
  <c r="BG89" i="1"/>
  <c r="BI89" i="1"/>
  <c r="AQ109" i="1"/>
  <c r="BI93" i="1"/>
  <c r="AR108" i="1"/>
  <c r="BG63" i="1"/>
  <c r="BG77" i="1"/>
  <c r="BG67" i="1"/>
  <c r="AQ106" i="1"/>
  <c r="BI100" i="1"/>
  <c r="BG61" i="1"/>
  <c r="BG75" i="1"/>
  <c r="BG73" i="1"/>
  <c r="AQ104" i="1"/>
  <c r="BH15" i="1"/>
  <c r="BG59" i="1"/>
  <c r="BI73" i="1"/>
  <c r="BG106" i="1"/>
  <c r="BI104" i="1"/>
  <c r="BH77" i="1"/>
  <c r="BG102" i="1"/>
  <c r="AQ94" i="1"/>
  <c r="BH103" i="1"/>
  <c r="AQ110" i="1"/>
  <c r="AQ105" i="1"/>
  <c r="AQ108" i="1"/>
  <c r="AS102" i="1"/>
  <c r="AR97" i="1"/>
  <c r="AQ92" i="1"/>
  <c r="AS86" i="1"/>
  <c r="AR81" i="1"/>
  <c r="AQ76" i="1"/>
  <c r="AS70" i="1"/>
  <c r="AR65" i="1"/>
  <c r="AQ60" i="1"/>
  <c r="AS54" i="1"/>
  <c r="AR49" i="1"/>
  <c r="AQ44" i="1"/>
  <c r="AS38" i="1"/>
  <c r="AR33" i="1"/>
  <c r="AQ28" i="1"/>
  <c r="AS22" i="1"/>
  <c r="AR17" i="1"/>
  <c r="AS107" i="1"/>
  <c r="AR102" i="1"/>
  <c r="AQ97" i="1"/>
  <c r="AS91" i="1"/>
  <c r="AR86" i="1"/>
  <c r="AQ81" i="1"/>
  <c r="AS75" i="1"/>
  <c r="AR70" i="1"/>
  <c r="AQ65" i="1"/>
  <c r="AS59" i="1"/>
  <c r="AR54" i="1"/>
  <c r="AQ49" i="1"/>
  <c r="AS43" i="1"/>
  <c r="AR38" i="1"/>
  <c r="AQ33" i="1"/>
  <c r="AS27" i="1"/>
  <c r="AR22" i="1"/>
  <c r="AQ17" i="1"/>
  <c r="AR107" i="1"/>
  <c r="AQ102" i="1"/>
  <c r="AS96" i="1"/>
  <c r="AR91" i="1"/>
  <c r="AQ86" i="1"/>
  <c r="AS80" i="1"/>
  <c r="AR75" i="1"/>
  <c r="AQ70" i="1"/>
  <c r="AS64" i="1"/>
  <c r="AR59" i="1"/>
  <c r="AQ54" i="1"/>
  <c r="AS48" i="1"/>
  <c r="AR43" i="1"/>
  <c r="AQ38" i="1"/>
  <c r="AS32" i="1"/>
  <c r="AR27" i="1"/>
  <c r="AQ22" i="1"/>
  <c r="AS16" i="1"/>
  <c r="AQ107" i="1"/>
  <c r="AS101" i="1"/>
  <c r="AR96" i="1"/>
  <c r="AQ91" i="1"/>
  <c r="AS85" i="1"/>
  <c r="AR80" i="1"/>
  <c r="AQ75" i="1"/>
  <c r="AS69" i="1"/>
  <c r="AR64" i="1"/>
  <c r="AQ59" i="1"/>
  <c r="AS53" i="1"/>
  <c r="AR48" i="1"/>
  <c r="AQ43" i="1"/>
  <c r="AS37" i="1"/>
  <c r="AR32" i="1"/>
  <c r="AQ27" i="1"/>
  <c r="AS21" i="1"/>
  <c r="AR16" i="1"/>
  <c r="AS106" i="1"/>
  <c r="AR101" i="1"/>
  <c r="AQ96" i="1"/>
  <c r="AS90" i="1"/>
  <c r="AR85" i="1"/>
  <c r="AQ80" i="1"/>
  <c r="AS74" i="1"/>
  <c r="AR69" i="1"/>
  <c r="AQ64" i="1"/>
  <c r="AS58" i="1"/>
  <c r="AR53" i="1"/>
  <c r="AQ48" i="1"/>
  <c r="AS42" i="1"/>
  <c r="AR37" i="1"/>
  <c r="AQ32" i="1"/>
  <c r="AS26" i="1"/>
  <c r="AR21" i="1"/>
  <c r="AQ16" i="1"/>
  <c r="AQ15" i="1"/>
  <c r="AR106" i="1"/>
  <c r="AQ101" i="1"/>
  <c r="AS95" i="1"/>
  <c r="AR90" i="1"/>
  <c r="AQ85" i="1"/>
  <c r="AS79" i="1"/>
  <c r="AR74" i="1"/>
  <c r="AQ69" i="1"/>
  <c r="AS63" i="1"/>
  <c r="AR58" i="1"/>
  <c r="AQ53" i="1"/>
  <c r="AS47" i="1"/>
  <c r="AR42" i="1"/>
  <c r="AQ37" i="1"/>
  <c r="AS31" i="1"/>
  <c r="AR26" i="1"/>
  <c r="AQ21" i="1"/>
  <c r="AR15" i="1"/>
  <c r="AS100" i="1"/>
  <c r="AR95" i="1"/>
  <c r="AS84" i="1"/>
  <c r="AR79" i="1"/>
  <c r="AS68" i="1"/>
  <c r="AR63" i="1"/>
  <c r="AS52" i="1"/>
  <c r="AR47" i="1"/>
  <c r="AS36" i="1"/>
  <c r="AR31" i="1"/>
  <c r="AS20" i="1"/>
  <c r="AS105" i="1"/>
  <c r="AR100" i="1"/>
  <c r="AS89" i="1"/>
  <c r="AR84" i="1"/>
  <c r="AS73" i="1"/>
  <c r="AR68" i="1"/>
  <c r="AS57" i="1"/>
  <c r="AR52" i="1"/>
  <c r="AS41" i="1"/>
  <c r="AR36" i="1"/>
  <c r="AS25" i="1"/>
  <c r="AR20" i="1"/>
  <c r="AS110" i="1"/>
  <c r="AR105" i="1"/>
  <c r="AQ100" i="1"/>
  <c r="AS94" i="1"/>
  <c r="AR89" i="1"/>
  <c r="AQ84" i="1"/>
  <c r="AS78" i="1"/>
  <c r="AR73" i="1"/>
  <c r="AQ68" i="1"/>
  <c r="AS62" i="1"/>
  <c r="AR57" i="1"/>
  <c r="AQ52" i="1"/>
  <c r="AS46" i="1"/>
  <c r="AR41" i="1"/>
  <c r="AQ36" i="1"/>
  <c r="AS30" i="1"/>
  <c r="AR25" i="1"/>
  <c r="AQ20" i="1"/>
  <c r="AR110" i="1"/>
  <c r="AS99" i="1"/>
  <c r="AR94" i="1"/>
  <c r="AS83" i="1"/>
  <c r="AR78" i="1"/>
  <c r="AS67" i="1"/>
  <c r="AR62" i="1"/>
  <c r="AS51" i="1"/>
  <c r="AR46" i="1"/>
  <c r="AS35" i="1"/>
  <c r="AR30" i="1"/>
  <c r="AS19" i="1"/>
  <c r="AS104" i="1"/>
  <c r="AR99" i="1"/>
  <c r="AS88" i="1"/>
  <c r="AR83" i="1"/>
  <c r="AS72" i="1"/>
  <c r="AR67" i="1"/>
  <c r="AS56" i="1"/>
  <c r="AR51" i="1"/>
  <c r="AS40" i="1"/>
  <c r="AR35" i="1"/>
  <c r="AS24" i="1"/>
  <c r="AR19" i="1"/>
  <c r="AS109" i="1"/>
  <c r="AR104" i="1"/>
  <c r="AQ99" i="1"/>
  <c r="AS93" i="1"/>
  <c r="AR88" i="1"/>
  <c r="AQ83" i="1"/>
  <c r="AS77" i="1"/>
  <c r="AR72" i="1"/>
  <c r="AQ67" i="1"/>
  <c r="AS61" i="1"/>
  <c r="AR56" i="1"/>
  <c r="AQ51" i="1"/>
  <c r="AS45" i="1"/>
  <c r="AR40" i="1"/>
  <c r="AQ35" i="1"/>
  <c r="AS29" i="1"/>
  <c r="AR24" i="1"/>
  <c r="AQ19" i="1"/>
  <c r="AR109" i="1"/>
  <c r="AS98" i="1"/>
  <c r="AR93" i="1"/>
  <c r="AS82" i="1"/>
  <c r="AR77" i="1"/>
  <c r="AS66" i="1"/>
  <c r="AR61" i="1"/>
  <c r="AS50" i="1"/>
  <c r="AR45" i="1"/>
  <c r="AS34" i="1"/>
  <c r="AR29" i="1"/>
  <c r="AS18" i="1"/>
  <c r="AS103" i="1"/>
  <c r="AR98" i="1"/>
  <c r="AS87" i="1"/>
  <c r="AR82" i="1"/>
  <c r="AS71" i="1"/>
  <c r="AR66" i="1"/>
  <c r="AS55" i="1"/>
  <c r="AR50" i="1"/>
  <c r="AS39" i="1"/>
  <c r="AR34" i="1"/>
  <c r="AS23" i="1"/>
  <c r="AR18" i="1"/>
  <c r="AS108" i="1"/>
  <c r="AR103" i="1"/>
  <c r="AS92" i="1"/>
  <c r="AR87" i="1"/>
  <c r="AS76" i="1"/>
  <c r="AR71" i="1"/>
  <c r="AS60" i="1"/>
  <c r="AR55" i="1"/>
  <c r="AS44" i="1"/>
  <c r="AR39" i="1"/>
  <c r="AS28" i="1"/>
  <c r="AR23" i="1"/>
  <c r="BI110" i="1"/>
  <c r="BH110" i="1"/>
  <c r="BG110" i="1"/>
  <c r="BG109" i="1"/>
  <c r="BH109" i="1"/>
  <c r="BG108" i="1"/>
  <c r="BH108" i="1"/>
  <c r="BI108" i="1"/>
  <c r="BH105" i="1"/>
  <c r="BG82" i="1"/>
  <c r="BH82" i="1"/>
  <c r="BI82" i="1"/>
  <c r="BG78" i="1"/>
  <c r="BH65" i="1"/>
  <c r="BG64" i="1"/>
  <c r="BH64" i="1"/>
  <c r="BI64" i="1"/>
  <c r="BG49" i="1"/>
  <c r="BG47" i="1"/>
  <c r="BG41" i="1"/>
  <c r="BI40" i="1"/>
  <c r="BG40" i="1"/>
  <c r="BH40" i="1"/>
  <c r="BG92" i="1"/>
  <c r="BH92" i="1"/>
  <c r="BI92" i="1"/>
  <c r="BI81" i="1"/>
  <c r="BG79" i="1"/>
  <c r="BG66" i="1"/>
  <c r="BH66" i="1"/>
  <c r="BI66" i="1"/>
  <c r="BG62" i="1"/>
  <c r="BG38" i="1"/>
  <c r="BH38" i="1"/>
  <c r="BI38" i="1"/>
  <c r="BG107" i="1"/>
  <c r="BI107" i="1"/>
  <c r="BH107" i="1"/>
  <c r="BG83" i="1"/>
  <c r="BI65" i="1"/>
  <c r="BG50" i="1"/>
  <c r="BH50" i="1"/>
  <c r="BI50" i="1"/>
  <c r="BI49" i="1"/>
  <c r="BG39" i="1"/>
  <c r="BH39" i="1"/>
  <c r="BI39" i="1"/>
  <c r="BG37" i="1"/>
  <c r="BH37" i="1"/>
  <c r="BI37" i="1"/>
  <c r="BH106" i="1"/>
  <c r="BG84" i="1"/>
  <c r="BH84" i="1"/>
  <c r="BI84" i="1"/>
  <c r="BG76" i="1"/>
  <c r="BH76" i="1"/>
  <c r="BI76" i="1"/>
  <c r="BG74" i="1"/>
  <c r="BG68" i="1"/>
  <c r="BH68" i="1"/>
  <c r="BI68" i="1"/>
  <c r="BG60" i="1"/>
  <c r="BH60" i="1"/>
  <c r="BI60" i="1"/>
  <c r="BG58" i="1"/>
  <c r="BG52" i="1"/>
  <c r="BH52" i="1"/>
  <c r="BI52" i="1"/>
  <c r="BH17" i="1"/>
  <c r="BI17" i="1"/>
  <c r="BG17" i="1"/>
  <c r="BI109" i="1"/>
  <c r="BI88" i="1"/>
  <c r="BG88" i="1"/>
  <c r="BH88" i="1"/>
  <c r="BG86" i="1"/>
  <c r="BH86" i="1"/>
  <c r="BI86" i="1"/>
  <c r="BG30" i="1"/>
  <c r="BH30" i="1"/>
  <c r="BI30" i="1"/>
  <c r="BG105" i="1"/>
  <c r="BG85" i="1"/>
  <c r="BH85" i="1"/>
  <c r="BI85" i="1"/>
  <c r="BI72" i="1"/>
  <c r="BG72" i="1"/>
  <c r="BH72" i="1"/>
  <c r="BG70" i="1"/>
  <c r="BH70" i="1"/>
  <c r="BI70" i="1"/>
  <c r="BI56" i="1"/>
  <c r="BG56" i="1"/>
  <c r="BH56" i="1"/>
  <c r="BG18" i="1"/>
  <c r="BH18" i="1"/>
  <c r="BI18" i="1"/>
  <c r="BG87" i="1"/>
  <c r="BH87" i="1"/>
  <c r="BI87" i="1"/>
  <c r="BG69" i="1"/>
  <c r="BH69" i="1"/>
  <c r="BI69" i="1"/>
  <c r="BG54" i="1"/>
  <c r="BH54" i="1"/>
  <c r="BI54" i="1"/>
  <c r="BG53" i="1"/>
  <c r="BH53" i="1"/>
  <c r="BI53" i="1"/>
  <c r="BG32" i="1"/>
  <c r="BH32" i="1"/>
  <c r="BI32" i="1"/>
  <c r="BI105" i="1"/>
  <c r="BG71" i="1"/>
  <c r="BH71" i="1"/>
  <c r="BI71" i="1"/>
  <c r="BG55" i="1"/>
  <c r="BH55" i="1"/>
  <c r="BI55" i="1"/>
  <c r="BH33" i="1"/>
  <c r="BH31" i="1"/>
  <c r="BG98" i="1"/>
  <c r="BI98" i="1"/>
  <c r="BG97" i="1"/>
  <c r="BI95" i="1"/>
  <c r="BI44" i="1"/>
  <c r="BG33" i="1"/>
  <c r="BG27" i="1"/>
  <c r="BG20" i="1"/>
  <c r="BH20" i="1"/>
  <c r="BI20" i="1"/>
  <c r="BG19" i="1"/>
  <c r="BH19" i="1"/>
  <c r="BI19" i="1"/>
  <c r="BG104" i="1"/>
  <c r="BH98" i="1"/>
  <c r="BH97" i="1"/>
  <c r="BH93" i="1"/>
  <c r="BG26" i="1"/>
  <c r="BH26" i="1"/>
  <c r="BI26" i="1"/>
  <c r="BI24" i="1"/>
  <c r="BG24" i="1"/>
  <c r="BH24" i="1"/>
  <c r="BG22" i="1"/>
  <c r="BH22" i="1"/>
  <c r="BI22" i="1"/>
  <c r="BH104" i="1"/>
  <c r="BG93" i="1"/>
  <c r="BI33" i="1"/>
  <c r="BG25" i="1"/>
  <c r="BH25" i="1"/>
  <c r="BI25" i="1"/>
  <c r="BG23" i="1"/>
  <c r="BH23" i="1"/>
  <c r="BI23" i="1"/>
  <c r="BG21" i="1"/>
  <c r="BH21" i="1"/>
  <c r="BI21" i="1"/>
  <c r="BG99" i="1"/>
  <c r="BI97" i="1"/>
  <c r="BG96" i="1"/>
  <c r="BH96" i="1"/>
  <c r="BI96" i="1"/>
  <c r="BI79" i="1"/>
  <c r="BH45" i="1"/>
  <c r="BG44" i="1"/>
  <c r="BG34" i="1"/>
  <c r="BH34" i="1"/>
  <c r="BI34" i="1"/>
  <c r="BG103" i="1"/>
  <c r="BI103" i="1"/>
  <c r="BH102" i="1"/>
  <c r="BI102" i="1"/>
  <c r="BG100" i="1"/>
  <c r="BH100" i="1"/>
  <c r="BH61" i="1"/>
  <c r="BG46" i="1"/>
  <c r="BH46" i="1"/>
  <c r="BI46" i="1"/>
  <c r="BG95" i="1"/>
  <c r="BG94" i="1"/>
  <c r="BG81" i="1"/>
  <c r="BI63" i="1"/>
  <c r="BG45" i="1"/>
  <c r="BH41" i="1"/>
  <c r="BG101" i="1"/>
  <c r="BH101" i="1"/>
  <c r="BI101" i="1"/>
  <c r="BH81" i="1"/>
  <c r="BG80" i="1"/>
  <c r="BH80" i="1"/>
  <c r="BI80" i="1"/>
  <c r="BH49" i="1"/>
  <c r="BG48" i="1"/>
  <c r="BH48" i="1"/>
  <c r="BI48" i="1"/>
  <c r="BG43" i="1"/>
  <c r="BG42" i="1"/>
  <c r="BH42" i="1"/>
  <c r="BI42" i="1"/>
  <c r="BG36" i="1"/>
  <c r="BH36" i="1"/>
  <c r="BI36" i="1"/>
  <c r="BG35" i="1"/>
  <c r="BH35" i="1"/>
  <c r="BI35" i="1"/>
  <c r="BG16" i="1"/>
  <c r="BH16" i="1"/>
  <c r="BI16" i="1"/>
  <c r="BG65" i="1"/>
  <c r="BI47" i="1"/>
  <c r="BI31" i="1"/>
  <c r="BH95" i="1"/>
  <c r="BH79" i="1"/>
  <c r="BH63" i="1"/>
  <c r="BH47" i="1"/>
  <c r="BI77" i="1"/>
  <c r="BI61" i="1"/>
  <c r="BI45" i="1"/>
  <c r="BI91" i="1"/>
  <c r="BI75" i="1"/>
  <c r="BI59" i="1"/>
  <c r="BI43" i="1"/>
  <c r="BI27" i="1"/>
  <c r="BH91" i="1"/>
  <c r="BH75" i="1"/>
  <c r="BH59" i="1"/>
  <c r="BH43" i="1"/>
  <c r="BH27" i="1"/>
  <c r="BI41" i="1"/>
  <c r="BH89" i="1"/>
  <c r="BH73" i="1"/>
  <c r="BH57" i="1"/>
  <c r="BI94" i="1"/>
  <c r="BI78" i="1"/>
  <c r="BI62" i="1"/>
  <c r="BH94" i="1"/>
  <c r="BH78" i="1"/>
  <c r="BH62" i="1"/>
  <c r="BI99" i="1"/>
  <c r="BI83" i="1"/>
  <c r="BI67" i="1"/>
  <c r="BI51" i="1"/>
  <c r="BH44" i="1"/>
  <c r="BH28" i="1"/>
  <c r="BI106" i="1"/>
  <c r="BH99" i="1"/>
  <c r="BI90" i="1"/>
  <c r="BH83" i="1"/>
  <c r="BI74" i="1"/>
  <c r="BH67" i="1"/>
  <c r="BI58" i="1"/>
  <c r="BH51" i="1"/>
  <c r="BH90" i="1"/>
  <c r="BH74" i="1"/>
  <c r="BH58" i="1"/>
  <c r="BG111" i="1" l="1" a="1"/>
  <c r="BG111" i="1" s="1"/>
  <c r="BH111" i="1" a="1"/>
  <c r="BH111" i="1" s="1"/>
  <c r="BI111" i="1" a="1"/>
  <c r="BI111" i="1" s="1"/>
  <c r="BN3" i="1" l="1"/>
  <c r="BW3" i="1" s="1"/>
  <c r="G111" i="1" l="1"/>
  <c r="BO111" i="1"/>
  <c r="BK46" i="1" l="1"/>
  <c r="BK97" i="1"/>
  <c r="BK68" i="1"/>
  <c r="BK39" i="1"/>
  <c r="BK27" i="1"/>
  <c r="BK107" i="1"/>
  <c r="BK79" i="1"/>
  <c r="BK62" i="1"/>
  <c r="BK18" i="1"/>
  <c r="BK84" i="1"/>
  <c r="BK55" i="1"/>
  <c r="BK43" i="1"/>
  <c r="BK31" i="1"/>
  <c r="BK93" i="1"/>
  <c r="BK78" i="1"/>
  <c r="BK34" i="1"/>
  <c r="BK100" i="1"/>
  <c r="BK71" i="1"/>
  <c r="BK59" i="1"/>
  <c r="BK108" i="1"/>
  <c r="BK95" i="1"/>
  <c r="BK94" i="1"/>
  <c r="BK50" i="1"/>
  <c r="BK21" i="1"/>
  <c r="BK87" i="1"/>
  <c r="BK75" i="1"/>
  <c r="BK40" i="1"/>
  <c r="BK110" i="1"/>
  <c r="BK66" i="1"/>
  <c r="BK37" i="1"/>
  <c r="BK25" i="1"/>
  <c r="BK91" i="1"/>
  <c r="BK109" i="1"/>
  <c r="BK16" i="1"/>
  <c r="BK82" i="1"/>
  <c r="BK53" i="1"/>
  <c r="BK41" i="1"/>
  <c r="BK28" i="1"/>
  <c r="BK45" i="1"/>
  <c r="BK32" i="1"/>
  <c r="BK98" i="1"/>
  <c r="BK69" i="1"/>
  <c r="BK57" i="1"/>
  <c r="BK44" i="1"/>
  <c r="BK47" i="1"/>
  <c r="BK48" i="1"/>
  <c r="BK19" i="1"/>
  <c r="BK85" i="1"/>
  <c r="BK73" i="1"/>
  <c r="BK60" i="1"/>
  <c r="BK56" i="1"/>
  <c r="BK64" i="1"/>
  <c r="BK35" i="1"/>
  <c r="BK101" i="1"/>
  <c r="BK89" i="1"/>
  <c r="BK76" i="1"/>
  <c r="BK61" i="1"/>
  <c r="BK80" i="1"/>
  <c r="BK51" i="1"/>
  <c r="BK22" i="1"/>
  <c r="BK105" i="1"/>
  <c r="BK92" i="1"/>
  <c r="BK63" i="1"/>
  <c r="BK96" i="1"/>
  <c r="BK67" i="1"/>
  <c r="BK38" i="1"/>
  <c r="BK26" i="1"/>
  <c r="BK29" i="1"/>
  <c r="BK17" i="1"/>
  <c r="BK83" i="1"/>
  <c r="BK54" i="1"/>
  <c r="BK42" i="1"/>
  <c r="BK103" i="1"/>
  <c r="BK72" i="1"/>
  <c r="BK33" i="1"/>
  <c r="BK99" i="1"/>
  <c r="BK70" i="1"/>
  <c r="BK58" i="1"/>
  <c r="BK49" i="1"/>
  <c r="BK20" i="1"/>
  <c r="BK86" i="1"/>
  <c r="BK74" i="1"/>
  <c r="BK88" i="1"/>
  <c r="BK65" i="1"/>
  <c r="BK36" i="1"/>
  <c r="BK102" i="1"/>
  <c r="BK90" i="1"/>
  <c r="BK104" i="1"/>
  <c r="BK30" i="1"/>
  <c r="BK81" i="1"/>
  <c r="BK52" i="1"/>
  <c r="BK23" i="1"/>
  <c r="BK106" i="1"/>
  <c r="BK24" i="1"/>
  <c r="BK77" i="1"/>
  <c r="I111" i="1"/>
  <c r="BP1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64" authorId="0" shapeId="0" xr:uid="{7CAC1619-D49F-4FCA-BED7-6EA8678DB958}">
      <text>
        <r>
          <rPr>
            <b/>
            <sz val="9"/>
            <color indexed="81"/>
            <rFont val="Tahoma"/>
            <family val="2"/>
          </rPr>
          <t>Abbasi:</t>
        </r>
        <r>
          <rPr>
            <sz val="9"/>
            <color indexed="81"/>
            <rFont val="Tahoma"/>
            <family val="2"/>
          </rPr>
          <t xml:space="preserve">
PPM was off for 1 hour.</t>
        </r>
      </text>
    </comment>
    <comment ref="F64" authorId="0" shapeId="0" xr:uid="{A5B3464B-5E74-4860-A28A-CFCF7E697B98}">
      <text>
        <r>
          <rPr>
            <b/>
            <sz val="9"/>
            <color indexed="81"/>
            <rFont val="Tahoma"/>
            <family val="2"/>
          </rPr>
          <t xml:space="preserve">Abbasi:
</t>
        </r>
        <r>
          <rPr>
            <sz val="9"/>
            <color indexed="81"/>
            <rFont val="Tahoma"/>
            <family val="2"/>
          </rPr>
          <t>PPM was off for 1 hour.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<sst xmlns="http://schemas.openxmlformats.org/spreadsheetml/2006/main" count="407" uniqueCount="264">
  <si>
    <t>PVSyst PR for current month</t>
  </si>
  <si>
    <t>RAW PR</t>
  </si>
  <si>
    <t>Irradiance Acceptance Rate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</si>
  <si>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[KWh/m2]
B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</si>
  <si>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Avg
[KWh/m2]
C = (A-B)/2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</si>
  <si>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Conditional MAX
[KWh/m2]</t>
    </r>
  </si>
  <si>
    <t>Difference [%]
(B-A)/C</t>
  </si>
  <si>
    <t>Meter Reading 
(Previous day)
D</t>
  </si>
  <si>
    <t>Meter Reading 
(Current day)
E</t>
  </si>
  <si>
    <r>
      <rPr>
        <b/>
        <sz val="11"/>
        <color theme="1"/>
        <rFont val="Aptos Narrow"/>
        <family val="2"/>
        <scheme val="minor"/>
      </rPr>
      <t xml:space="preserve"> Energia attiva prod. </t>
    </r>
    <r>
      <rPr>
        <sz val="11"/>
        <color theme="1"/>
        <rFont val="Aptos Narrow"/>
        <family val="2"/>
        <scheme val="minor"/>
      </rPr>
      <t xml:space="preserve">
(export meter)
[kWh]
F = (E - D)*1000</t>
    </r>
  </si>
  <si>
    <r>
      <t xml:space="preserve">Internal Availability </t>
    </r>
    <r>
      <rPr>
        <sz val="11"/>
        <color theme="1"/>
        <rFont val="Aptos Narrow"/>
        <family val="2"/>
        <scheme val="minor"/>
      </rPr>
      <t>[%]</t>
    </r>
  </si>
  <si>
    <r>
      <t xml:space="preserve">External Availability </t>
    </r>
    <r>
      <rPr>
        <sz val="11"/>
        <color theme="1"/>
        <rFont val="Aptos Narrow"/>
        <family val="2"/>
        <scheme val="minor"/>
      </rPr>
      <t>[%]</t>
    </r>
  </si>
  <si>
    <t>PR after adjustments</t>
  </si>
  <si>
    <t>Dati</t>
  </si>
  <si>
    <t>ORA</t>
  </si>
  <si>
    <t>00:00:00.000</t>
  </si>
  <si>
    <t>00:15:00.000</t>
  </si>
  <si>
    <t>00:30:00.000</t>
  </si>
  <si>
    <t>00:45:00.000</t>
  </si>
  <si>
    <t>01:00:00.000</t>
  </si>
  <si>
    <t>01:15:00.000</t>
  </si>
  <si>
    <t>01:30:00.000</t>
  </si>
  <si>
    <t>01:45:00.000</t>
  </si>
  <si>
    <t>02:00:00.000</t>
  </si>
  <si>
    <t>02:15:00.000</t>
  </si>
  <si>
    <t>02:30:00.000</t>
  </si>
  <si>
    <t>02:45:00.000</t>
  </si>
  <si>
    <t>03:00:00.000</t>
  </si>
  <si>
    <t>03:15:00.000</t>
  </si>
  <si>
    <t>03:30:00.000</t>
  </si>
  <si>
    <t>03:45:00.000</t>
  </si>
  <si>
    <t>04:00:00.000</t>
  </si>
  <si>
    <t>04:15:00.000</t>
  </si>
  <si>
    <t>04:30:00.000</t>
  </si>
  <si>
    <t>04:45:00.000</t>
  </si>
  <si>
    <t>05:00:00.000</t>
  </si>
  <si>
    <t>05:15:00.000</t>
  </si>
  <si>
    <t>05:30:00.000</t>
  </si>
  <si>
    <t>05:45:00.000</t>
  </si>
  <si>
    <t>06:00:00.000</t>
  </si>
  <si>
    <t>06:15:00.000</t>
  </si>
  <si>
    <t>06:30:00.000</t>
  </si>
  <si>
    <t>06:45:00.000</t>
  </si>
  <si>
    <t>07:00:00.000</t>
  </si>
  <si>
    <t>07:15:00.000</t>
  </si>
  <si>
    <t>07:30:00.000</t>
  </si>
  <si>
    <t>07:45:00.000</t>
  </si>
  <si>
    <t>08:00:00.000</t>
  </si>
  <si>
    <t>08:15:00.000</t>
  </si>
  <si>
    <t>08:30:00.000</t>
  </si>
  <si>
    <t>08:45:00.000</t>
  </si>
  <si>
    <t>09:00:00.000</t>
  </si>
  <si>
    <t>09:15:00.000</t>
  </si>
  <si>
    <t>09:30:00.000</t>
  </si>
  <si>
    <t>09:45:00.000</t>
  </si>
  <si>
    <t>10:00:00.000</t>
  </si>
  <si>
    <t>10:15:00.000</t>
  </si>
  <si>
    <t>10:30:00.000</t>
  </si>
  <si>
    <t>10:45:00.000</t>
  </si>
  <si>
    <t>11:00:00.000</t>
  </si>
  <si>
    <t>11:15:00.000</t>
  </si>
  <si>
    <t>11:30:00.000</t>
  </si>
  <si>
    <t>11:45:00.000</t>
  </si>
  <si>
    <t>12:00:00.000</t>
  </si>
  <si>
    <t>12:15:00.000</t>
  </si>
  <si>
    <t>12:30:00.000</t>
  </si>
  <si>
    <t>12:45:00.000</t>
  </si>
  <si>
    <t>13:00:00.000</t>
  </si>
  <si>
    <t>13:15:00.000</t>
  </si>
  <si>
    <t>13:30:00.000</t>
  </si>
  <si>
    <t>13:45:00.000</t>
  </si>
  <si>
    <t>14:00:00.000</t>
  </si>
  <si>
    <t>14:15:00.000</t>
  </si>
  <si>
    <t>14:30:00.000</t>
  </si>
  <si>
    <t>14:45:00.000</t>
  </si>
  <si>
    <t>15:00:00.000</t>
  </si>
  <si>
    <t>15:15:00.000</t>
  </si>
  <si>
    <t>15:30:00.000</t>
  </si>
  <si>
    <t>15:45:00.000</t>
  </si>
  <si>
    <t>16:00:00.000</t>
  </si>
  <si>
    <t>16:15:00.000</t>
  </si>
  <si>
    <t>16:30:00.000</t>
  </si>
  <si>
    <t>16:45:00.000</t>
  </si>
  <si>
    <t>17:00:00.000</t>
  </si>
  <si>
    <t>17:15:00.000</t>
  </si>
  <si>
    <t>17:30:00.000</t>
  </si>
  <si>
    <t>17:45:00.000</t>
  </si>
  <si>
    <t>18:00:00.000</t>
  </si>
  <si>
    <t>18:15:00.000</t>
  </si>
  <si>
    <t>18:30:00.000</t>
  </si>
  <si>
    <t>18:45:00.000</t>
  </si>
  <si>
    <t>19:00:00.000</t>
  </si>
  <si>
    <t>19:15:00.000</t>
  </si>
  <si>
    <t>19:30:00.000</t>
  </si>
  <si>
    <t>19:45:00.000</t>
  </si>
  <si>
    <t>20:00:00.000</t>
  </si>
  <si>
    <t>20:15:00.000</t>
  </si>
  <si>
    <t>20:30:00.000</t>
  </si>
  <si>
    <t>20:45:00.000</t>
  </si>
  <si>
    <t>21:00:00.000</t>
  </si>
  <si>
    <t>21:15:00.000</t>
  </si>
  <si>
    <t>21:30:00.000</t>
  </si>
  <si>
    <t>21:45:00.000</t>
  </si>
  <si>
    <t>22:00:00.000</t>
  </si>
  <si>
    <t>22:15:00.000</t>
  </si>
  <si>
    <t>22:30:00.000</t>
  </si>
  <si>
    <t>22:45:00.000</t>
  </si>
  <si>
    <t>23:00:00.000</t>
  </si>
  <si>
    <t>23:15:00.000</t>
  </si>
  <si>
    <t>23:30:00.000</t>
  </si>
  <si>
    <t>23:45:00.000</t>
  </si>
  <si>
    <t>Total VALUES</t>
  </si>
  <si>
    <t>Active power TX1-INV-1</t>
  </si>
  <si>
    <t>Active power TX1-INV-2</t>
  </si>
  <si>
    <t>Active power TX1-INV-3</t>
  </si>
  <si>
    <t>Active power TX1-INV-4</t>
  </si>
  <si>
    <t>Active power TX1-INV-5</t>
  </si>
  <si>
    <t>Active power TX1-INV-6</t>
  </si>
  <si>
    <t>Active power TX1-INV-7</t>
  </si>
  <si>
    <t>Active power TX1-INV-8</t>
  </si>
  <si>
    <t>Active power TX1-INV-9</t>
  </si>
  <si>
    <t>Active power TX1-INV-10</t>
  </si>
  <si>
    <t>Active power TX1-INV-11</t>
  </si>
  <si>
    <t>Active power TX1-INV-12</t>
  </si>
  <si>
    <t>Active power TX2-INV-1</t>
  </si>
  <si>
    <t>Active power TX2-INV-2</t>
  </si>
  <si>
    <t>Active power TX2-INV-3</t>
  </si>
  <si>
    <t>Active power TX2-INV-4</t>
  </si>
  <si>
    <t>Active power TX2-INV-5</t>
  </si>
  <si>
    <t>Active power TX2-INV-6</t>
  </si>
  <si>
    <t>Active power TX2-INV-7</t>
  </si>
  <si>
    <t>Active power TX2-INV-8</t>
  </si>
  <si>
    <t>Active power TX2-INV-9</t>
  </si>
  <si>
    <t>Active power TX2-INV-10</t>
  </si>
  <si>
    <t>Active power TX2-INV-11</t>
  </si>
  <si>
    <t>Active power TX2-INV-12</t>
  </si>
  <si>
    <t>TX1 - Average Power</t>
  </si>
  <si>
    <t>TX1 - Max Power</t>
  </si>
  <si>
    <t>TX1 - Min Power</t>
  </si>
  <si>
    <t>TX2 - Average Power</t>
  </si>
  <si>
    <t>TX2 - Max Power</t>
  </si>
  <si>
    <t>TX3 - Min Power</t>
  </si>
  <si>
    <t>TX2 - Min Power</t>
  </si>
  <si>
    <t>Active power TX3-INV-1</t>
  </si>
  <si>
    <t>Active power TX3-INV-2</t>
  </si>
  <si>
    <t>Active power TX3-INV-3</t>
  </si>
  <si>
    <t>Active power TX3-INV-4</t>
  </si>
  <si>
    <t>Active power TX3-INV-5</t>
  </si>
  <si>
    <t>Active power TX3-INV-6</t>
  </si>
  <si>
    <t>Active power TX3-INV-7</t>
  </si>
  <si>
    <t>Active power TX3-INV-8</t>
  </si>
  <si>
    <t>Active power TX3-INV-9</t>
  </si>
  <si>
    <t>Active power TX3-INV-10</t>
  </si>
  <si>
    <t>Active power TX3-INV-11</t>
  </si>
  <si>
    <t>Active power TX3-INV-12</t>
  </si>
  <si>
    <t>TX3 - Average Power</t>
  </si>
  <si>
    <t>TX3 - Max Power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</si>
  <si>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[W/m2]
B</t>
    </r>
  </si>
  <si>
    <t>CAMPO FV</t>
  </si>
  <si>
    <t>SOTTOCAMPI
INVERTER  BOX</t>
  </si>
  <si>
    <t>Potenza nominale DC  inverter 
[kVA]</t>
  </si>
  <si>
    <t>Potenza nominale AC  inverter 
[kVA]</t>
  </si>
  <si>
    <t>T1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</si>
  <si>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</si>
  <si>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</si>
  <si>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</si>
  <si>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</si>
  <si>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</si>
  <si>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</si>
  <si>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</si>
  <si>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</si>
  <si>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</si>
  <si>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</si>
  <si>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</si>
  <si>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</si>
  <si>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T2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</si>
  <si>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</si>
  <si>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</si>
  <si>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</si>
  <si>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</si>
  <si>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</si>
  <si>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</si>
  <si>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</si>
  <si>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</si>
  <si>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</si>
  <si>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</si>
  <si>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</si>
  <si>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</si>
  <si>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T3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</si>
  <si>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</si>
  <si>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</si>
  <si>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</si>
  <si>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</si>
  <si>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</si>
  <si>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</si>
  <si>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</si>
  <si>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</si>
  <si>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</si>
  <si>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</si>
  <si>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</si>
  <si>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</si>
  <si>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Inverter status TX1-INV-1</t>
  </si>
  <si>
    <t>Inverter status TX1-INV-2</t>
  </si>
  <si>
    <t>Inverter status TX1-INV-3</t>
  </si>
  <si>
    <t>Inverter status TX1-INV-4</t>
  </si>
  <si>
    <t>Inverter status TX1-INV-5</t>
  </si>
  <si>
    <t>Inverter status TX1-INV-6</t>
  </si>
  <si>
    <t>Inverter status TX1-INV-7</t>
  </si>
  <si>
    <t>Inverter status TX1-INV-8</t>
  </si>
  <si>
    <t>Inverter status TX1-INV-9</t>
  </si>
  <si>
    <t>Inverter status TX1-INV-10</t>
  </si>
  <si>
    <t>Inverter status TX1-INV-11</t>
  </si>
  <si>
    <t>Inverter status TX1-INV-12</t>
  </si>
  <si>
    <t>Inverter status TX2-INV-1</t>
  </si>
  <si>
    <t>Inverter status TX2-INV-2</t>
  </si>
  <si>
    <t>Inverter status TX2-INV-3</t>
  </si>
  <si>
    <t>Inverter status TX2-INV-4</t>
  </si>
  <si>
    <t>Inverter status TX2-INV-5</t>
  </si>
  <si>
    <t>Inverter status TX2-INV-6</t>
  </si>
  <si>
    <t>Inverter status TX2-INV-7</t>
  </si>
  <si>
    <t>Inverter status TX2-INV-8</t>
  </si>
  <si>
    <t>Inverter status TX2-INV-9</t>
  </si>
  <si>
    <t>Inverter status TX2-INV-10</t>
  </si>
  <si>
    <t>Inverter status TX2-INV-11</t>
  </si>
  <si>
    <t>Inverter status TX2-INV-12</t>
  </si>
  <si>
    <t>Inverter status TX3-INV-1</t>
  </si>
  <si>
    <t>Inverter status TX3-INV-2</t>
  </si>
  <si>
    <t>Inverter status TX3-INV-3</t>
  </si>
  <si>
    <t>Inverter status TX3-INV-4</t>
  </si>
  <si>
    <t>Inverter status TX3-INV-5</t>
  </si>
  <si>
    <t>Inverter status TX3-INV-6</t>
  </si>
  <si>
    <t>Inverter status TX3-INV-7</t>
  </si>
  <si>
    <t>Inverter status TX3-INV-8</t>
  </si>
  <si>
    <t>Inverter status TX3-INV-9</t>
  </si>
  <si>
    <t>Inverter status TX3-INV-10</t>
  </si>
  <si>
    <t>Inverter status TX3-INV-11</t>
  </si>
  <si>
    <t>Inverter status TX3-INV-12</t>
  </si>
  <si>
    <t>TX.INV</t>
  </si>
  <si>
    <t>Potenza nominale DC</t>
  </si>
  <si>
    <t>Potenza nominale AC</t>
  </si>
  <si>
    <t>PR for each inverter</t>
  </si>
  <si>
    <t>Enegy Loss for TX2
kW/H</t>
  </si>
  <si>
    <t>Enegy Loss for TX3
kW/H</t>
  </si>
  <si>
    <t>TX1 Total loss</t>
  </si>
  <si>
    <t>Normal PR calculation</t>
  </si>
  <si>
    <t>Compensated PR</t>
  </si>
  <si>
    <t>inverter sum test</t>
  </si>
  <si>
    <t>Irradiance Minimum Value Accepted for calculation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</si>
  <si>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Average&gt;50
[W/m2]</t>
    </r>
  </si>
  <si>
    <t>Average of each PR [%]</t>
  </si>
  <si>
    <t>RAW PR (calculated with each power and POA value) [%]</t>
  </si>
  <si>
    <t>Total VALUES (4 values for each hour)</t>
  </si>
  <si>
    <t>Total values with POA&gt;50</t>
  </si>
  <si>
    <t>Irradiance Acceptance Rate (for average between sensors)[%]</t>
  </si>
  <si>
    <t>PR from SCADA [%]</t>
  </si>
  <si>
    <t>Irradiance TX1
[W/m2]
A</t>
  </si>
  <si>
    <t>Irradiance TX1
[KWh/m2]
A</t>
  </si>
  <si>
    <t>Irradiance Minimum Value Accepted for calculation</t>
  </si>
  <si>
    <t>Potenza Attiva Limit Ratio</t>
  </si>
  <si>
    <t>PR CALCULATION</t>
  </si>
  <si>
    <t>05 MAGGIO 2026</t>
  </si>
  <si>
    <t>NOMINAL VALUES</t>
  </si>
  <si>
    <t>5 May 2026 PR Calculation</t>
  </si>
  <si>
    <t>Energy Loss for TX1
kW/H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</si>
</sst>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0.0000"/>
    <numFmt numFmtId="165" formatCode="[$-410]d\-mmm\-yy;@"/>
    <numFmt numFmtId="166" formatCode="0.000"/>
    <numFmt numFmtId="167" formatCode="0.0"/>
    <numFmt numFmtId="168" formatCode="0.0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BDD7EE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102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/>
    <xf numFmtId="166" fontId="4" fillId="0" borderId="1" xfId="0" applyNumberFormat="1" applyFont="1" applyBorder="1"/>
    <xf numFmtId="167" fontId="0" fillId="0" borderId="1" xfId="0" applyNumberFormat="1" applyBorder="1"/>
    <xf numFmtId="164" fontId="0" fillId="0" borderId="1" xfId="0" applyNumberFormat="1" applyBorder="1"/>
    <xf numFmtId="0" fontId="0" fillId="0" borderId="7" xfId="0" applyBorder="1"/>
    <xf numFmtId="165" fontId="0" fillId="0" borderId="8" xfId="0" applyNumberFormat="1" applyBorder="1"/>
    <xf numFmtId="166" fontId="0" fillId="0" borderId="7" xfId="0" applyNumberFormat="1" applyBorder="1"/>
    <xf numFmtId="1" fontId="0" fillId="0" borderId="7" xfId="0" applyNumberFormat="1" applyBorder="1"/>
    <xf numFmtId="167" fontId="0" fillId="0" borderId="7" xfId="0" applyNumberFormat="1" applyBorder="1"/>
    <xf numFmtId="0" fontId="5" fillId="0" borderId="0" xfId="0" applyFont="1"/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4" fontId="0" fillId="0" borderId="1" xfId="0" applyNumberFormat="1" applyBorder="1" applyAlignment="1">
      <alignment wrapText="1"/>
    </xf>
    <xf numFmtId="0" fontId="0" fillId="0" borderId="0" xfId="0" applyAlignment="1">
      <alignment horizontal="right"/>
    </xf>
    <xf numFmtId="0" fontId="9" fillId="8" borderId="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10" fillId="10" borderId="11" xfId="0" applyFont="1" applyFill="1" applyBorder="1" applyAlignment="1">
      <alignment vertical="center" wrapText="1"/>
    </xf>
    <xf numFmtId="0" fontId="10" fillId="9" borderId="11" xfId="0" applyFont="1" applyFill="1" applyBorder="1" applyAlignment="1">
      <alignment vertical="center" wrapText="1"/>
    </xf>
    <xf numFmtId="0" fontId="10" fillId="9" borderId="10" xfId="0" applyFont="1" applyFill="1" applyBorder="1" applyAlignment="1">
      <alignment vertical="center" wrapText="1"/>
    </xf>
    <xf numFmtId="0" fontId="10" fillId="9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168" fontId="0" fillId="0" borderId="7" xfId="0" applyNumberFormat="1" applyBorder="1"/>
    <xf numFmtId="0" fontId="1" fillId="3" borderId="1" xfId="0" applyFont="1" applyFill="1" applyBorder="1"/>
    <xf numFmtId="0" fontId="0" fillId="6" borderId="12" xfId="0" applyFill="1" applyBorder="1" applyAlignment="1">
      <alignment horizontal="center" vertical="center" wrapText="1"/>
    </xf>
    <xf numFmtId="167" fontId="0" fillId="0" borderId="2" xfId="0" applyNumberFormat="1" applyBorder="1"/>
    <xf numFmtId="167" fontId="0" fillId="0" borderId="4" xfId="0" applyNumberFormat="1" applyBorder="1"/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168" fontId="0" fillId="0" borderId="8" xfId="0" applyNumberFormat="1" applyBorder="1"/>
    <xf numFmtId="167" fontId="0" fillId="6" borderId="18" xfId="0" applyNumberFormat="1" applyFill="1" applyBorder="1" applyAlignment="1">
      <alignment horizontal="center" vertical="center" wrapText="1"/>
    </xf>
    <xf numFmtId="167" fontId="0" fillId="0" borderId="19" xfId="0" applyNumberFormat="1" applyBorder="1" applyAlignment="1">
      <alignment horizontal="right"/>
    </xf>
    <xf numFmtId="1" fontId="0" fillId="0" borderId="20" xfId="0" applyNumberFormat="1" applyBorder="1" applyAlignment="1">
      <alignment horizontal="right"/>
    </xf>
    <xf numFmtId="164" fontId="0" fillId="0" borderId="2" xfId="0" applyNumberFormat="1" applyBorder="1"/>
    <xf numFmtId="164" fontId="0" fillId="0" borderId="4" xfId="0" applyNumberFormat="1" applyBorder="1"/>
    <xf numFmtId="167" fontId="0" fillId="0" borderId="19" xfId="0" applyNumberFormat="1" applyBorder="1"/>
    <xf numFmtId="164" fontId="0" fillId="0" borderId="20" xfId="0" applyNumberFormat="1" applyBorder="1"/>
    <xf numFmtId="0" fontId="1" fillId="6" borderId="4" xfId="0" applyFont="1" applyFill="1" applyBorder="1" applyAlignment="1">
      <alignment horizontal="center" vertical="center" wrapText="1"/>
    </xf>
    <xf numFmtId="0" fontId="0" fillId="0" borderId="8" xfId="0" applyBorder="1"/>
    <xf numFmtId="0" fontId="0" fillId="6" borderId="18" xfId="0" applyFill="1" applyBorder="1" applyAlignment="1">
      <alignment horizontal="center" vertical="center" wrapText="1"/>
    </xf>
    <xf numFmtId="167" fontId="0" fillId="0" borderId="20" xfId="0" applyNumberFormat="1" applyBorder="1"/>
    <xf numFmtId="168" fontId="0" fillId="0" borderId="4" xfId="0" applyNumberFormat="1" applyBorder="1"/>
    <xf numFmtId="0" fontId="1" fillId="3" borderId="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1" fillId="0" borderId="0" xfId="0" applyFont="1"/>
    <xf numFmtId="0" fontId="1" fillId="3" borderId="15" xfId="0" applyFont="1" applyFill="1" applyBorder="1"/>
    <xf numFmtId="0" fontId="1" fillId="3" borderId="17" xfId="0" applyFont="1" applyFill="1" applyBorder="1"/>
    <xf numFmtId="0" fontId="1" fillId="3" borderId="28" xfId="0" applyFont="1" applyFill="1" applyBorder="1"/>
    <xf numFmtId="168" fontId="1" fillId="3" borderId="17" xfId="0" applyNumberFormat="1" applyFont="1" applyFill="1" applyBorder="1"/>
    <xf numFmtId="1" fontId="1" fillId="3" borderId="17" xfId="1" applyNumberFormat="1" applyFont="1" applyFill="1" applyBorder="1" applyAlignment="1"/>
    <xf numFmtId="2" fontId="1" fillId="3" borderId="17" xfId="0" applyNumberFormat="1" applyFont="1" applyFill="1" applyBorder="1"/>
    <xf numFmtId="166" fontId="1" fillId="3" borderId="17" xfId="0" applyNumberFormat="1" applyFont="1" applyFill="1" applyBorder="1"/>
    <xf numFmtId="165" fontId="0" fillId="0" borderId="4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167" fontId="0" fillId="0" borderId="1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7" fontId="0" fillId="0" borderId="16" xfId="0" applyNumberFormat="1" applyBorder="1" applyAlignment="1">
      <alignment horizontal="right"/>
    </xf>
    <xf numFmtId="167" fontId="0" fillId="0" borderId="17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0" fontId="0" fillId="7" borderId="9" xfId="0" applyFill="1" applyBorder="1" applyAlignment="1">
      <alignment horizontal="right"/>
    </xf>
    <xf numFmtId="0" fontId="1" fillId="3" borderId="4" xfId="0" applyFont="1" applyFill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" fillId="3" borderId="2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0" fillId="11" borderId="11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</cellXfs>
  <cellStyles count="2">
    <cellStyle name="Normale" xfId="0" builtinId="0"/>
    <cellStyle name="Valuta" xfId="1" builtinId="4"/>
  </cellStyles>
  <dxfs count="260"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0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%20Dati%20Giornalieri.xlsx" TargetMode="External"/><Relationship Id="rId2" Type="http://schemas.openxmlformats.org/officeDocument/2006/relationships/externalLinkPath" Target="file:///\\S01\get\2025.01%20Mazara%2001%20A2A\03%20-%20REPORT\Report\01%20Daily%20Reports\2026%20Dati%20Giornalieri.xlsx" TargetMode="External"/><Relationship Id="rId1" Type="http://schemas.openxmlformats.org/officeDocument/2006/relationships/externalLinkPath" Target="/2025.01%20Mazara%2001%20A2A/03%20-%20REPORT/Report/01%20Daily%20Reports/2026%20Dati%20Giornalie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VSyst Data"/>
      <sheetName val="Raporto Umibità"/>
      <sheetName val="Oct 2025"/>
      <sheetName val="Jan 2026"/>
      <sheetName val="Feb 2026"/>
      <sheetName val="Mar 2026"/>
      <sheetName val="Apr 2026"/>
    </sheetNames>
    <sheetDataSet>
      <sheetData sheetId="0">
        <row r="4">
          <cell r="G4">
            <v>12.63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726E2-2FDF-4490-8CF9-6A6B856652E4}" name="TabellaMar2026" displayName="TabellaMar2026" ref="A14:BP111" headerRowCount="0" totalsRowCount="1" headerRowDxfId="259" tableBorderDxfId="258" totalsRowBorderDxfId="257">
  <tableColumns count="68">
    <tableColumn id="1" xr3:uid="{A959051D-8B71-49D5-A4E6-A1F530A5A171}" name="Colonna1" totalsRowLabel="PR for each inverter" headerRowDxfId="256" dataDxfId="255" totalsRowDxfId="67"/>
    <tableColumn id="30" xr3:uid="{EFA70114-AFF4-42D1-BC3B-532C1596F0C3}" name="Colonna30" headerRowDxfId="254" dataDxfId="253" totalsRowDxfId="66"/>
    <tableColumn id="74" xr3:uid="{1BC5FF01-80FC-44E5-9D81-98EEEF631832}" name="Colonna65" headerRowDxfId="252" totalsRowDxfId="65"/>
    <tableColumn id="11" xr3:uid="{14184238-05CD-49B5-A4CC-0CBAEF3D216A}" name="Colonna11" totalsRowFunction="custom" headerRowDxfId="251" dataDxfId="250" totalsRowDxfId="64">
      <totalsRowFormula>SUM(D15:D110)</totalsRowFormula>
    </tableColumn>
    <tableColumn id="75" xr3:uid="{1E08FC98-FE83-4EB9-A441-444D53487DF2}" name="Colonna66" headerRowDxfId="249" dataDxfId="248" totalsRowDxfId="63"/>
    <tableColumn id="4" xr3:uid="{1084EBF8-4549-43B7-AF87-6A45C2BF900F}" name="Colonna4" totalsRowFunction="custom" headerRowDxfId="247" totalsRowDxfId="62">
      <totalsRowFormula>SUM(F15:F110)</totalsRowFormula>
    </tableColumn>
    <tableColumn id="12" xr3:uid="{EE124D40-83BF-4DCD-A1F4-3C91AB265EE6}" name="Colonna12" totalsRowFunction="custom" headerRowDxfId="246" dataDxfId="245" totalsRowDxfId="61">
      <totalsRowFormula>SUM(G15:G110)</totalsRowFormula>
    </tableColumn>
    <tableColumn id="76" xr3:uid="{1F34A1BF-560C-48DF-9EF9-3D3199A015F5}" name="Colonna67" headerRowDxfId="244" dataDxfId="243" totalsRowDxfId="60"/>
    <tableColumn id="18" xr3:uid="{BC746572-2E8E-4C93-B3FA-14906FD689F2}" name="Colonna18" totalsRowFunction="custom" headerRowDxfId="242" dataDxfId="241" totalsRowDxfId="59">
      <totalsRowFormula>SUM(I15:I110)</totalsRowFormula>
    </tableColumn>
    <tableColumn id="13" xr3:uid="{07563F12-03A0-475C-833F-63C1D443BEBB}" name="Colonna13" headerRowDxfId="240" dataDxfId="239" totalsRowDxfId="58"/>
    <tableColumn id="14" xr3:uid="{83D755CD-C866-4125-BE82-B7CEA47A2FC0}" name="Colonna14" headerRowDxfId="238" dataDxfId="237" totalsRowDxfId="57"/>
    <tableColumn id="16" xr3:uid="{46CD8BEB-5FDE-44B8-8556-21E605F3D44A}" name="Colonna15" headerRowDxfId="236" dataDxfId="235" totalsRowDxfId="56"/>
    <tableColumn id="15" xr3:uid="{A8837AAD-25E3-4D75-BDDB-4A441A8D732B}" name="Colonna16" totalsRowFunction="custom" headerRowDxfId="234" dataDxfId="233" totalsRowDxfId="55">
      <totalsRowFormula>SUM(M15:M110)</totalsRowFormula>
    </tableColumn>
    <tableColumn id="2" xr3:uid="{4F5E90B2-B8D1-4966-BEEE-6E63F414E88F}" name="Colonna68" headerRowDxfId="232" dataDxfId="231" totalsRowDxfId="54"/>
    <tableColumn id="39" xr3:uid="{3D0488D5-68D4-44CE-94E4-4EEDCB6162C5}" name="Colonna24" totalsRowFunction="custom" headerRowDxfId="230" dataDxfId="229" totalsRowDxfId="53">
      <totalsRowFormula array="1">SUM((Inverter_data!C15:C110)*0.25,O15:O110)/(O$10*(SUM(PR_Calc!$H$15:$H$110)/4000))</totalsRowFormula>
    </tableColumn>
    <tableColumn id="40" xr3:uid="{0386AFF3-028A-4728-A672-06025C02BB88}" name="Colonna31" totalsRowFunction="custom" headerRowDxfId="228" dataDxfId="227" totalsRowDxfId="52">
      <totalsRowFormula array="1">SUM((Inverter_data!D15:D110)*0.25,P15:P110)/(P$10*(SUM(PR_Calc!$H$15:$H$110)/4000))</totalsRowFormula>
    </tableColumn>
    <tableColumn id="41" xr3:uid="{BC83C5C4-F9D9-4B03-AE8C-BDFBAE5D2582}" name="Colonna32" totalsRowFunction="custom" headerRowDxfId="226" dataDxfId="225" totalsRowDxfId="51">
      <totalsRowFormula array="1">SUM((Inverter_data!E15:E110)*0.25,Q15:Q110)/(Q$10*(SUM(PR_Calc!$H$15:$H$110)/4000))</totalsRowFormula>
    </tableColumn>
    <tableColumn id="42" xr3:uid="{761977AC-F49C-4C97-AF40-3D05946D2380}" name="Colonna33" totalsRowFunction="custom" headerRowDxfId="224" dataDxfId="223" totalsRowDxfId="50">
      <totalsRowFormula array="1">SUM((Inverter_data!F15:F110)*0.25,R15:R110)/(R$10*(SUM(PR_Calc!$H$15:$H$110)/4000))</totalsRowFormula>
    </tableColumn>
    <tableColumn id="43" xr3:uid="{2B0687FA-474F-43FB-9C13-9C29FEE18A12}" name="Colonna34" totalsRowFunction="custom" headerRowDxfId="222" dataDxfId="221" totalsRowDxfId="49">
      <totalsRowFormula array="1">SUM((Inverter_data!G15:G110)*0.25,S15:S110)/(S$10*(SUM(PR_Calc!$H$15:$H$110)/4000))</totalsRowFormula>
    </tableColumn>
    <tableColumn id="44" xr3:uid="{527FDF97-C264-4E5F-AFA6-2DA6DDB4DCE7}" name="Colonna35" totalsRowFunction="custom" headerRowDxfId="220" dataDxfId="219" totalsRowDxfId="48">
      <totalsRowFormula array="1">SUM((Inverter_data!H15:H110)*0.25,T15:T110)/(T$10*(SUM(PR_Calc!$H$15:$H$110)/4000))</totalsRowFormula>
    </tableColumn>
    <tableColumn id="45" xr3:uid="{DC7F1472-F57E-43C0-8528-21730788F045}" name="Colonna36" totalsRowFunction="custom" headerRowDxfId="218" dataDxfId="217" totalsRowDxfId="47">
      <totalsRowFormula array="1">SUM((Inverter_data!I15:I110)*0.25,U15:U110)/(U$10*(SUM(PR_Calc!$H$15:$H$110)/4000))</totalsRowFormula>
    </tableColumn>
    <tableColumn id="46" xr3:uid="{C6AC0B86-5897-4399-A8C8-89B9DA4EC07C}" name="Colonna37" totalsRowFunction="custom" headerRowDxfId="216" dataDxfId="215" totalsRowDxfId="46">
      <totalsRowFormula array="1">SUM((Inverter_data!J15:J110)*0.25,V15:V110)/(V$10*(SUM(PR_Calc!$H$15:$H$110)/4000))</totalsRowFormula>
    </tableColumn>
    <tableColumn id="32" xr3:uid="{3680A26E-1973-4D79-B823-645A40A737D9}" name="Colonna3" totalsRowFunction="custom" headerRowDxfId="214" dataDxfId="213" totalsRowDxfId="45">
      <totalsRowFormula array="1">SUM((Inverter_data!K15:K110)*0.25,W15:W110)/(W$10*(SUM(PR_Calc!$H$15:$H$110)/4000))</totalsRowFormula>
    </tableColumn>
    <tableColumn id="33" xr3:uid="{FA4C6F3B-21CA-470F-AA4D-D3AA70364CC1}" name="Colonna17" totalsRowFunction="custom" headerRowDxfId="212" dataDxfId="211" totalsRowDxfId="44">
      <totalsRowFormula array="1">SUM((Inverter_data!L15:L110)*0.25,X15:X110)/(X$10*(SUM(PR_Calc!$H$15:$H$110)/4000))</totalsRowFormula>
    </tableColumn>
    <tableColumn id="34" xr3:uid="{DD95B7A3-F891-4D60-9201-7D2389AABE1B}" name="Colonna19" totalsRowFunction="custom" headerRowDxfId="210" dataDxfId="209" totalsRowDxfId="43">
      <totalsRowFormula array="1">SUM((Inverter_data!M15:M110)*0.25,Y15:Y110)/(Y$10*(SUM(PR_Calc!$H$15:$H$110)/4000))</totalsRowFormula>
    </tableColumn>
    <tableColumn id="35" xr3:uid="{629D6FC2-3434-4041-BF51-F7BFD3593DB0}" name="Colonna20" totalsRowFunction="custom" headerRowDxfId="208" dataDxfId="207" totalsRowDxfId="42">
      <totalsRowFormula array="1">SUM((Inverter_data!N15:N110)*0.25,Z15:Z110)/(Z$10*(SUM(PR_Calc!$H$15:$H$110)/4000))</totalsRowFormula>
    </tableColumn>
    <tableColumn id="36" xr3:uid="{B665B645-CD43-4EDF-B6CF-B34946E69928}" name="Colonna21" totalsRowFunction="custom" headerRowDxfId="206" dataDxfId="205" totalsRowDxfId="41">
      <totalsRowFormula array="1">SUM((Inverter_data!O15:O110)*0.25,AA15:AA110)/(AA$10*(SUM(PR_Calc!$H$15:$H$110)/4000))</totalsRowFormula>
    </tableColumn>
    <tableColumn id="37" xr3:uid="{A8955005-D670-4EA8-99EB-4492B9072A80}" name="Colonna22" totalsRowFunction="custom" headerRowDxfId="204" dataDxfId="203" totalsRowDxfId="40">
      <totalsRowFormula array="1">SUM((Inverter_data!P15:P110)*0.25,AB15:AB110)/(AB$10*(SUM(PR_Calc!$H$15:$H$110)/4000))</totalsRowFormula>
    </tableColumn>
    <tableColumn id="38" xr3:uid="{9FBA9415-5721-42A7-B111-22BED7FF164E}" name="Colonna23" totalsRowFunction="custom" headerRowDxfId="202" dataDxfId="201" totalsRowDxfId="39">
      <totalsRowFormula array="1">SUM((Inverter_data!Q15:Q110)*0.25,AC15:AC110)/(AC$10*(SUM(PR_Calc!$H$15:$H$110)/4000))</totalsRowFormula>
    </tableColumn>
    <tableColumn id="71" xr3:uid="{01666004-DB51-4390-8362-E5F9D6DB1EFE}" name="Colonna62" totalsRowFunction="sum" headerRowDxfId="200" totalsRowDxfId="38">
      <calculatedColumnFormula>IF(AND(O14:Z14),1,"f")</calculatedColumnFormula>
    </tableColumn>
    <tableColumn id="48" xr3:uid="{44ABA47A-2E9A-4B2A-A22C-992C19C491E5}" name="Colonna39" totalsRowFunction="custom" headerRowDxfId="199" dataDxfId="198" totalsRowDxfId="37">
      <totalsRowFormula array="1">SUM((Inverter_data!R15:'Inverter_data'!R110)*0.25,AE15:AE110)/(AE$10*(SUM(PR_Calc!$H$15:$H$110)/4000))</totalsRowFormula>
    </tableColumn>
    <tableColumn id="49" xr3:uid="{FB9B1115-6AE8-4EE4-8CC7-EC11E4A26D7E}" name="Colonna40" totalsRowFunction="custom" headerRowDxfId="197" dataDxfId="196" totalsRowDxfId="36">
      <totalsRowFormula array="1">SUM((Inverter_data!S15:'Inverter_data'!S110)*0.25,AF15:AF110)/(AF$10*(SUM(PR_Calc!$H$15:$H$110)/4000))</totalsRowFormula>
    </tableColumn>
    <tableColumn id="50" xr3:uid="{9711A5A7-67E4-4E17-82A5-30E0736FE3DD}" name="Colonna41" totalsRowFunction="custom" headerRowDxfId="195" dataDxfId="194" totalsRowDxfId="35">
      <totalsRowFormula array="1">SUM((Inverter_data!T15:'Inverter_data'!T110)*0.25,AG15:AG110)/(AG$10*(SUM(PR_Calc!$H$15:$H$110)/4000))</totalsRowFormula>
    </tableColumn>
    <tableColumn id="51" xr3:uid="{22621EEA-9A34-4B91-B5FD-6C2F1995C22F}" name="Colonna42" totalsRowFunction="custom" headerRowDxfId="193" dataDxfId="192" totalsRowDxfId="34">
      <totalsRowFormula array="1">SUM((Inverter_data!U15:'Inverter_data'!U110)*0.25,AH15:AH110)/(AH$10*(SUM(PR_Calc!$H$15:$H$110)/4000))</totalsRowFormula>
    </tableColumn>
    <tableColumn id="52" xr3:uid="{3DAFB3C2-EF32-49CA-8FC9-8CCECF3C0DB2}" name="Colonna43" totalsRowFunction="custom" headerRowDxfId="191" dataDxfId="190" totalsRowDxfId="33">
      <totalsRowFormula array="1">SUM((Inverter_data!V15:'Inverter_data'!V110)*0.25,AI15:AI110)/(AI$10*(SUM(PR_Calc!$H$15:$H$110)/4000))</totalsRowFormula>
    </tableColumn>
    <tableColumn id="53" xr3:uid="{22176117-7E8C-4C67-810E-04FDFC8E4FD4}" name="Colonna44" totalsRowFunction="custom" headerRowDxfId="189" dataDxfId="188" totalsRowDxfId="32">
      <totalsRowFormula array="1">SUM((Inverter_data!W15:'Inverter_data'!W110)*0.25,AJ15:AJ110)/(AJ$10*(SUM(PR_Calc!$H$15:$H$110)/4000))</totalsRowFormula>
    </tableColumn>
    <tableColumn id="54" xr3:uid="{6EAB6FC5-1370-49F8-A5C9-83B74ABD0D9F}" name="Colonna45" totalsRowFunction="custom" headerRowDxfId="187" dataDxfId="186" totalsRowDxfId="31">
      <totalsRowFormula array="1">SUM((Inverter_data!X15:'Inverter_data'!X110)*0.25,AK15:AK110)/(AK$10*(SUM(PR_Calc!$H$15:$H$110)/4000))</totalsRowFormula>
    </tableColumn>
    <tableColumn id="55" xr3:uid="{EF72B424-DF4D-4D45-9055-75DFA62171FE}" name="Colonna46" totalsRowFunction="custom" headerRowDxfId="185" dataDxfId="184" totalsRowDxfId="30">
      <totalsRowFormula array="1">SUM((Inverter_data!Y15:'Inverter_data'!Y110)*0.25,AL15:AL110)/(AL$10*(SUM(PR_Calc!$H$15:$H$110)/4000))</totalsRowFormula>
    </tableColumn>
    <tableColumn id="47" xr3:uid="{F556608F-50BB-4462-A7C1-31A6C41A4CC9}" name="Colonna38" totalsRowFunction="custom" headerRowDxfId="183" dataDxfId="182" totalsRowDxfId="29">
      <totalsRowFormula array="1">SUM((Inverter_data!Z15:'Inverter_data'!Z110)*0.25,AM15:AM110)/(AM$10*(SUM(PR_Calc!$H$15:$H$110)/4000))</totalsRowFormula>
    </tableColumn>
    <tableColumn id="31" xr3:uid="{00F5EECD-7B6F-4931-BD15-752BB6AAC0D4}" name="Colonna2" totalsRowFunction="custom" headerRowDxfId="181" dataDxfId="180" totalsRowDxfId="28">
      <totalsRowFormula array="1">SUM((Inverter_data!AA15:'Inverter_data'!AA110)*0.25,AN15:AN110)/(AN$10*(SUM(PR_Calc!$H$15:$H$110)/4000))</totalsRowFormula>
    </tableColumn>
    <tableColumn id="5" xr3:uid="{EC44DDD9-C7DB-4835-B865-4F43976B4EDA}" name="Colonna5" totalsRowFunction="custom" headerRowDxfId="179" dataDxfId="178" totalsRowDxfId="27">
      <totalsRowFormula array="1">SUM((Inverter_data!AB15:'Inverter_data'!AB110)*0.25,AO15:AO110)/(AO$10*(SUM(PR_Calc!$H$15:$H$110)/4000))</totalsRowFormula>
    </tableColumn>
    <tableColumn id="6" xr3:uid="{39E3400C-12B6-4B96-BFC6-3533FAD06D85}" name="Colonna6" totalsRowFunction="custom" headerRowDxfId="177" dataDxfId="176" totalsRowDxfId="26">
      <totalsRowFormula array="1">SUM((Inverter_data!AC15:'Inverter_data'!AC110)*0.25,AP15:AP110)/(AP$10*(SUM(PR_Calc!$H$15:$H$110)/4000))</totalsRowFormula>
    </tableColumn>
    <tableColumn id="56" xr3:uid="{E574FF88-F285-4945-935C-4C097827E2DE}" name="Colonna47" headerRowDxfId="175" dataDxfId="174" totalsRowDxfId="25"/>
    <tableColumn id="57" xr3:uid="{CE18AEAD-B205-4FE0-900E-07DC3FB81D4C}" name="Colonna48" headerRowDxfId="173" dataDxfId="172" totalsRowDxfId="24"/>
    <tableColumn id="58" xr3:uid="{8E3850AB-2265-4580-B256-E1A063C72BF1}" name="Colonna49" headerRowDxfId="171" dataDxfId="170" totalsRowDxfId="23"/>
    <tableColumn id="72" xr3:uid="{A0CAB4BC-3509-4D3A-A7AB-8F85FE8EDE3B}" name="Colonna63" totalsRowFunction="sum" headerRowDxfId="169" dataDxfId="168" totalsRowDxfId="22"/>
    <tableColumn id="63" xr3:uid="{BAF1692E-0F33-4EC7-8986-B7AAEFDF5395}" name="Colonna54" totalsRowFunction="custom" headerRowDxfId="167" dataDxfId="166" totalsRowDxfId="21">
      <totalsRowFormula array="1">SUM((Inverter_data!AG15:'Inverter_data'!AG110)*0.25,AU15:AU110)/(AU$10*(SUM(PR_Calc!$H$15:$H$110)/4000))</totalsRowFormula>
    </tableColumn>
    <tableColumn id="64" xr3:uid="{B87F3F30-C266-4BA8-9554-904A189794FA}" name="Colonna55" totalsRowFunction="custom" headerRowDxfId="165" dataDxfId="164" totalsRowDxfId="20">
      <totalsRowFormula array="1">SUM((Inverter_data!AH15:'Inverter_data'!AH110)*0.25,AV15:AV110)/(AV$10*(SUM(PR_Calc!$H$15:$H$110)/4000))</totalsRowFormula>
    </tableColumn>
    <tableColumn id="65" xr3:uid="{1E0BC521-FC75-4DC8-A23B-58683F961CCB}" name="Colonna56" totalsRowFunction="custom" headerRowDxfId="163" dataDxfId="162" totalsRowDxfId="19">
      <totalsRowFormula array="1">SUM((Inverter_data!AI15:'Inverter_data'!AI110)*0.25,AW15:AW110)/(AW$10*(SUM(PR_Calc!$H$15:$H$110)/4000))</totalsRowFormula>
    </tableColumn>
    <tableColumn id="66" xr3:uid="{9C027604-D47A-49F3-9EFE-08BB181BF760}" name="Colonna57" totalsRowFunction="custom" headerRowDxfId="161" dataDxfId="160" totalsRowDxfId="18">
      <totalsRowFormula array="1">SUM((Inverter_data!AJ15:'Inverter_data'!AJ110)*0.25,AX15:AX110)/(AX$10*(SUM(PR_Calc!$H$15:$H$110)/4000))</totalsRowFormula>
    </tableColumn>
    <tableColumn id="67" xr3:uid="{CF3386F3-86ED-484B-95AA-475DD35F38A7}" name="Colonna58" totalsRowFunction="custom" headerRowDxfId="159" dataDxfId="158" totalsRowDxfId="17">
      <totalsRowFormula array="1">SUM((Inverter_data!AK15:'Inverter_data'!AK110)*0.25,AY15:AY110)/(AY$10*(SUM(PR_Calc!$H$15:$H$110)/4000))</totalsRowFormula>
    </tableColumn>
    <tableColumn id="68" xr3:uid="{A99DA312-57EF-41B2-A70B-F86D9FA64ECD}" name="Colonna59" totalsRowFunction="custom" headerRowDxfId="157" dataDxfId="156" totalsRowDxfId="16">
      <totalsRowFormula array="1">SUM((Inverter_data!AL15:'Inverter_data'!AL110)*0.25,AZ15:AZ110)/(AZ$10*(SUM(PR_Calc!$H$15:$H$110)/4000))</totalsRowFormula>
    </tableColumn>
    <tableColumn id="69" xr3:uid="{4D0EB550-11C9-4CB0-88D4-A574A33EA33E}" name="Colonna60" totalsRowFunction="custom" headerRowDxfId="155" dataDxfId="154" totalsRowDxfId="15">
      <totalsRowFormula array="1">SUM((Inverter_data!AM15:'Inverter_data'!AM110)*0.25,BA15:BA110)/(BA$10*(SUM(PR_Calc!$H$15:$H$110)/4000))</totalsRowFormula>
    </tableColumn>
    <tableColumn id="70" xr3:uid="{8AC68068-E7D6-41CE-912D-F0946C8336A5}" name="Colonna61" totalsRowFunction="custom" headerRowDxfId="153" dataDxfId="152" totalsRowDxfId="14">
      <totalsRowFormula array="1">SUM((Inverter_data!AN15:'Inverter_data'!AN110)*0.25,BB15:BB110)/(BB$10*(SUM(PR_Calc!$H$15:$H$110)/4000))</totalsRowFormula>
    </tableColumn>
    <tableColumn id="59" xr3:uid="{6D5A5228-DF80-4079-8E9C-353C79AF0D9F}" name="Colonna50" totalsRowFunction="custom" headerRowDxfId="151" dataDxfId="150" totalsRowDxfId="13">
      <totalsRowFormula array="1">SUM((Inverter_data!AO15:'Inverter_data'!AO110)*0.25,BC15:BC110)/(BC$10*(SUM(PR_Calc!$H$15:$H$110)/4000))</totalsRowFormula>
    </tableColumn>
    <tableColumn id="60" xr3:uid="{A814BE1F-0EED-4D7E-B5DE-C2CBD8D497D2}" name="Colonna51" totalsRowFunction="custom" headerRowDxfId="149" dataDxfId="148" totalsRowDxfId="12">
      <totalsRowFormula array="1">SUM((Inverter_data!AP15:'Inverter_data'!AP110)*0.25,BD15:BD110)/(BD$10*(SUM(PR_Calc!$H$15:$H$110)/4000))</totalsRowFormula>
    </tableColumn>
    <tableColumn id="61" xr3:uid="{39823C79-2E42-4027-A689-9F317BA9D38F}" name="Colonna52" totalsRowFunction="custom" headerRowDxfId="147" dataDxfId="146" totalsRowDxfId="11">
      <totalsRowFormula array="1">SUM((Inverter_data!AQ15:'Inverter_data'!AQ110)*0.25,BE15:BE110)/(BE$10*(SUM(PR_Calc!$H$15:$H$110)/4000))</totalsRowFormula>
    </tableColumn>
    <tableColumn id="62" xr3:uid="{AF5582E7-6C28-4819-8F16-71430EE46671}" name="Colonna53" totalsRowFunction="custom" headerRowDxfId="145" dataDxfId="144" totalsRowDxfId="10">
      <totalsRowFormula array="1">SUM((Inverter_data!AR15:'Inverter_data'!AR110)*0.25,BF15:BF110)/(BF$10*(SUM(PR_Calc!$H$15:$H$110)/4000))</totalsRowFormula>
    </tableColumn>
    <tableColumn id="7" xr3:uid="{508CC63B-A1EA-4182-8952-0353D5AC3511}" name="Colonna7" totalsRowFunction="custom" headerRowDxfId="143" dataDxfId="142" totalsRowDxfId="9">
      <totalsRowFormula array="1">SUM((Inverter_data!AS15:'Inverter_data'!AS110)*0.25,BG15:BG110)/(BG$10*(SUM(PR_Calc!$H$15:$H$110)/4000))</totalsRowFormula>
    </tableColumn>
    <tableColumn id="8" xr3:uid="{912CFDDD-9B40-47EA-A534-33E7AA52CFF3}" name="Colonna8" totalsRowFunction="custom" headerRowDxfId="141" dataDxfId="140" totalsRowDxfId="8">
      <totalsRowFormula array="1">SUM((Inverter_data!AT15:'Inverter_data'!AT110)*0.25,BH15:BH110)/(BH$10*(SUM(PR_Calc!$H$15:$H$110)/4000))</totalsRowFormula>
    </tableColumn>
    <tableColumn id="28" xr3:uid="{6C2D3EED-01DE-46FD-9C56-3CABE378F7A2}" name="Colonna28" totalsRowFunction="custom" headerRowDxfId="139" dataDxfId="138" totalsRowDxfId="7">
      <totalsRowFormula array="1">SUM((Inverter_data!AU15:'Inverter_data'!AU110)*0.25,BI15:BI110)/(BI$10*(SUM(PR_Calc!$H$15:$H$110)/4000))</totalsRowFormula>
    </tableColumn>
    <tableColumn id="73" xr3:uid="{E6CFAB55-A97B-4464-AF7E-73FBAF3B1C6A}" name="Colonna64" totalsRowFunction="sum" headerRowDxfId="137" dataDxfId="136" totalsRowDxfId="6"/>
    <tableColumn id="27" xr3:uid="{EA55A0EF-8E3D-4F1B-AA65-1E86E46DCB09}" name="Colonna27" headerRowDxfId="135" dataDxfId="134" totalsRowDxfId="5"/>
    <tableColumn id="26" xr3:uid="{890B491E-6427-40C4-A4A8-E11E58FD5796}" name="Colonna26" totalsRowFunction="custom" headerRowDxfId="133" dataDxfId="132" totalsRowDxfId="4">
      <totalsRowFormula>SUM(TabellaMar2026[[#Totals],[Colonna24]:[Colonna20]],TabellaMar2026[[#Totals],[Colonna39]:[Colonna6]],TabellaMar2026[[#Totals],[Colonna54]:[Colonna53]])/36</totalsRowFormula>
    </tableColumn>
    <tableColumn id="21" xr3:uid="{13DFC4AF-BE99-4AA3-8B72-3FC8207770B8}" name="Colonna25" headerRowDxfId="131" dataDxfId="130" totalsRowDxfId="3"/>
    <tableColumn id="9" xr3:uid="{5B7F9F1F-98A5-4175-8233-56EEAC50B822}" name="Colonna9" totalsRowFunction="average" headerRowDxfId="129" dataDxfId="128" totalsRowDxfId="2"/>
    <tableColumn id="29" xr3:uid="{63EAF2F4-553D-439D-A1D8-F0A08577935C}" name="Colonna29" totalsRowFunction="custom" headerRowDxfId="127" dataDxfId="126" totalsRowDxfId="1">
      <totalsRowFormula>AVERAGE(BO15:BO66)</totalsRowFormula>
    </tableColumn>
    <tableColumn id="10" xr3:uid="{BBE68006-2D97-4B7C-A718-91694497A22B}" name="Colonna10" totalsRowFunction="custom" headerRowDxfId="125" dataDxfId="124" totalsRowDxfId="0">
      <totalsRowFormula>$AO$111/($I$111*'[1]PVSyst Data'!$G$4*1000)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C57E70-F56E-464F-8771-59F145C6662D}" name="Tabella01MarzoInverter" displayName="Tabella01MarzoInverter" ref="A14:AU110" totalsRowShown="0" headerRowDxfId="123" dataDxfId="121" headerRowBorderDxfId="122" tableBorderDxfId="120">
  <autoFilter ref="A14:AU110" xr:uid="{E8C57E70-F56E-464F-8771-59F145C666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</autoFilter>
  <tableColumns count="47">
    <tableColumn id="1" xr3:uid="{6EC4056B-B0EA-4268-8368-170A8461494F}" name="Dati" dataDxfId="119"/>
    <tableColumn id="2" xr3:uid="{802F1122-0566-4733-ADE4-F65047CA7288}" name="ORA" dataDxfId="118"/>
    <tableColumn id="3" xr3:uid="{481E729B-7B39-446E-B0B4-2E3297376A69}" name="Active power TX1-INV-1" dataDxfId="117"/>
    <tableColumn id="4" xr3:uid="{45485D96-7AE4-4191-BD85-1CD02FD24057}" name="Active power TX1-INV-2" dataDxfId="116"/>
    <tableColumn id="5" xr3:uid="{27E7172C-AD01-4EAE-816C-E090D2A6FE85}" name="Active power TX1-INV-3" dataDxfId="115"/>
    <tableColumn id="6" xr3:uid="{BF2AA503-6CC8-4CE5-9009-2A23C483F6FC}" name="Active power TX1-INV-4" dataDxfId="114"/>
    <tableColumn id="7" xr3:uid="{0B821466-0262-4AF4-85C0-FA6349EE7517}" name="Active power TX1-INV-5" dataDxfId="113"/>
    <tableColumn id="8" xr3:uid="{C9E0373D-3556-47DA-A0EE-DA739F69A158}" name="Active power TX1-INV-6" dataDxfId="112"/>
    <tableColumn id="9" xr3:uid="{263D2201-1979-4D6E-AA5B-1186A2CEA5F2}" name="Active power TX1-INV-7" dataDxfId="111"/>
    <tableColumn id="10" xr3:uid="{275AB8CE-AB21-45E4-A1AB-30E914C06F5F}" name="Active power TX1-INV-8" dataDxfId="110"/>
    <tableColumn id="11" xr3:uid="{D82A540A-A045-4D76-AC83-1C1D5E4C614B}" name="Active power TX1-INV-9" dataDxfId="109"/>
    <tableColumn id="12" xr3:uid="{39D6B73E-63B2-44E6-BF00-E77FF637DCAF}" name="Active power TX1-INV-10" dataDxfId="108"/>
    <tableColumn id="13" xr3:uid="{22B2081A-C5A9-4AEE-9C6F-93F3FF69D010}" name="Active power TX1-INV-11" dataDxfId="107"/>
    <tableColumn id="14" xr3:uid="{02717BC0-42CE-4680-93D4-A9B9E5FD0802}" name="Active power TX1-INV-12" dataDxfId="106"/>
    <tableColumn id="15" xr3:uid="{16077AC0-1D24-451F-9A5B-8CF32B576F95}" name="TX1 - Average Power" dataDxfId="105">
      <calculatedColumnFormula>IFERROR(AVERAGEIF(Tabella01MarzoInverter[[#This Row],[Active power TX1-INV-1]:[Active power TX1-INV-12]], "&gt;0"), 0)</calculatedColumnFormula>
    </tableColumn>
    <tableColumn id="16" xr3:uid="{5511ABE0-861D-4DA9-A109-43F552EB8A52}" name="TX1 - Max Power" dataDxfId="104"/>
    <tableColumn id="17" xr3:uid="{999FCBEF-25FC-4D6D-9D29-69A5C9F40FC1}" name="TX1 - Min Power" dataDxfId="103"/>
    <tableColumn id="19" xr3:uid="{A31F112B-D041-47C1-BCF0-0FD2FB46678A}" name="Active power TX2-INV-1" dataDxfId="102"/>
    <tableColumn id="20" xr3:uid="{0CDFAAAE-7F07-4A76-A338-5274C257BD9C}" name="Active power TX2-INV-2" dataDxfId="101"/>
    <tableColumn id="21" xr3:uid="{CA3991D7-CC81-4141-B212-3915FDFB15A7}" name="Active power TX2-INV-3" dataDxfId="100"/>
    <tableColumn id="22" xr3:uid="{7C9D1D75-F615-4EDA-9BFE-51D84FD42E25}" name="Active power TX2-INV-4" dataDxfId="99"/>
    <tableColumn id="23" xr3:uid="{740BCD78-7580-476C-826E-0F38C0B55D11}" name="Active power TX2-INV-5" dataDxfId="98"/>
    <tableColumn id="24" xr3:uid="{4EE49276-B6C8-468E-B5CC-4D59DEA524DC}" name="Active power TX2-INV-6" dataDxfId="97"/>
    <tableColumn id="25" xr3:uid="{FD1B0CF6-522C-4A77-B5CD-9A67AB91FE4A}" name="Active power TX2-INV-7" dataDxfId="96"/>
    <tableColumn id="26" xr3:uid="{8F11CA20-6ABD-447C-9B18-A94C689A90B2}" name="Active power TX2-INV-8" dataDxfId="95"/>
    <tableColumn id="27" xr3:uid="{A68C757F-CA3F-48C6-BF12-D68E941A92AD}" name="Active power TX2-INV-9" dataDxfId="94"/>
    <tableColumn id="28" xr3:uid="{2F6AD942-477E-4329-93FF-EC2E0B990502}" name="Active power TX2-INV-10" dataDxfId="93"/>
    <tableColumn id="29" xr3:uid="{D2976F3A-1B2D-4BC7-8E9E-BC637FBAE4F9}" name="Active power TX2-INV-11" dataDxfId="92"/>
    <tableColumn id="30" xr3:uid="{35AD7082-5985-44A0-A0BB-AD15C0AACC6D}" name="Active power TX2-INV-12" dataDxfId="91"/>
    <tableColumn id="31" xr3:uid="{D4589276-F108-4EAF-8456-75614278F6ED}" name="TX2 - Average Power" dataDxfId="90">
      <calculatedColumnFormula>IFERROR(AVERAGEIF(Tabella01MarzoInverter[[#This Row],[Active power TX2-INV-1]:[Active power TX2-INV-12]], "&gt;0"), 0)</calculatedColumnFormula>
    </tableColumn>
    <tableColumn id="32" xr3:uid="{5BC3C443-38E6-4084-A930-C9C7BD345EA6}" name="TX2 - Max Power" dataDxfId="89"/>
    <tableColumn id="33" xr3:uid="{A33A1C68-CA06-4835-91C1-3ADED2414715}" name="TX2 - Min Power" dataDxfId="88"/>
    <tableColumn id="35" xr3:uid="{6C03262A-E9D4-4A16-A516-2436720D7ADB}" name="Active power TX3-INV-1" dataDxfId="87"/>
    <tableColumn id="36" xr3:uid="{98C872A4-3FFB-4D6C-9CA5-304C124189CB}" name="Active power TX3-INV-2" dataDxfId="86"/>
    <tableColumn id="37" xr3:uid="{DC9B667C-F143-4DE2-98BC-B39F8033225C}" name="Active power TX3-INV-3" dataDxfId="85"/>
    <tableColumn id="38" xr3:uid="{5DD6D03B-CCB0-4BA2-BF42-652F66D8A03D}" name="Active power TX3-INV-4" dataDxfId="84"/>
    <tableColumn id="39" xr3:uid="{62B94E04-F426-4C8E-8125-BBC1F413A333}" name="Active power TX3-INV-5" dataDxfId="83"/>
    <tableColumn id="40" xr3:uid="{E66C16AA-166D-4704-87E8-5398419C99F2}" name="Active power TX3-INV-6" dataDxfId="82"/>
    <tableColumn id="41" xr3:uid="{D7DAF97E-0FF8-4C93-880D-6ECBD2392AF1}" name="Active power TX3-INV-7" dataDxfId="81"/>
    <tableColumn id="42" xr3:uid="{59070A16-C871-467B-BC52-BFBC634C7D22}" name="Active power TX3-INV-8" dataDxfId="80"/>
    <tableColumn id="43" xr3:uid="{1997E355-D009-49EE-95E8-4C68E2F2BD15}" name="Active power TX3-INV-9" dataDxfId="79"/>
    <tableColumn id="44" xr3:uid="{4467112F-4839-4A09-8929-38C41324118C}" name="Active power TX3-INV-10" dataDxfId="78"/>
    <tableColumn id="45" xr3:uid="{11B502E7-5A56-46DB-8C6E-B187FF839B4D}" name="Active power TX3-INV-11" dataDxfId="77"/>
    <tableColumn id="46" xr3:uid="{47B0D487-B6D1-4154-8967-A70479C36326}" name="Active power TX3-INV-12" dataDxfId="76"/>
    <tableColumn id="47" xr3:uid="{FECAE9B9-4FE0-46DE-9730-9DCFC2165A59}" name="TX3 - Average Power" dataDxfId="75">
      <calculatedColumnFormula>IFERROR(AVERAGEIF(Tabella01MarzoInverter[[#This Row],[Active power TX3-INV-1]:[Active power TX3-INV-12]], "&gt;0"), 0)</calculatedColumnFormula>
    </tableColumn>
    <tableColumn id="48" xr3:uid="{3548DA42-668A-42B4-B480-BD9D458B3A08}" name="TX3 - Max Power" dataDxfId="74"/>
    <tableColumn id="49" xr3:uid="{273EA0BB-5BDC-4A06-868E-1293ADE07951}" name="TX3 - Min Power" dataDxfId="7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D27B-7C21-4D96-8500-5372892ABFE2}">
  <dimension ref="A1:DY115"/>
  <sheetViews>
    <sheetView tabSelected="1" topLeftCell="Z79" zoomScale="85" zoomScaleNormal="85" workbookViewId="0">
      <selection activeCell="AF100" sqref="AF100"/>
    </sheetView>
  </sheetViews>
  <sheetFormatPr defaultColWidth="13" defaultRowHeight="15" x14ac:dyDescent="0.25"/>
  <cols>
    <col min="2" max="2" width="14.28515625" bestFit="1" customWidth="1"/>
    <col min="3" max="3" width="14.28515625" customWidth="1"/>
    <col min="4" max="5" width="13.5703125" customWidth="1"/>
    <col min="6" max="6" width="15.42578125" customWidth="1"/>
    <col min="7" max="7" width="11.5703125" customWidth="1"/>
    <col min="8" max="8" width="15.28515625" customWidth="1"/>
    <col min="9" max="9" width="13.7109375" customWidth="1"/>
    <col min="10" max="10" width="10.42578125" customWidth="1"/>
    <col min="11" max="11" width="14.42578125" customWidth="1"/>
    <col min="12" max="12" width="13.7109375" customWidth="1"/>
    <col min="13" max="14" width="17.7109375" customWidth="1"/>
    <col min="15" max="29" width="12.140625" customWidth="1"/>
    <col min="30" max="30" width="12.140625" style="20" customWidth="1"/>
    <col min="31" max="42" width="12.140625" customWidth="1"/>
    <col min="43" max="45" width="12.140625" hidden="1" customWidth="1"/>
    <col min="46" max="58" width="12.140625" customWidth="1"/>
    <col min="59" max="61" width="12.140625" hidden="1" customWidth="1"/>
    <col min="62" max="62" width="12.140625" customWidth="1"/>
    <col min="64" max="64" width="14.85546875" customWidth="1"/>
    <col min="65" max="65" width="14" customWidth="1"/>
    <col min="66" max="67" width="13" customWidth="1"/>
    <col min="68" max="68" width="16.7109375" customWidth="1"/>
    <col min="74" max="74" width="16.5703125" customWidth="1"/>
  </cols>
  <sheetData>
    <row r="1" spans="1:129" ht="19.5" thickBot="1" x14ac:dyDescent="0.3">
      <c r="A1" s="93" t="s">
        <v>259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</row>
    <row r="2" spans="1:129" ht="19.5" thickBot="1" x14ac:dyDescent="0.3">
      <c r="A2" s="94" t="s">
        <v>260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S2" s="74" t="s">
        <v>262</v>
      </c>
      <c r="BT2" s="75"/>
      <c r="BU2" s="75"/>
      <c r="BV2" s="75"/>
      <c r="BW2" s="76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</row>
    <row r="3" spans="1:129" s="3" customFormat="1" x14ac:dyDescent="0.25">
      <c r="A3" s="80" t="s">
        <v>111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2"/>
      <c r="BJ3" s="2"/>
      <c r="BK3" s="2"/>
      <c r="BL3" s="2"/>
      <c r="BM3" s="2"/>
      <c r="BN3" s="95">
        <f>COUNT(TabellaMar2026[[#All],[Colonna1]])</f>
        <v>96</v>
      </c>
      <c r="BO3" s="96"/>
      <c r="BP3" s="97"/>
      <c r="BS3" s="81" t="s">
        <v>251</v>
      </c>
      <c r="BT3" s="82"/>
      <c r="BU3" s="82"/>
      <c r="BV3" s="83"/>
      <c r="BW3" s="58">
        <f>+BN3</f>
        <v>96</v>
      </c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</row>
    <row r="4" spans="1:129" s="3" customFormat="1" x14ac:dyDescent="0.25">
      <c r="A4" s="80" t="s">
        <v>0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1"/>
      <c r="BJ4" s="1"/>
      <c r="BK4" s="1"/>
      <c r="BL4" s="1"/>
      <c r="BM4" s="1"/>
      <c r="BN4" s="87">
        <v>0.89700000000000002</v>
      </c>
      <c r="BO4" s="87"/>
      <c r="BP4" s="87"/>
      <c r="BS4" s="77" t="s">
        <v>252</v>
      </c>
      <c r="BT4" s="78"/>
      <c r="BU4" s="78"/>
      <c r="BV4" s="79"/>
      <c r="BW4" s="62">
        <f>COUNTIF(H15:H110,"&gt;0")</f>
        <v>48</v>
      </c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</row>
    <row r="5" spans="1:129" s="3" customFormat="1" x14ac:dyDescent="0.25">
      <c r="A5" s="80" t="s">
        <v>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1"/>
      <c r="BJ5" s="1"/>
      <c r="BK5" s="1"/>
      <c r="BL5" s="1"/>
      <c r="BM5" s="1"/>
      <c r="BN5" s="92">
        <f>((SUM(Tabella01MarzoInverter[[Active power TX1-INV-1]:[Active power TX1-INV-12]],
   Tabella01MarzoInverter[[Active power TX2-INV-1]:[Active power TX2-INV-12]],
   Tabella01MarzoInverter[[Active power TX3-INV-1]:[Active power TX3-INV-12]]) * 0.25)
 +
SUM(AD$15:AD$110, AT$15:AT$110, BJ$15:BJ$110) ) / (12625 * (SUM($H$15:$H$110) * 0.25 / 1000))</f>
        <v>0.87094973888310201</v>
      </c>
      <c r="BO5" s="92"/>
      <c r="BP5" s="87"/>
      <c r="BS5" s="77" t="s">
        <v>0</v>
      </c>
      <c r="BT5" s="78"/>
      <c r="BU5" s="78"/>
      <c r="BV5" s="79"/>
      <c r="BW5" s="63">
        <f>+BN4*100</f>
        <v>89.7</v>
      </c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</row>
    <row r="6" spans="1:129" s="3" customFormat="1" x14ac:dyDescent="0.25">
      <c r="A6" s="80" t="s">
        <v>2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1"/>
      <c r="BJ6" s="1"/>
      <c r="BK6" s="1"/>
      <c r="BL6" s="1"/>
      <c r="BM6" s="1"/>
      <c r="BN6" s="87">
        <v>0.03</v>
      </c>
      <c r="BO6" s="87"/>
      <c r="BP6" s="87"/>
      <c r="BS6" s="77" t="s">
        <v>250</v>
      </c>
      <c r="BT6" s="78"/>
      <c r="BU6" s="78"/>
      <c r="BV6" s="79"/>
      <c r="BW6" s="61">
        <f>+BN5*100</f>
        <v>87.094973888310207</v>
      </c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</row>
    <row r="7" spans="1:129" s="3" customFormat="1" x14ac:dyDescent="0.25">
      <c r="A7" s="80" t="s">
        <v>247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1"/>
      <c r="BJ7" s="1"/>
      <c r="BK7" s="1"/>
      <c r="BL7" s="1"/>
      <c r="BM7" s="1"/>
      <c r="BN7" s="87">
        <v>50</v>
      </c>
      <c r="BO7" s="87"/>
      <c r="BP7" s="87"/>
      <c r="BS7" s="77" t="s">
        <v>249</v>
      </c>
      <c r="BT7" s="78"/>
      <c r="BU7" s="78"/>
      <c r="BV7" s="79"/>
      <c r="BW7" s="61">
        <f>AVERAGE(TabellaMar2026[[#Totals],[Colonna24]:[Colonna20]],TabellaMar2026[[#Totals],[Colonna39]:[Colonna6]],TabellaMar2026[[#Totals],[Colonna54]:[Colonna53]])*100</f>
        <v>87.142780541552341</v>
      </c>
    </row>
    <row r="8" spans="1:129" s="3" customFormat="1" ht="15.75" x14ac:dyDescent="0.25">
      <c r="A8" s="88" t="s">
        <v>261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90"/>
      <c r="BS8" s="77" t="s">
        <v>254</v>
      </c>
      <c r="BT8" s="78"/>
      <c r="BU8" s="78"/>
      <c r="BV8" s="79"/>
      <c r="BW8" s="64">
        <v>87.094973888310207</v>
      </c>
    </row>
    <row r="9" spans="1:129" s="3" customFormat="1" x14ac:dyDescent="0.25">
      <c r="A9" s="91" t="s">
        <v>237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9"/>
      <c r="N9" s="73"/>
      <c r="O9" s="55" t="s">
        <v>163</v>
      </c>
      <c r="P9" s="55" t="s">
        <v>164</v>
      </c>
      <c r="Q9" s="55" t="s">
        <v>165</v>
      </c>
      <c r="R9" s="55" t="s">
        <v>166</v>
      </c>
      <c r="S9" s="55" t="s">
        <v>167</v>
      </c>
      <c r="T9" s="55" t="s">
        <v>168</v>
      </c>
      <c r="U9" s="55" t="s">
        <v>169</v>
      </c>
      <c r="V9" s="55" t="s">
        <v>170</v>
      </c>
      <c r="W9" s="55" t="s">
        <v>171</v>
      </c>
      <c r="X9" s="55" t="s">
        <v>172</v>
      </c>
      <c r="Y9" s="55" t="s">
        <v>173</v>
      </c>
      <c r="Z9" s="55" t="s">
        <v>174</v>
      </c>
      <c r="AA9" s="56"/>
      <c r="AB9" s="56"/>
      <c r="AC9" s="56"/>
      <c r="AD9" s="56"/>
      <c r="AE9" s="55" t="s">
        <v>176</v>
      </c>
      <c r="AF9" s="55" t="s">
        <v>177</v>
      </c>
      <c r="AG9" s="55" t="s">
        <v>178</v>
      </c>
      <c r="AH9" s="55" t="s">
        <v>179</v>
      </c>
      <c r="AI9" s="55" t="s">
        <v>180</v>
      </c>
      <c r="AJ9" s="55" t="s">
        <v>181</v>
      </c>
      <c r="AK9" s="55" t="s">
        <v>182</v>
      </c>
      <c r="AL9" s="55" t="s">
        <v>183</v>
      </c>
      <c r="AM9" s="55" t="s">
        <v>184</v>
      </c>
      <c r="AN9" s="55" t="s">
        <v>185</v>
      </c>
      <c r="AO9" s="55" t="s">
        <v>186</v>
      </c>
      <c r="AP9" s="55" t="s">
        <v>187</v>
      </c>
      <c r="AQ9" s="56"/>
      <c r="AR9" s="56"/>
      <c r="AS9" s="56"/>
      <c r="AT9" s="56"/>
      <c r="AU9" s="55" t="s">
        <v>189</v>
      </c>
      <c r="AV9" s="55" t="s">
        <v>190</v>
      </c>
      <c r="AW9" s="55" t="s">
        <v>191</v>
      </c>
      <c r="AX9" s="55" t="s">
        <v>192</v>
      </c>
      <c r="AY9" s="55" t="s">
        <v>193</v>
      </c>
      <c r="AZ9" s="55" t="s">
        <v>194</v>
      </c>
      <c r="BA9" s="55" t="s">
        <v>195</v>
      </c>
      <c r="BB9" s="55" t="s">
        <v>196</v>
      </c>
      <c r="BC9" s="55" t="s">
        <v>197</v>
      </c>
      <c r="BD9" s="55" t="s">
        <v>198</v>
      </c>
      <c r="BE9" s="55" t="s">
        <v>199</v>
      </c>
      <c r="BF9" s="55" t="s">
        <v>200</v>
      </c>
      <c r="BG9" s="33"/>
      <c r="BH9" s="33"/>
      <c r="BI9" s="33"/>
      <c r="BJ9" s="33"/>
      <c r="BK9" s="33"/>
      <c r="BL9" s="33"/>
      <c r="BM9" s="33"/>
      <c r="BN9" s="33"/>
      <c r="BO9" s="33"/>
      <c r="BP9" s="33"/>
      <c r="BS9" s="77" t="s">
        <v>253</v>
      </c>
      <c r="BT9" s="78"/>
      <c r="BU9" s="78"/>
      <c r="BV9" s="79"/>
      <c r="BW9" s="59">
        <f>+BN6*100</f>
        <v>3</v>
      </c>
    </row>
    <row r="10" spans="1:129" s="3" customFormat="1" ht="15.75" thickBot="1" x14ac:dyDescent="0.3">
      <c r="A10" s="91" t="s">
        <v>238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9"/>
      <c r="N10" s="73"/>
      <c r="O10" s="33">
        <v>343.75</v>
      </c>
      <c r="P10" s="33">
        <v>343.75</v>
      </c>
      <c r="Q10" s="33">
        <v>343.75</v>
      </c>
      <c r="R10" s="33">
        <v>343.75</v>
      </c>
      <c r="S10" s="33">
        <v>343.75</v>
      </c>
      <c r="T10" s="33">
        <v>343.75</v>
      </c>
      <c r="U10" s="33">
        <v>343.75</v>
      </c>
      <c r="V10" s="33">
        <v>359.375</v>
      </c>
      <c r="W10" s="33">
        <v>359.375</v>
      </c>
      <c r="X10" s="33">
        <v>359.375</v>
      </c>
      <c r="Y10" s="33">
        <v>359.375</v>
      </c>
      <c r="Z10" s="33">
        <v>343.75</v>
      </c>
      <c r="AE10" s="33">
        <v>328.125</v>
      </c>
      <c r="AF10" s="33">
        <v>343.75</v>
      </c>
      <c r="AG10" s="33">
        <v>343.75</v>
      </c>
      <c r="AH10" s="33">
        <v>328.125</v>
      </c>
      <c r="AI10" s="33">
        <v>328.125</v>
      </c>
      <c r="AJ10" s="33">
        <v>359.375</v>
      </c>
      <c r="AK10" s="33">
        <v>343.75</v>
      </c>
      <c r="AL10" s="33">
        <v>359.375</v>
      </c>
      <c r="AM10" s="33">
        <v>359.375</v>
      </c>
      <c r="AN10" s="33">
        <v>343.75</v>
      </c>
      <c r="AO10" s="33">
        <v>359.375</v>
      </c>
      <c r="AP10" s="33">
        <v>359.375</v>
      </c>
      <c r="AU10" s="33">
        <v>359.375</v>
      </c>
      <c r="AV10" s="33">
        <v>359.375</v>
      </c>
      <c r="AW10" s="33">
        <v>359.375</v>
      </c>
      <c r="AX10" s="33">
        <v>359.375</v>
      </c>
      <c r="AY10" s="33">
        <v>359.375</v>
      </c>
      <c r="AZ10" s="33">
        <v>359.375</v>
      </c>
      <c r="BA10" s="33">
        <v>359.375</v>
      </c>
      <c r="BB10" s="33">
        <v>359.375</v>
      </c>
      <c r="BC10" s="33">
        <v>359.375</v>
      </c>
      <c r="BD10" s="33">
        <v>359.375</v>
      </c>
      <c r="BE10" s="33">
        <v>359.375</v>
      </c>
      <c r="BF10" s="33">
        <v>328.125</v>
      </c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S10" s="84" t="s">
        <v>257</v>
      </c>
      <c r="BT10" s="85"/>
      <c r="BU10" s="85"/>
      <c r="BV10" s="86"/>
      <c r="BW10" s="60">
        <f>+BN7</f>
        <v>50</v>
      </c>
    </row>
    <row r="11" spans="1:129" s="3" customFormat="1" x14ac:dyDescent="0.25">
      <c r="A11" s="91" t="s">
        <v>239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9"/>
      <c r="N11" s="73"/>
      <c r="O11" s="33">
        <v>320</v>
      </c>
      <c r="P11" s="33">
        <v>320</v>
      </c>
      <c r="Q11" s="33">
        <v>320</v>
      </c>
      <c r="R11" s="33">
        <v>320</v>
      </c>
      <c r="S11" s="33">
        <v>320</v>
      </c>
      <c r="T11" s="33">
        <v>320</v>
      </c>
      <c r="U11" s="33">
        <v>320</v>
      </c>
      <c r="V11" s="33">
        <v>320</v>
      </c>
      <c r="W11" s="33">
        <v>320</v>
      </c>
      <c r="X11" s="33">
        <v>320</v>
      </c>
      <c r="Y11" s="33">
        <v>320</v>
      </c>
      <c r="Z11" s="33">
        <v>320</v>
      </c>
      <c r="AE11" s="33">
        <v>320</v>
      </c>
      <c r="AF11" s="33">
        <v>320</v>
      </c>
      <c r="AG11" s="33">
        <v>320</v>
      </c>
      <c r="AH11" s="33">
        <v>320</v>
      </c>
      <c r="AI11" s="33">
        <v>320</v>
      </c>
      <c r="AJ11" s="33">
        <v>320</v>
      </c>
      <c r="AK11" s="33">
        <v>320</v>
      </c>
      <c r="AL11" s="33">
        <v>320</v>
      </c>
      <c r="AM11" s="33">
        <v>320</v>
      </c>
      <c r="AN11" s="33">
        <v>320</v>
      </c>
      <c r="AO11" s="33">
        <v>320</v>
      </c>
      <c r="AP11" s="33">
        <v>320</v>
      </c>
      <c r="AU11" s="33">
        <v>320</v>
      </c>
      <c r="AV11" s="33">
        <v>320</v>
      </c>
      <c r="AW11" s="33">
        <v>320</v>
      </c>
      <c r="AX11" s="33">
        <v>320</v>
      </c>
      <c r="AY11" s="33">
        <v>320</v>
      </c>
      <c r="AZ11" s="33">
        <v>320</v>
      </c>
      <c r="BA11" s="33">
        <v>320</v>
      </c>
      <c r="BB11" s="33">
        <v>320</v>
      </c>
      <c r="BC11" s="33">
        <v>320</v>
      </c>
      <c r="BD11" s="33">
        <v>320</v>
      </c>
      <c r="BE11" s="33">
        <v>320</v>
      </c>
      <c r="BF11" s="33">
        <v>320</v>
      </c>
      <c r="BG11" s="33"/>
      <c r="BH11" s="33"/>
      <c r="BI11" s="33"/>
      <c r="BJ11" s="33"/>
      <c r="BK11" s="33"/>
      <c r="BL11" s="33"/>
      <c r="BM11" s="33"/>
      <c r="BN11" s="33"/>
      <c r="BO11" s="33"/>
      <c r="BP11" s="33"/>
    </row>
    <row r="12" spans="1:129" s="3" customForma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20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</row>
    <row r="13" spans="1:129" s="3" customFormat="1" ht="15.75" thickBo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20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</row>
    <row r="14" spans="1:129" s="3" customFormat="1" ht="75" x14ac:dyDescent="0.25">
      <c r="A14" s="16" t="s">
        <v>13</v>
      </c>
      <c r="B14" s="16" t="s">
        <v>14</v>
      </c>
      <c r="C14" s="4" t="s">
        <v>255</v>
      </c>
      <c r="D14" s="4" t="s">
        <v>256</v>
      </c>
      <c r="E14" s="4" t="s">
        <v>157</v>
      </c>
      <c r="F14" s="4" t="s">
        <v>3</v>
      </c>
      <c r="G14" s="4" t="s">
        <v>4</v>
      </c>
      <c r="H14" s="4" t="s">
        <v>248</v>
      </c>
      <c r="I14" s="4" t="s">
        <v>5</v>
      </c>
      <c r="J14" s="4" t="s">
        <v>6</v>
      </c>
      <c r="K14" s="4" t="s">
        <v>7</v>
      </c>
      <c r="L14" s="4" t="s">
        <v>8</v>
      </c>
      <c r="M14" s="4" t="s">
        <v>9</v>
      </c>
      <c r="N14" s="17" t="s">
        <v>258</v>
      </c>
      <c r="O14" s="4" t="s">
        <v>201</v>
      </c>
      <c r="P14" s="4" t="s">
        <v>202</v>
      </c>
      <c r="Q14" s="4" t="s">
        <v>203</v>
      </c>
      <c r="R14" s="4" t="s">
        <v>204</v>
      </c>
      <c r="S14" s="4" t="s">
        <v>205</v>
      </c>
      <c r="T14" s="4" t="s">
        <v>206</v>
      </c>
      <c r="U14" s="4" t="s">
        <v>207</v>
      </c>
      <c r="V14" s="4" t="s">
        <v>208</v>
      </c>
      <c r="W14" s="4" t="s">
        <v>209</v>
      </c>
      <c r="X14" s="4" t="s">
        <v>210</v>
      </c>
      <c r="Y14" s="4" t="s">
        <v>211</v>
      </c>
      <c r="Z14" s="4" t="s">
        <v>212</v>
      </c>
      <c r="AA14" s="4" t="s">
        <v>263</v>
      </c>
      <c r="AB14" s="4" t="s">
        <v>213</v>
      </c>
      <c r="AC14" s="4" t="s">
        <v>214</v>
      </c>
      <c r="AD14" s="4" t="s">
        <v>243</v>
      </c>
      <c r="AE14" s="41" t="s">
        <v>213</v>
      </c>
      <c r="AF14" s="4" t="s">
        <v>214</v>
      </c>
      <c r="AG14" s="4" t="s">
        <v>215</v>
      </c>
      <c r="AH14" s="4" t="s">
        <v>216</v>
      </c>
      <c r="AI14" s="4" t="s">
        <v>217</v>
      </c>
      <c r="AJ14" s="4" t="s">
        <v>218</v>
      </c>
      <c r="AK14" s="4" t="s">
        <v>219</v>
      </c>
      <c r="AL14" s="4" t="s">
        <v>220</v>
      </c>
      <c r="AM14" s="4" t="s">
        <v>221</v>
      </c>
      <c r="AN14" s="4" t="s">
        <v>222</v>
      </c>
      <c r="AO14" s="4" t="s">
        <v>223</v>
      </c>
      <c r="AP14" s="4" t="s">
        <v>224</v>
      </c>
      <c r="AQ14" s="4" t="s">
        <v>139</v>
      </c>
      <c r="AR14" s="4" t="s">
        <v>140</v>
      </c>
      <c r="AS14" s="40" t="s">
        <v>142</v>
      </c>
      <c r="AT14" s="43" t="s">
        <v>241</v>
      </c>
      <c r="AU14" s="41" t="s">
        <v>225</v>
      </c>
      <c r="AV14" s="4" t="s">
        <v>226</v>
      </c>
      <c r="AW14" s="4" t="s">
        <v>227</v>
      </c>
      <c r="AX14" s="4" t="s">
        <v>228</v>
      </c>
      <c r="AY14" s="4" t="s">
        <v>229</v>
      </c>
      <c r="AZ14" s="4" t="s">
        <v>230</v>
      </c>
      <c r="BA14" s="4" t="s">
        <v>231</v>
      </c>
      <c r="BB14" s="4" t="s">
        <v>232</v>
      </c>
      <c r="BC14" s="4" t="s">
        <v>233</v>
      </c>
      <c r="BD14" s="4" t="s">
        <v>234</v>
      </c>
      <c r="BE14" s="4" t="s">
        <v>235</v>
      </c>
      <c r="BF14" s="4" t="s">
        <v>236</v>
      </c>
      <c r="BG14" s="4" t="s">
        <v>155</v>
      </c>
      <c r="BH14" s="4" t="s">
        <v>156</v>
      </c>
      <c r="BI14" s="40" t="s">
        <v>141</v>
      </c>
      <c r="BJ14" s="52" t="s">
        <v>242</v>
      </c>
      <c r="BK14" s="50" t="s">
        <v>244</v>
      </c>
      <c r="BL14" s="17" t="s">
        <v>245</v>
      </c>
      <c r="BM14" s="17" t="s">
        <v>246</v>
      </c>
      <c r="BN14" s="17" t="s">
        <v>10</v>
      </c>
      <c r="BO14" s="17" t="s">
        <v>11</v>
      </c>
      <c r="BP14" s="17" t="s">
        <v>12</v>
      </c>
    </row>
    <row r="15" spans="1:129" s="3" customFormat="1" x14ac:dyDescent="0.25">
      <c r="A15" s="18">
        <v>46147</v>
      </c>
      <c r="B15" t="s">
        <v>15</v>
      </c>
      <c r="C15" s="5">
        <v>-1</v>
      </c>
      <c r="D15" s="6">
        <v>-2.5000000000000001E-4</v>
      </c>
      <c r="E15" s="6">
        <v>0</v>
      </c>
      <c r="F15" s="6">
        <v>0</v>
      </c>
      <c r="G15" s="6">
        <f>IFERROR((D15+F15)/2, 0)</f>
        <v>-1.25E-4</v>
      </c>
      <c r="H15" s="7">
        <f>IFERROR(IF(AVERAGE(C15,E15)&gt;$BN$7,AVERAGE(C15,E15),0), 0)</f>
        <v>0</v>
      </c>
      <c r="I15" s="7">
        <f>IFERROR(IF(AND(D15=0,F15=0),0,IF(H15&gt;$BN$6,MAX(D15,F15),G15)), 0)</f>
        <v>-1.25E-4</v>
      </c>
      <c r="J15" s="6">
        <f>IFERROR(IF(AND(D15&gt;0,F15&gt;0),ABS(D15-F15)/AVERAGE(D15,F15),0), 0)</f>
        <v>0</v>
      </c>
      <c r="K15" s="6">
        <v>30386.2</v>
      </c>
      <c r="L15" s="6">
        <v>30386.2</v>
      </c>
      <c r="M15" s="8">
        <f>IFERROR((L15-K15)*1000, 0)</f>
        <v>0</v>
      </c>
      <c r="N15" s="6">
        <v>0.87599999999999989</v>
      </c>
      <c r="O15" s="8" cm="1">
        <f t="array" ref="O15">IF(
    AND($H15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($H15 / 1000) * O$10 * $BN$4 * 0.25
    ),
    0
)
+
IF(
    $N15 &lt; 0.875,
    MAX(0, MIN(($H15 / 1000) * O$10 * $BN$4, O$11 * 0.876) - (O$11 * $N15)) * 0.25,
    0
)</f>
        <v>0</v>
      </c>
      <c r="P15" s="8" cm="1">
        <f t="array" ref="P15">IF(
    AND($H15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($H15 / 1000) * P$10 * $BN$4 * 0.25
    ),
    0
)
+
IF(
    $N15 &lt; 0.875,
    MAX(0, MIN(($H15 / 1000) * P$10 * $BN$4, P$11 * 0.876) - (P$11 * $N15)) * 0.25,
    0
)</f>
        <v>0</v>
      </c>
      <c r="Q15" s="8" cm="1">
        <f t="array" ref="Q15">IF(
    AND($H15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($H15 / 1000) * Q$10 * $BN$4 * 0.25
    ),
    0
)
+
IF(
    $N15 &lt; 0.875,
    MAX(0, MIN(($H15 / 1000) * Q$10 * $BN$4, Q$11 * 0.876) - (Q$11 * $N15)) * 0.25,
    0
)</f>
        <v>0</v>
      </c>
      <c r="R15" s="8" cm="1">
        <f t="array" ref="R15">IF(
    AND($H15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($H15 / 1000) * R$10 * $BN$4 * 0.25
    ),
    0
)
+
IF(
    $N15 &lt; 0.875,
    MAX(0, MIN(($H15 / 1000) * R$10 * $BN$4, R$11 * 0.876) - (R$11 * $N15)) * 0.25,
    0
)</f>
        <v>0</v>
      </c>
      <c r="S15" s="8" cm="1">
        <f t="array" ref="S15">IF(
    AND($H15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($H15 / 1000) * S$10 * $BN$4 * 0.25
    ),
    0
)
+
IF(
    $N15 &lt; 0.875,
    MAX(0, MIN(($H15 / 1000) * S$10 * $BN$4, S$11 * 0.876) - (S$11 * $N15)) * 0.25,
    0
)</f>
        <v>0</v>
      </c>
      <c r="T15" s="8" cm="1">
        <f t="array" ref="T15">IF(
    AND($H15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($H15 / 1000) * T$10 * $BN$4 * 0.25
    ),
    0
)
+
IF(
    $N15 &lt; 0.875,
    MAX(0, MIN(($H15 / 1000) * T$10 * $BN$4, T$11 * 0.876) - (T$11 * $N15)) * 0.25,
    0
)</f>
        <v>0</v>
      </c>
      <c r="U15" s="8" cm="1">
        <f t="array" ref="U15">IF(
    AND($H15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($H15 / 1000) * U$10 * $BN$4 * 0.25
    ),
    0
)
+
IF(
    $N15 &lt; 0.875,
    MAX(0, MIN(($H15 / 1000) * U$10 * $BN$4, U$11 * 0.876) - (U$11 * $N15)) * 0.25,
    0
)</f>
        <v>0</v>
      </c>
      <c r="V15" s="8" cm="1">
        <f t="array" ref="V15">IF(
    AND($H15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($H15 / 1000) * V$10 * $BN$4 * 0.25
    ),
    0
)
+
IF(
    $N15 &lt; 0.875,
    MAX(0, MIN(($H15 / 1000) * V$10 * $BN$4, V$11 * 0.876) - (V$11 * $N15)) * 0.25,
    0
)</f>
        <v>0</v>
      </c>
      <c r="W15" s="8" cm="1">
        <f t="array" ref="W15">IF(
    AND($H15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($H15 / 1000) * W$10 * $BN$4 * 0.25
    ),
    0
)
+
IF(
    $N15 &lt; 0.875,
    MAX(0, MIN(($H15 / 1000) * W$10 * $BN$4, W$11 * 0.876) - (W$11 * $N15)) * 0.25,
    0
)</f>
        <v>0</v>
      </c>
      <c r="X15" s="8" cm="1">
        <f t="array" ref="X15">IF(
    AND($H15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($H15 / 1000) * X$10 * $BN$4 * 0.25
    ),
    0
)
+
IF(
    $N15 &lt; 0.875,
    MAX(0, MIN(($H15 / 1000) * X$10 * $BN$4, X$11 * 0.876) - (X$11 * $N15)) * 0.25,
    0
)</f>
        <v>0</v>
      </c>
      <c r="Y15" s="8" cm="1">
        <f t="array" ref="Y15">IF(
    AND($H15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($H15 / 1000) * Y$10 * $BN$4 * 0.25
    ),
    0
)
+
IF(
    $N15 &lt; 0.875,
    MAX(0, MIN(($H15 / 1000) * Y$10 * $BN$4, Y$11 * 0.876) - (Y$11 * $N15)) * 0.25,
    0
)</f>
        <v>0</v>
      </c>
      <c r="Z15" s="8" cm="1">
        <f t="array" ref="Z15">IF(
    AND($H15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($H15 / 1000) * Z$10 * $BN$4 * 0.25
    ),
    0
)
+
IF(
    $N15 &lt; 0.875,
    MAX(0, MIN(($H15 / 1000) * Z$10 * $BN$4, Z$11 * 0.876) - (Z$11 * $N15)) * 0.25,
    0
)</f>
        <v>0</v>
      </c>
      <c r="AA15" s="8" cm="1">
        <f t="array" ref="AA15">IF(
    AND($H15 &gt; $BN$7, Tabella01MarzoInverter[[#This Row],[TX1 - Average Power]] &lt;= 0),
    IF(
        Tabella01MarzoInverter[[#This Row],[TX1 - Average Power]:[TX1 - Average Power]] &gt; 0,
        Tabella01MarzoInverter[[#This Row],[TX1 - Average Power]:[TX1 - Average Power]] * 0.25,
        ($H15 / 1000) * AA$10 * $BN$4 * 0.25
    ),
    0
)
+
IF(
    $N15 &lt; 0.875,
    MAX(0, MIN(($H15 / 1000) * AA$10 * $BN$4, AA$11 * 0.876) - (AA$11 * $N15)) * 0.25,
    0
)</f>
        <v>0</v>
      </c>
      <c r="AB15" s="8" cm="1">
        <f t="array" ref="AB15">IF(
    AND($H15 &gt; $BN$7, Tabella01MarzoInverter[[#This Row],[TX1 - Max Power]] &lt;= 0),
    IF(
        Tabella01MarzoInverter[[#This Row],[TX1 - Average Power]:[TX1 - Average Power]] &gt; 0,
        Tabella01MarzoInverter[[#This Row],[TX1 - Average Power]:[TX1 - Average Power]] * 0.25,
        ($H15 / 1000) * AB$10 * $BN$4 * 0.25
    ),
    0
)
+
IF(
    $N15 &lt; 0.875,
    MAX(0, MIN(($H15 / 1000) * AB$10 * $BN$4, AB$11 * 0.876) - (AB$11 * $N15)) * 0.25,
    0
)</f>
        <v>0</v>
      </c>
      <c r="AC15" s="8" cm="1">
        <f t="array" ref="AC15">IF(
    AND($H15 &gt; $BN$7, Tabella01MarzoInverter[[#This Row],[TX1 - Min Power]] &lt;= 0),
    IF(
        Tabella01MarzoInverter[[#This Row],[TX1 - Average Power]:[TX1 - Average Power]] &gt; 0,
        Tabella01MarzoInverter[[#This Row],[TX1 - Average Power]:[TX1 - Average Power]] * 0.25,
        ($H15 / 1000) * AC$10 * $BN$4 * 0.25
    ),
    0
)
+
IF(
    $N15 &lt; 0.875,
    MAX(0, MIN(($H15 / 1000) * AC$10 * $BN$4, AC$11 * 0.876) - (AC$11 * $N15)) * 0.25,
    0
)</f>
        <v>0</v>
      </c>
      <c r="AD15" s="44">
        <f>SUM(TabellaMar2026[[#This Row],[Colonna24]:[Colonna20]])</f>
        <v>0</v>
      </c>
      <c r="AE15" s="36">
        <f>IF(
    AND($H15 &gt; $BN$7, Tabella01MarzoInverter[[#This Row],[Active power TX2-INV-1]] &lt;= 0, Tabella01MarzoInverter[[#This Row],[TX2 - Average Power]] &lt;= 0),
    MIN(($H15 / 1000) * AE$10 * $BN$4, AE$11 * 0.876) * 0.25,
    IF(
        AND($H15 &gt; $BN$7, Tabella01MarzoInverter[[#This Row],[Active power TX2-INV-1]] &lt;= 0),
        Tabella01MarzoInverter[[#This Row],[TX2 - Average Power]] * 0.25,
        0
    )
    +
    IF(
        $N15 &lt; 0.875,
        MAX(0, MIN(($H15 / 1000) * AE$10 * $BN$4, AE$11 * 0.876) - (AE$11 * $N15)) * 0.25,
        0
    )
)</f>
        <v>0</v>
      </c>
      <c r="AF15" s="36">
        <f>IF(
    AND($H15 &gt; $BN$7, Tabella01MarzoInverter[[#This Row],[Active power TX2-INV-2]] &lt;= 0, Tabella01MarzoInverter[[#This Row],[TX2 - Max Power]] &lt;= 0),
    MIN(($H15 / 1000) * AF$10 * $BN$4, AF$11 * 0.876) * 0.25,
    IF(
        AND($H15 &gt; $BN$7, Tabella01MarzoInverter[[#This Row],[Active power TX2-INV-2]] &lt;= 0),
        Tabella01MarzoInverter[[#This Row],[TX2 - Max Power]] * 0.25,
        0
    )
    +
    IF(
        $N15 &lt; 0.875,
        MAX(0, MIN(($H15 / 1000) * AF$10 * $BN$4, AF$11 * 0.876) - (AF$11 * $N15)) * 0.25,
        0
    )
)</f>
        <v>0</v>
      </c>
      <c r="AG15" s="36">
        <f>IF(
    AND($H15 &gt; $BN$7, Tabella01MarzoInverter[[#This Row],[Active power TX2-INV-3]] &lt;= 0, Tabella01MarzoInverter[[#This Row],[TX2 - Min Power]] &lt;= 0),
    MIN(($H15 / 1000) * AG$10 * $BN$4, AG$11 * 0.876) * 0.25,
    IF(
        AND($H15 &gt; $BN$7, Tabella01MarzoInverter[[#This Row],[Active power TX2-INV-3]] &lt;= 0),
        Tabella01MarzoInverter[[#This Row],[TX2 - Min Power]] * 0.25,
        0
    )
    +
    IF(
        $N15 &lt; 0.875,
        MAX(0, MIN(($H15 / 1000) * AG$10 * $BN$4, AG$11 * 0.876) - (AG$11 * $N15)) * 0.25,
        0
    )
)</f>
        <v>0</v>
      </c>
      <c r="AH15" s="36">
        <f>IF(
    AND($H15 &gt; $BN$7, Tabella01MarzoInverter[[#This Row],[Active power TX2-INV-4]] &lt;= 0, Tabella01MarzoInverter[[#This Row],[Active power TX3-INV-1]] &lt;= 0),
    MIN(($H15 / 1000) * AH$10 * $BN$4, AH$11 * 0.876) * 0.25,
    IF(
        AND($H15 &gt; $BN$7, Tabella01MarzoInverter[[#This Row],[Active power TX2-INV-4]] &lt;= 0),
        Tabella01MarzoInverter[[#This Row],[Active power TX3-INV-1]] * 0.25,
        0
    )
    +
    IF(
        $N15 &lt; 0.875,
        MAX(0, MIN(($H15 / 1000) * AH$10 * $BN$4, AH$11 * 0.876) - (AH$11 * $N15)) * 0.25,
        0
    )
)</f>
        <v>0</v>
      </c>
      <c r="AI15" s="36">
        <f>IF(
    AND($H15 &gt; $BN$7, Tabella01MarzoInverter[[#This Row],[Active power TX2-INV-5]] &lt;= 0, Tabella01MarzoInverter[[#This Row],[Active power TX3-INV-2]] &lt;= 0),
    MIN(($H15 / 1000) * AI$10 * $BN$4, AI$11 * 0.876) * 0.25,
    IF(
        AND($H15 &gt; $BN$7, Tabella01MarzoInverter[[#This Row],[Active power TX2-INV-5]] &lt;= 0),
        Tabella01MarzoInverter[[#This Row],[Active power TX3-INV-2]] * 0.25,
        0
    )
    +
    IF(
        $N15 &lt; 0.875,
        MAX(0, MIN(($H15 / 1000) * AI$10 * $BN$4, AI$11 * 0.876) - (AI$11 * $N15)) * 0.25,
        0
    )
)</f>
        <v>0</v>
      </c>
      <c r="AJ15" s="36">
        <f>IF(
    AND($H15 &gt; $BN$7, Tabella01MarzoInverter[[#This Row],[Active power TX2-INV-6]] &lt;= 0, Tabella01MarzoInverter[[#This Row],[Active power TX3-INV-3]] &lt;= 0),
    MIN(($H15 / 1000) * AJ$10 * $BN$4, AJ$11 * 0.876) * 0.25,
    IF(
        AND($H15 &gt; $BN$7, Tabella01MarzoInverter[[#This Row],[Active power TX2-INV-6]] &lt;= 0),
        Tabella01MarzoInverter[[#This Row],[Active power TX3-INV-3]] * 0.25,
        0
    )
    +
    IF(
        $N15 &lt; 0.875,
        MAX(0, MIN(($H15 / 1000) * AJ$10 * $BN$4, AJ$11 * 0.876) - (AJ$11 * $N15)) * 0.25,
        0
    )
)</f>
        <v>0</v>
      </c>
      <c r="AK15" s="36">
        <f>IF(
    AND($H15 &gt; $BN$7, Tabella01MarzoInverter[[#This Row],[Active power TX2-INV-7]] &lt;= 0, Tabella01MarzoInverter[[#This Row],[Active power TX3-INV-4]] &lt;= 0),
    MIN(($H15 / 1000) * AK$10 * $BN$4, AK$11 * 0.876) * 0.25,
    IF(
        AND($H15 &gt; $BN$7, Tabella01MarzoInverter[[#This Row],[Active power TX2-INV-7]] &lt;= 0),
        Tabella01MarzoInverter[[#This Row],[Active power TX3-INV-4]] * 0.25,
        0
    )
    +
    IF(
        $N15 &lt; 0.875,
        MAX(0, MIN(($H15 / 1000) * AK$10 * $BN$4, AK$11 * 0.876) - (AK$11 * $N15)) * 0.25,
        0
    )
)</f>
        <v>0</v>
      </c>
      <c r="AL15" s="36">
        <f>IF(
    AND($H15 &gt; $BN$7, Tabella01MarzoInverter[[#This Row],[Active power TX2-INV-8]] &lt;= 0, Tabella01MarzoInverter[[#This Row],[Active power TX3-INV-5]] &lt;= 0),
    MIN(($H15 / 1000) * AL$10 * $BN$4, AL$11 * 0.876) * 0.25,
    IF(
        AND($H15 &gt; $BN$7, Tabella01MarzoInverter[[#This Row],[Active power TX2-INV-8]] &lt;= 0),
        Tabella01MarzoInverter[[#This Row],[Active power TX3-INV-5]] * 0.25,
        0
    )
    +
    IF(
        $N15 &lt; 0.875,
        MAX(0, MIN(($H15 / 1000) * AL$10 * $BN$4, AL$11 * 0.876) - (AL$11 * $N15)) * 0.25,
        0
    )
)</f>
        <v>0</v>
      </c>
      <c r="AM15" s="36">
        <f>IF(
    AND($H15 &gt; $BN$7, Tabella01MarzoInverter[[#This Row],[Active power TX2-INV-9]] &lt;= 0, Tabella01MarzoInverter[[#This Row],[Active power TX3-INV-6]] &lt;= 0),
    MIN(($H15 / 1000) * AM$10 * $BN$4, AM$11 * 0.876) * 0.25,
    IF(
        AND($H15 &gt; $BN$7, Tabella01MarzoInverter[[#This Row],[Active power TX2-INV-9]] &lt;= 0),
        Tabella01MarzoInverter[[#This Row],[Active power TX3-INV-6]] * 0.25,
        0
    )
    +
    IF(
        $N15 &lt; 0.875,
        MAX(0, MIN(($H15 / 1000) * AM$10 * $BN$4, AM$11 * 0.876) - (AM$11 * $N15)) * 0.25,
        0
    )
)</f>
        <v>0</v>
      </c>
      <c r="AN15" s="36">
        <f>IF(
    AND($H15 &gt; $BN$7, Tabella01MarzoInverter[[#This Row],[Active power TX2-INV-10]] &lt;= 0, Tabella01MarzoInverter[[#This Row],[Active power TX3-INV-7]] &lt;= 0),
    MIN(($H15 / 1000) * AN$10 * $BN$4, AN$11 * 0.876) * 0.25,
    IF(
        AND($H15 &gt; $BN$7, Tabella01MarzoInverter[[#This Row],[Active power TX2-INV-10]] &lt;= 0),
        Tabella01MarzoInverter[[#This Row],[Active power TX3-INV-7]] * 0.25,
        0
    )
    +
    IF(
        $N15 &lt; 0.875,
        MAX(0, MIN(($H15 / 1000) * AN$10 * $BN$4, AN$11 * 0.876) - (AN$11 * $N15)) * 0.25,
        0
    )
)</f>
        <v>0</v>
      </c>
      <c r="AO15" s="36">
        <f>IF(
    AND($H15 &gt; $BN$7, Tabella01MarzoInverter[[#This Row],[Active power TX2-INV-11]] &lt;= 0, Tabella01MarzoInverter[[#This Row],[Active power TX3-INV-8]] &lt;= 0),
    MIN(($H15 / 1000) * AO$10 * $BN$4, AO$11 * 0.876) * 0.25,
    IF(
        AND($H15 &gt; $BN$7, Tabella01MarzoInverter[[#This Row],[Active power TX2-INV-11]] &lt;= 0),
        Tabella01MarzoInverter[[#This Row],[Active power TX3-INV-8]] * 0.25,
        0
    )
    +
    IF(
        $N15 &lt; 0.875,
        MAX(0, MIN(($H15 / 1000) * AO$10 * $BN$4, AO$11 * 0.876) - (AO$11 * $N15)) * 0.25,
        0
    )
)</f>
        <v>0</v>
      </c>
      <c r="AP15" s="36">
        <f>IF(
    AND($H15 &gt; $BN$7, Tabella01MarzoInverter[[#This Row],[Active power TX2-INV-12]] &lt;= 0, Tabella01MarzoInverter[[#This Row],[Active power TX3-INV-9]] &lt;= 0),
    MIN(($H15 / 1000) * AP$10 * $BN$4, AP$11 * 0.876) * 0.25,
    IF(
        AND($H15 &gt; $BN$7, Tabella01MarzoInverter[[#This Row],[Active power TX2-INV-12]] &lt;= 0),
        Tabella01MarzoInverter[[#This Row],[Active power TX3-INV-9]] * 0.25,
        0
    )
    +
    IF(
        $N15 &lt; 0.875,
        MAX(0, MIN(($H15 / 1000) * AP$10 * $BN$4, AP$11 * 0.876) - (AP$11 * $N15)) * 0.25,
        0
    )
)</f>
        <v>0</v>
      </c>
      <c r="AQ15" s="8">
        <f>AVERAGE(TabellaMar2026[[#This Row],[Colonna39]:[Colonna6]])</f>
        <v>0</v>
      </c>
      <c r="AR15" s="8">
        <f>MAX(TabellaMar2026[[#This Row],[Colonna39]:[Colonna6]])</f>
        <v>0</v>
      </c>
      <c r="AS15" s="35">
        <f>MIN(TabellaMar2026[[#This Row],[Colonna39]:[Colonna6]])</f>
        <v>0</v>
      </c>
      <c r="AT15" s="48">
        <f>SUM(TabellaMar2026[[#This Row],[Colonna39]:[Colonna6]])</f>
        <v>0</v>
      </c>
      <c r="AU15" s="36" cm="1">
        <f t="array" ref="AU15">IF(
    AND($H15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($H15 / 1000) * AU$10 * $BN$4 * 0.25
    ),
    0
)
+
IF(
    $N15 &lt; 0.875,
    MAX(0, MIN(($H15 / 1000) * AU$10 * $BN$4, AU$11 * 0.876) - (AU$11 * $N15)) * 0.25,
    0
)</f>
        <v>0</v>
      </c>
      <c r="AV15" s="36" cm="1">
        <f t="array" ref="AV15">IF(
    AND($H15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($H15 / 1000) * AV$10 * $BN$4 * 0.25
    ),
    0
)
+
IF(
    $N15 &lt; 0.875,
    MAX(0, MIN(($H15 / 1000) * AV$10 * $BN$4, AV$11 * 0.876) - (AV$11 * $N15)) * 0.25,
    0
)</f>
        <v>0</v>
      </c>
      <c r="AW15" s="36" cm="1">
        <f t="array" ref="AW15">IF(
    AND($H15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($H15 / 1000) * AW$10 * $BN$4 * 0.25
    ),
    0
)
+
IF(
    $N15 &lt; 0.875,
    MAX(0, MIN(($H15 / 1000) * AW$10 * $BN$4, AW$11 * 0.876) - (AW$11 * $N15)) * 0.25,
    0
)</f>
        <v>0</v>
      </c>
      <c r="AX15" s="36" cm="1">
        <f t="array" ref="AX15">IF(
    AND($H15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($H15 / 1000) * AX$10 * $BN$4 * 0.25
    ),
    0
)
+
IF(
    $N15 &lt; 0.875,
    MAX(0, MIN(($H15 / 1000) * AX$10 * $BN$4, AX$11 * 0.876) - (AX$11 * $N15)) * 0.25,
    0
)</f>
        <v>0</v>
      </c>
      <c r="AY15" s="36" cm="1">
        <f t="array" ref="AY15">IF(
    AND($H15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($H15 / 1000) * AY$10 * $BN$4 * 0.25
    ),
    0
)
+
IF(
    $N15 &lt; 0.875,
    MAX(0, MIN(($H15 / 1000) * AY$10 * $BN$4, AY$11 * 0.876) - (AY$11 * $N15)) * 0.25,
    0
)</f>
        <v>0</v>
      </c>
      <c r="AZ15" s="36" cm="1">
        <f t="array" ref="AZ15">IF(
    AND($H15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($H15 / 1000) * AZ$10 * $BN$4 * 0.25
    ),
    0
)
+
IF(
    $N15 &lt; 0.875,
    MAX(0, MIN(($H15 / 1000) * AZ$10 * $BN$4, AZ$11 * 0.876) - (AZ$11 * $N15)) * 0.25,
    0
)</f>
        <v>0</v>
      </c>
      <c r="BA15" s="36" cm="1">
        <f t="array" ref="BA15">IF(
    AND($H15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($H15 / 1000) * BA$10 * $BN$4 * 0.25
    ),
    0
)
+
IF(
    $N15 &lt; 0.875,
    MAX(0, MIN(($H15 / 1000) * BA$10 * $BN$4, BA$11 * 0.876) - (BA$11 * $N15)) * 0.25,
    0
)</f>
        <v>0</v>
      </c>
      <c r="BB15" s="36" cm="1">
        <f t="array" ref="BB15">IF(
    AND($H15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($H15 / 1000) * BB$10 * $BN$4 * 0.25
    ),
    0
)
+
IF(
    $N15 &lt; 0.875,
    MAX(0, MIN(($H15 / 1000) * BB$10 * $BN$4, BB$11 * 0.876) - (BB$11 * $N15)) * 0.25,
    0
)</f>
        <v>0</v>
      </c>
      <c r="BC15" s="36" cm="1">
        <f t="array" ref="BC15">IF(
    AND($H15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($H15 / 1000) * BC$10 * $BN$4 * 0.25
    ),
    0
)
+
IF(
    $N15 &lt; 0.875,
    MAX(0, MIN(($H15 / 1000) * BC$10 * $BN$4, BC$11 * 0.876) - (BC$11 * $N15)) * 0.25,
    0
)</f>
        <v>0</v>
      </c>
      <c r="BD15" s="36" cm="1">
        <f t="array" ref="BD15">IF(
    AND($H15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($H15 / 1000) * BD$10 * $BN$4 * 0.25
    ),
    0
)
+
IF(
    $N15 &lt; 0.875,
    MAX(0, MIN(($H15 / 1000) * BD$10 * $BN$4, BD$11 * 0.876) - (BD$11 * $N15)) * 0.25,
    0
)</f>
        <v>0</v>
      </c>
      <c r="BE15" s="36" cm="1">
        <f t="array" ref="BE15">IF(
    AND($H15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($H15 / 1000) * BE$10 * $BN$4 * 0.25
    ),
    0
)
+
IF(
    $N15 &lt; 0.875,
    MAX(0, MIN(($H15 / 1000) * BE$10 * $BN$4, BE$11 * 0.876) - (BE$11 * $N15)) * 0.25,
    0
)</f>
        <v>0</v>
      </c>
      <c r="BF15" s="36" cm="1">
        <f t="array" ref="BF15">IF(
    AND($H15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($H15 / 1000) * BF$10 * $BN$4 * 0.25
    ),
    0
)
+
IF(
    $N15 &lt; 0.875,
    MAX(0, MIN(($H15 / 1000) * BF$10 * $BN$4, BF$11 * 0.876) - (BF$11 * $N15)) * 0.25,
    0
)</f>
        <v>0</v>
      </c>
      <c r="BG15" s="8">
        <f>AVERAGE(TabellaMar2026[[#This Row],[Colonna55]:[Colonna53]])</f>
        <v>0</v>
      </c>
      <c r="BH15" s="8">
        <f>MAX(TabellaMar2026[[#This Row],[Colonna55]:[Colonna53]])</f>
        <v>0</v>
      </c>
      <c r="BI15" s="35">
        <f>MIN(TabellaMar2026[[#This Row],[Colonna55]:[Colonna53]])</f>
        <v>0</v>
      </c>
      <c r="BJ15" s="48">
        <f>SUM(TabellaMar2026[[#This Row],[Colonna54]:[Colonna53]])</f>
        <v>0</v>
      </c>
      <c r="BK15" s="54">
        <f>IFERROR((SUM(Tabella01MarzoInverter[[Active power TX1-INV-1]:[Active power TX3-INV-12]]) * 0.25) / (12625 * (IF(TabellaMar2026[[#This Row],[Colonna67]]&gt;BN7,TabellaMar2026[[#This Row],[Colonna67]],0) * 0.25 / 1000)),0)</f>
        <v>0</v>
      </c>
      <c r="BL15" s="5"/>
      <c r="BM15" s="8">
        <f>SUM(Tabella01MarzoInverter[Active power TX1-INV-1])</f>
        <v>9197.1</v>
      </c>
      <c r="BN15" s="8"/>
      <c r="BO15" s="8"/>
      <c r="BP15" s="19"/>
    </row>
    <row r="16" spans="1:129" s="3" customFormat="1" x14ac:dyDescent="0.25">
      <c r="A16" s="18">
        <v>46147</v>
      </c>
      <c r="B16" t="s">
        <v>16</v>
      </c>
      <c r="C16" s="5">
        <v>-1</v>
      </c>
      <c r="D16" s="6">
        <v>-2.5000000000000001E-4</v>
      </c>
      <c r="E16" s="6">
        <v>0</v>
      </c>
      <c r="F16" s="6">
        <v>0</v>
      </c>
      <c r="G16" s="6">
        <f>IFERROR((D16+F16)/2, 0)</f>
        <v>-1.25E-4</v>
      </c>
      <c r="H16" s="7">
        <f>IFERROR(IF(AVERAGE(C16,E16)&gt;$BN$7,AVERAGE(C16,E16),0), 0)</f>
        <v>0</v>
      </c>
      <c r="I16" s="7">
        <f>IFERROR(IF(AND(D16=0,F16=0),0,IF(H16&gt;$BN$6,MAX(D16,F16),G16)), 0)</f>
        <v>-1.25E-4</v>
      </c>
      <c r="J16" s="6">
        <f>IFERROR(IF(AND(D16&gt;0,F16&gt;0),ABS(D16-F16)/AVERAGE(D16,F16),0), 0)</f>
        <v>0</v>
      </c>
      <c r="K16" s="6">
        <v>30386.2</v>
      </c>
      <c r="L16" s="6">
        <v>30386.2</v>
      </c>
      <c r="M16" s="8">
        <f>IFERROR((L16-K16)*1000, 0)</f>
        <v>0</v>
      </c>
      <c r="N16" s="6">
        <v>0.87599999999999989</v>
      </c>
      <c r="O16" s="8" cm="1">
        <f t="array" ref="O16">IF(
    AND($H16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($H16 / 1000) * O$10 * $BN$4 * 0.25
    ),
    0
)
+
IF(
    $N16 &lt; 0.875,
    MAX(0, MIN(($H16 / 1000) * O$10 * $BN$4, O$11 * 0.876) - (O$11 * $N16)) * 0.25,
    0
)</f>
        <v>0</v>
      </c>
      <c r="P16" s="8" cm="1">
        <f t="array" ref="P16">IF(
    AND($H16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($H16 / 1000) * P$10 * $BN$4 * 0.25
    ),
    0
)
+
IF(
    $N16 &lt; 0.875,
    MAX(0, MIN(($H16 / 1000) * P$10 * $BN$4, P$11 * 0.876) - (P$11 * $N16)) * 0.25,
    0
)</f>
        <v>0</v>
      </c>
      <c r="Q16" s="8" cm="1">
        <f t="array" ref="Q16">IF(
    AND($H16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($H16 / 1000) * Q$10 * $BN$4 * 0.25
    ),
    0
)
+
IF(
    $N16 &lt; 0.875,
    MAX(0, MIN(($H16 / 1000) * Q$10 * $BN$4, Q$11 * 0.876) - (Q$11 * $N16)) * 0.25,
    0
)</f>
        <v>0</v>
      </c>
      <c r="R16" s="8" cm="1">
        <f t="array" ref="R16">IF(
    AND($H16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($H16 / 1000) * R$10 * $BN$4 * 0.25
    ),
    0
)
+
IF(
    $N16 &lt; 0.875,
    MAX(0, MIN(($H16 / 1000) * R$10 * $BN$4, R$11 * 0.876) - (R$11 * $N16)) * 0.25,
    0
)</f>
        <v>0</v>
      </c>
      <c r="S16" s="8" cm="1">
        <f t="array" ref="S16">IF(
    AND($H16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($H16 / 1000) * S$10 * $BN$4 * 0.25
    ),
    0
)
+
IF(
    $N16 &lt; 0.875,
    MAX(0, MIN(($H16 / 1000) * S$10 * $BN$4, S$11 * 0.876) - (S$11 * $N16)) * 0.25,
    0
)</f>
        <v>0</v>
      </c>
      <c r="T16" s="8" cm="1">
        <f t="array" ref="T16">IF(
    AND($H16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($H16 / 1000) * T$10 * $BN$4 * 0.25
    ),
    0
)
+
IF(
    $N16 &lt; 0.875,
    MAX(0, MIN(($H16 / 1000) * T$10 * $BN$4, T$11 * 0.876) - (T$11 * $N16)) * 0.25,
    0
)</f>
        <v>0</v>
      </c>
      <c r="U16" s="8" cm="1">
        <f t="array" ref="U16">IF(
    AND($H16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($H16 / 1000) * U$10 * $BN$4 * 0.25
    ),
    0
)
+
IF(
    $N16 &lt; 0.875,
    MAX(0, MIN(($H16 / 1000) * U$10 * $BN$4, U$11 * 0.876) - (U$11 * $N16)) * 0.25,
    0
)</f>
        <v>0</v>
      </c>
      <c r="V16" s="8" cm="1">
        <f t="array" ref="V16">IF(
    AND($H16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($H16 / 1000) * V$10 * $BN$4 * 0.25
    ),
    0
)
+
IF(
    $N16 &lt; 0.875,
    MAX(0, MIN(($H16 / 1000) * V$10 * $BN$4, V$11 * 0.876) - (V$11 * $N16)) * 0.25,
    0
)</f>
        <v>0</v>
      </c>
      <c r="W16" s="8" cm="1">
        <f t="array" ref="W16">IF(
    AND($H16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($H16 / 1000) * W$10 * $BN$4 * 0.25
    ),
    0
)
+
IF(
    $N16 &lt; 0.875,
    MAX(0, MIN(($H16 / 1000) * W$10 * $BN$4, W$11 * 0.876) - (W$11 * $N16)) * 0.25,
    0
)</f>
        <v>0</v>
      </c>
      <c r="X16" s="8" cm="1">
        <f t="array" ref="X16">IF(
    AND($H16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($H16 / 1000) * X$10 * $BN$4 * 0.25
    ),
    0
)
+
IF(
    $N16 &lt; 0.875,
    MAX(0, MIN(($H16 / 1000) * X$10 * $BN$4, X$11 * 0.876) - (X$11 * $N16)) * 0.25,
    0
)</f>
        <v>0</v>
      </c>
      <c r="Y16" s="8" cm="1">
        <f t="array" ref="Y16">IF(
    AND($H16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($H16 / 1000) * Y$10 * $BN$4 * 0.25
    ),
    0
)
+
IF(
    $N16 &lt; 0.875,
    MAX(0, MIN(($H16 / 1000) * Y$10 * $BN$4, Y$11 * 0.876) - (Y$11 * $N16)) * 0.25,
    0
)</f>
        <v>0</v>
      </c>
      <c r="Z16" s="8" cm="1">
        <f t="array" ref="Z16">IF(
    AND($H16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($H16 / 1000) * Z$10 * $BN$4 * 0.25
    ),
    0
)
+
IF(
    $N16 &lt; 0.875,
    MAX(0, MIN(($H16 / 1000) * Z$10 * $BN$4, Z$11 * 0.876) - (Z$11 * $N16)) * 0.25,
    0
)</f>
        <v>0</v>
      </c>
      <c r="AA16" s="8">
        <f>AVERAGE(TabellaMar2026[[#This Row],[Colonna24]:[Colonna20]])</f>
        <v>0</v>
      </c>
      <c r="AB16" s="8">
        <f>MAX(TabellaMar2026[[#This Row],[Colonna24]:[Colonna20]])</f>
        <v>0</v>
      </c>
      <c r="AC16" s="35">
        <f>MIN(TabellaMar2026[[#This Row],[Colonna24]:[Colonna20]])</f>
        <v>0</v>
      </c>
      <c r="AD16" s="44">
        <f>SUM(TabellaMar2026[[#This Row],[Colonna24]:[Colonna20]])</f>
        <v>0</v>
      </c>
      <c r="AE16" s="36">
        <f>IF(
    AND($H16 &gt; $BN$7, Tabella01MarzoInverter[[#This Row],[Active power TX2-INV-1]] &lt;= 0, Tabella01MarzoInverter[[#This Row],[TX2 - Average Power]] &lt;= 0),
    MIN(($H16 / 1000) * AE$10 * $BN$4, AE$11 * 0.876) * 0.25,
    IF(
        AND($H16 &gt; $BN$7, Tabella01MarzoInverter[[#This Row],[Active power TX2-INV-1]] &lt;= 0),
        Tabella01MarzoInverter[[#This Row],[TX2 - Average Power]] * 0.25,
        0
    )
    +
    IF(
        $N16 &lt; 0.875,
        MAX(0, MIN(($H16 / 1000) * AE$10 * $BN$4, AE$11 * 0.876) - (AE$11 * $N16)) * 0.25,
        0
    )
)</f>
        <v>0</v>
      </c>
      <c r="AF16" s="36">
        <f>IF(
    AND($H16 &gt; $BN$7, Tabella01MarzoInverter[[#This Row],[Active power TX2-INV-2]] &lt;= 0, Tabella01MarzoInverter[[#This Row],[TX2 - Max Power]] &lt;= 0),
    MIN(($H16 / 1000) * AF$10 * $BN$4, AF$11 * 0.876) * 0.25,
    IF(
        AND($H16 &gt; $BN$7, Tabella01MarzoInverter[[#This Row],[Active power TX2-INV-2]] &lt;= 0),
        Tabella01MarzoInverter[[#This Row],[TX2 - Max Power]] * 0.25,
        0
    )
    +
    IF(
        $N16 &lt; 0.875,
        MAX(0, MIN(($H16 / 1000) * AF$10 * $BN$4, AF$11 * 0.876) - (AF$11 * $N16)) * 0.25,
        0
    )
)</f>
        <v>0</v>
      </c>
      <c r="AG16" s="36">
        <f>IF(
    AND($H16 &gt; $BN$7, Tabella01MarzoInverter[[#This Row],[Active power TX2-INV-3]] &lt;= 0, Tabella01MarzoInverter[[#This Row],[TX2 - Min Power]] &lt;= 0),
    MIN(($H16 / 1000) * AG$10 * $BN$4, AG$11 * 0.876) * 0.25,
    IF(
        AND($H16 &gt; $BN$7, Tabella01MarzoInverter[[#This Row],[Active power TX2-INV-3]] &lt;= 0),
        Tabella01MarzoInverter[[#This Row],[TX2 - Min Power]] * 0.25,
        0
    )
    +
    IF(
        $N16 &lt; 0.875,
        MAX(0, MIN(($H16 / 1000) * AG$10 * $BN$4, AG$11 * 0.876) - (AG$11 * $N16)) * 0.25,
        0
    )
)</f>
        <v>0</v>
      </c>
      <c r="AH16" s="36">
        <f>IF(
    AND($H16 &gt; $BN$7, Tabella01MarzoInverter[[#This Row],[Active power TX2-INV-4]] &lt;= 0, Tabella01MarzoInverter[[#This Row],[Active power TX3-INV-1]] &lt;= 0),
    MIN(($H16 / 1000) * AH$10 * $BN$4, AH$11 * 0.876) * 0.25,
    IF(
        AND($H16 &gt; $BN$7, Tabella01MarzoInverter[[#This Row],[Active power TX2-INV-4]] &lt;= 0),
        Tabella01MarzoInverter[[#This Row],[Active power TX3-INV-1]] * 0.25,
        0
    )
    +
    IF(
        $N16 &lt; 0.875,
        MAX(0, MIN(($H16 / 1000) * AH$10 * $BN$4, AH$11 * 0.876) - (AH$11 * $N16)) * 0.25,
        0
    )
)</f>
        <v>0</v>
      </c>
      <c r="AI16" s="36">
        <f>IF(
    AND($H16 &gt; $BN$7, Tabella01MarzoInverter[[#This Row],[Active power TX2-INV-5]] &lt;= 0, Tabella01MarzoInverter[[#This Row],[Active power TX3-INV-2]] &lt;= 0),
    MIN(($H16 / 1000) * AI$10 * $BN$4, AI$11 * 0.876) * 0.25,
    IF(
        AND($H16 &gt; $BN$7, Tabella01MarzoInverter[[#This Row],[Active power TX2-INV-5]] &lt;= 0),
        Tabella01MarzoInverter[[#This Row],[Active power TX3-INV-2]] * 0.25,
        0
    )
    +
    IF(
        $N16 &lt; 0.875,
        MAX(0, MIN(($H16 / 1000) * AI$10 * $BN$4, AI$11 * 0.876) - (AI$11 * $N16)) * 0.25,
        0
    )
)</f>
        <v>0</v>
      </c>
      <c r="AJ16" s="36">
        <f>IF(
    AND($H16 &gt; $BN$7, Tabella01MarzoInverter[[#This Row],[Active power TX2-INV-6]] &lt;= 0, Tabella01MarzoInverter[[#This Row],[Active power TX3-INV-3]] &lt;= 0),
    MIN(($H16 / 1000) * AJ$10 * $BN$4, AJ$11 * 0.876) * 0.25,
    IF(
        AND($H16 &gt; $BN$7, Tabella01MarzoInverter[[#This Row],[Active power TX2-INV-6]] &lt;= 0),
        Tabella01MarzoInverter[[#This Row],[Active power TX3-INV-3]] * 0.25,
        0
    )
    +
    IF(
        $N16 &lt; 0.875,
        MAX(0, MIN(($H16 / 1000) * AJ$10 * $BN$4, AJ$11 * 0.876) - (AJ$11 * $N16)) * 0.25,
        0
    )
)</f>
        <v>0</v>
      </c>
      <c r="AK16" s="36">
        <f>IF(
    AND($H16 &gt; $BN$7, Tabella01MarzoInverter[[#This Row],[Active power TX2-INV-7]] &lt;= 0, Tabella01MarzoInverter[[#This Row],[Active power TX3-INV-4]] &lt;= 0),
    MIN(($H16 / 1000) * AK$10 * $BN$4, AK$11 * 0.876) * 0.25,
    IF(
        AND($H16 &gt; $BN$7, Tabella01MarzoInverter[[#This Row],[Active power TX2-INV-7]] &lt;= 0),
        Tabella01MarzoInverter[[#This Row],[Active power TX3-INV-4]] * 0.25,
        0
    )
    +
    IF(
        $N16 &lt; 0.875,
        MAX(0, MIN(($H16 / 1000) * AK$10 * $BN$4, AK$11 * 0.876) - (AK$11 * $N16)) * 0.25,
        0
    )
)</f>
        <v>0</v>
      </c>
      <c r="AL16" s="36">
        <f>IF(
    AND($H16 &gt; $BN$7, Tabella01MarzoInverter[[#This Row],[Active power TX2-INV-8]] &lt;= 0, Tabella01MarzoInverter[[#This Row],[Active power TX3-INV-5]] &lt;= 0),
    MIN(($H16 / 1000) * AL$10 * $BN$4, AL$11 * 0.876) * 0.25,
    IF(
        AND($H16 &gt; $BN$7, Tabella01MarzoInverter[[#This Row],[Active power TX2-INV-8]] &lt;= 0),
        Tabella01MarzoInverter[[#This Row],[Active power TX3-INV-5]] * 0.25,
        0
    )
    +
    IF(
        $N16 &lt; 0.875,
        MAX(0, MIN(($H16 / 1000) * AL$10 * $BN$4, AL$11 * 0.876) - (AL$11 * $N16)) * 0.25,
        0
    )
)</f>
        <v>0</v>
      </c>
      <c r="AM16" s="36">
        <f>IF(
    AND($H16 &gt; $BN$7, Tabella01MarzoInverter[[#This Row],[Active power TX2-INV-9]] &lt;= 0, Tabella01MarzoInverter[[#This Row],[Active power TX3-INV-6]] &lt;= 0),
    MIN(($H16 / 1000) * AM$10 * $BN$4, AM$11 * 0.876) * 0.25,
    IF(
        AND($H16 &gt; $BN$7, Tabella01MarzoInverter[[#This Row],[Active power TX2-INV-9]] &lt;= 0),
        Tabella01MarzoInverter[[#This Row],[Active power TX3-INV-6]] * 0.25,
        0
    )
    +
    IF(
        $N16 &lt; 0.875,
        MAX(0, MIN(($H16 / 1000) * AM$10 * $BN$4, AM$11 * 0.876) - (AM$11 * $N16)) * 0.25,
        0
    )
)</f>
        <v>0</v>
      </c>
      <c r="AN16" s="36">
        <f>IF(
    AND($H16 &gt; $BN$7, Tabella01MarzoInverter[[#This Row],[Active power TX2-INV-10]] &lt;= 0, Tabella01MarzoInverter[[#This Row],[Active power TX3-INV-7]] &lt;= 0),
    MIN(($H16 / 1000) * AN$10 * $BN$4, AN$11 * 0.876) * 0.25,
    IF(
        AND($H16 &gt; $BN$7, Tabella01MarzoInverter[[#This Row],[Active power TX2-INV-10]] &lt;= 0),
        Tabella01MarzoInverter[[#This Row],[Active power TX3-INV-7]] * 0.25,
        0
    )
    +
    IF(
        $N16 &lt; 0.875,
        MAX(0, MIN(($H16 / 1000) * AN$10 * $BN$4, AN$11 * 0.876) - (AN$11 * $N16)) * 0.25,
        0
    )
)</f>
        <v>0</v>
      </c>
      <c r="AO16" s="36">
        <f>IF(
    AND($H16 &gt; $BN$7, Tabella01MarzoInverter[[#This Row],[Active power TX2-INV-11]] &lt;= 0, Tabella01MarzoInverter[[#This Row],[Active power TX3-INV-8]] &lt;= 0),
    MIN(($H16 / 1000) * AO$10 * $BN$4, AO$11 * 0.876) * 0.25,
    IF(
        AND($H16 &gt; $BN$7, Tabella01MarzoInverter[[#This Row],[Active power TX2-INV-11]] &lt;= 0),
        Tabella01MarzoInverter[[#This Row],[Active power TX3-INV-8]] * 0.25,
        0
    )
    +
    IF(
        $N16 &lt; 0.875,
        MAX(0, MIN(($H16 / 1000) * AO$10 * $BN$4, AO$11 * 0.876) - (AO$11 * $N16)) * 0.25,
        0
    )
)</f>
        <v>0</v>
      </c>
      <c r="AP16" s="36">
        <f>IF(
    AND($H16 &gt; $BN$7, Tabella01MarzoInverter[[#This Row],[Active power TX2-INV-12]] &lt;= 0, Tabella01MarzoInverter[[#This Row],[Active power TX3-INV-9]] &lt;= 0),
    MIN(($H16 / 1000) * AP$10 * $BN$4, AP$11 * 0.876) * 0.25,
    IF(
        AND($H16 &gt; $BN$7, Tabella01MarzoInverter[[#This Row],[Active power TX2-INV-12]] &lt;= 0),
        Tabella01MarzoInverter[[#This Row],[Active power TX3-INV-9]] * 0.25,
        0
    )
    +
    IF(
        $N16 &lt; 0.875,
        MAX(0, MIN(($H16 / 1000) * AP$10 * $BN$4, AP$11 * 0.876) - (AP$11 * $N16)) * 0.25,
        0
    )
)</f>
        <v>0</v>
      </c>
      <c r="AQ16" s="8">
        <f>AVERAGE(TabellaMar2026[[#This Row],[Colonna39]:[Colonna6]])</f>
        <v>0</v>
      </c>
      <c r="AR16" s="8">
        <f>MAX(TabellaMar2026[[#This Row],[Colonna39]:[Colonna6]])</f>
        <v>0</v>
      </c>
      <c r="AS16" s="35">
        <f>MIN(TabellaMar2026[[#This Row],[Colonna39]:[Colonna6]])</f>
        <v>0</v>
      </c>
      <c r="AT16" s="48">
        <f>SUM(TabellaMar2026[[#This Row],[Colonna39]:[Colonna6]])</f>
        <v>0</v>
      </c>
      <c r="AU16" s="36" cm="1">
        <f t="array" ref="AU16">IF(
    AND($H16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($H16 / 1000) * AU$10 * $BN$4 * 0.25
    ),
    0
)
+
IF(
    $N16 &lt; 0.875,
    MAX(0, MIN(($H16 / 1000) * AU$10 * $BN$4, AU$11 * 0.876) - (AU$11 * $N16)) * 0.25,
    0
)</f>
        <v>0</v>
      </c>
      <c r="AV16" s="36" cm="1">
        <f t="array" ref="AV16">IF(
    AND($H16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($H16 / 1000) * AV$10 * $BN$4 * 0.25
    ),
    0
)
+
IF(
    $N16 &lt; 0.875,
    MAX(0, MIN(($H16 / 1000) * AV$10 * $BN$4, AV$11 * 0.876) - (AV$11 * $N16)) * 0.25,
    0
)</f>
        <v>0</v>
      </c>
      <c r="AW16" s="36" cm="1">
        <f t="array" ref="AW16">IF(
    AND($H16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($H16 / 1000) * AW$10 * $BN$4 * 0.25
    ),
    0
)
+
IF(
    $N16 &lt; 0.875,
    MAX(0, MIN(($H16 / 1000) * AW$10 * $BN$4, AW$11 * 0.876) - (AW$11 * $N16)) * 0.25,
    0
)</f>
        <v>0</v>
      </c>
      <c r="AX16" s="36" cm="1">
        <f t="array" ref="AX16">IF(
    AND($H16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($H16 / 1000) * AX$10 * $BN$4 * 0.25
    ),
    0
)
+
IF(
    $N16 &lt; 0.875,
    MAX(0, MIN(($H16 / 1000) * AX$10 * $BN$4, AX$11 * 0.876) - (AX$11 * $N16)) * 0.25,
    0
)</f>
        <v>0</v>
      </c>
      <c r="AY16" s="36" cm="1">
        <f t="array" ref="AY16">IF(
    AND($H16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($H16 / 1000) * AY$10 * $BN$4 * 0.25
    ),
    0
)
+
IF(
    $N16 &lt; 0.875,
    MAX(0, MIN(($H16 / 1000) * AY$10 * $BN$4, AY$11 * 0.876) - (AY$11 * $N16)) * 0.25,
    0
)</f>
        <v>0</v>
      </c>
      <c r="AZ16" s="36" cm="1">
        <f t="array" ref="AZ16">IF(
    AND($H16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($H16 / 1000) * AZ$10 * $BN$4 * 0.25
    ),
    0
)
+
IF(
    $N16 &lt; 0.875,
    MAX(0, MIN(($H16 / 1000) * AZ$10 * $BN$4, AZ$11 * 0.876) - (AZ$11 * $N16)) * 0.25,
    0
)</f>
        <v>0</v>
      </c>
      <c r="BA16" s="36" cm="1">
        <f t="array" ref="BA16">IF(
    AND($H16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($H16 / 1000) * BA$10 * $BN$4 * 0.25
    ),
    0
)
+
IF(
    $N16 &lt; 0.875,
    MAX(0, MIN(($H16 / 1000) * BA$10 * $BN$4, BA$11 * 0.876) - (BA$11 * $N16)) * 0.25,
    0
)</f>
        <v>0</v>
      </c>
      <c r="BB16" s="36" cm="1">
        <f t="array" ref="BB16">IF(
    AND($H16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($H16 / 1000) * BB$10 * $BN$4 * 0.25
    ),
    0
)
+
IF(
    $N16 &lt; 0.875,
    MAX(0, MIN(($H16 / 1000) * BB$10 * $BN$4, BB$11 * 0.876) - (BB$11 * $N16)) * 0.25,
    0
)</f>
        <v>0</v>
      </c>
      <c r="BC16" s="36" cm="1">
        <f t="array" ref="BC16">IF(
    AND($H16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($H16 / 1000) * BC$10 * $BN$4 * 0.25
    ),
    0
)
+
IF(
    $N16 &lt; 0.875,
    MAX(0, MIN(($H16 / 1000) * BC$10 * $BN$4, BC$11 * 0.876) - (BC$11 * $N16)) * 0.25,
    0
)</f>
        <v>0</v>
      </c>
      <c r="BD16" s="36" cm="1">
        <f t="array" ref="BD16">IF(
    AND($H16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($H16 / 1000) * BD$10 * $BN$4 * 0.25
    ),
    0
)
+
IF(
    $N16 &lt; 0.875,
    MAX(0, MIN(($H16 / 1000) * BD$10 * $BN$4, BD$11 * 0.876) - (BD$11 * $N16)) * 0.25,
    0
)</f>
        <v>0</v>
      </c>
      <c r="BE16" s="36" cm="1">
        <f t="array" ref="BE16">IF(
    AND($H16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($H16 / 1000) * BE$10 * $BN$4 * 0.25
    ),
    0
)
+
IF(
    $N16 &lt; 0.875,
    MAX(0, MIN(($H16 / 1000) * BE$10 * $BN$4, BE$11 * 0.876) - (BE$11 * $N16)) * 0.25,
    0
)</f>
        <v>0</v>
      </c>
      <c r="BF16" s="36" cm="1">
        <f t="array" ref="BF16">IF(
    AND($H16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($H16 / 1000) * BF$10 * $BN$4 * 0.25
    ),
    0
)
+
IF(
    $N16 &lt; 0.875,
    MAX(0, MIN(($H16 / 1000) * BF$10 * $BN$4, BF$11 * 0.876) - (BF$11 * $N16)) * 0.25,
    0
)</f>
        <v>0</v>
      </c>
      <c r="BG16" s="8">
        <f>AVERAGE(TabellaMar2026[[#This Row],[Colonna55]:[Colonna53]])</f>
        <v>0</v>
      </c>
      <c r="BH16" s="8">
        <f>MAX(TabellaMar2026[[#This Row],[Colonna55]:[Colonna53]])</f>
        <v>0</v>
      </c>
      <c r="BI16" s="35">
        <f>MIN(TabellaMar2026[[#This Row],[Colonna55]:[Colonna53]])</f>
        <v>0</v>
      </c>
      <c r="BJ16" s="48">
        <f>SUM(TabellaMar2026[[#This Row],[Colonna54]:[Colonna53]])</f>
        <v>0</v>
      </c>
      <c r="BK16" s="54">
        <f>(SUM(Tabella01MarzoInverter[[Active power TX1-INV-1]:[Active power TX3-INV-12]]) * 0.25) / (12625 * (SUM($G$15:$H$110) * 0.25 / 1000))</f>
        <v>1.014229628761051</v>
      </c>
      <c r="BL16" s="5"/>
      <c r="BM16" s="5"/>
      <c r="BN16" s="8"/>
      <c r="BO16" s="8"/>
      <c r="BP16" s="19"/>
    </row>
    <row r="17" spans="1:68" s="3" customFormat="1" x14ac:dyDescent="0.25">
      <c r="A17" s="18">
        <v>46147</v>
      </c>
      <c r="B17" t="s">
        <v>17</v>
      </c>
      <c r="C17" s="5">
        <v>-1</v>
      </c>
      <c r="D17" s="6">
        <v>-2.5000000000000001E-4</v>
      </c>
      <c r="E17" s="6">
        <v>0</v>
      </c>
      <c r="F17" s="6">
        <v>0</v>
      </c>
      <c r="G17" s="6">
        <f>IFERROR((D17+F17)/2, 0)</f>
        <v>-1.25E-4</v>
      </c>
      <c r="H17" s="7">
        <f>IFERROR(IF(AVERAGE(C17,E17)&gt;$BN$7,AVERAGE(C17,E17),0), 0)</f>
        <v>0</v>
      </c>
      <c r="I17" s="7">
        <f>IFERROR(IF(AND(D17=0,F17=0),0,IF(H17&gt;$BN$6,MAX(D17,F17),G17)), 0)</f>
        <v>-1.25E-4</v>
      </c>
      <c r="J17" s="6">
        <f>IFERROR(IF(AND(D17&gt;0,F17&gt;0),ABS(D17-F17)/AVERAGE(D17,F17),0), 0)</f>
        <v>0</v>
      </c>
      <c r="K17" s="6">
        <v>30386.2</v>
      </c>
      <c r="L17" s="6">
        <v>30386.2</v>
      </c>
      <c r="M17" s="8">
        <f>IFERROR((L17-K17)*1000, 0)</f>
        <v>0</v>
      </c>
      <c r="N17" s="6">
        <v>0.87599999999999989</v>
      </c>
      <c r="O17" s="8" cm="1">
        <f t="array" ref="O17">IF(
    AND($H17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($H17 / 1000) * O$10 * $BN$4 * 0.25
    ),
    0
)
+
IF(
    $N17 &lt; 0.875,
    MAX(0, MIN(($H17 / 1000) * O$10 * $BN$4, O$11 * 0.876) - (O$11 * $N17)) * 0.25,
    0
)</f>
        <v>0</v>
      </c>
      <c r="P17" s="8" cm="1">
        <f t="array" ref="P17">IF(
    AND($H17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($H17 / 1000) * P$10 * $BN$4 * 0.25
    ),
    0
)
+
IF(
    $N17 &lt; 0.875,
    MAX(0, MIN(($H17 / 1000) * P$10 * $BN$4, P$11 * 0.876) - (P$11 * $N17)) * 0.25,
    0
)</f>
        <v>0</v>
      </c>
      <c r="Q17" s="8" cm="1">
        <f t="array" ref="Q17">IF(
    AND($H17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($H17 / 1000) * Q$10 * $BN$4 * 0.25
    ),
    0
)
+
IF(
    $N17 &lt; 0.875,
    MAX(0, MIN(($H17 / 1000) * Q$10 * $BN$4, Q$11 * 0.876) - (Q$11 * $N17)) * 0.25,
    0
)</f>
        <v>0</v>
      </c>
      <c r="R17" s="8" cm="1">
        <f t="array" ref="R17">IF(
    AND($H17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($H17 / 1000) * R$10 * $BN$4 * 0.25
    ),
    0
)
+
IF(
    $N17 &lt; 0.875,
    MAX(0, MIN(($H17 / 1000) * R$10 * $BN$4, R$11 * 0.876) - (R$11 * $N17)) * 0.25,
    0
)</f>
        <v>0</v>
      </c>
      <c r="S17" s="8" cm="1">
        <f t="array" ref="S17">IF(
    AND($H17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($H17 / 1000) * S$10 * $BN$4 * 0.25
    ),
    0
)
+
IF(
    $N17 &lt; 0.875,
    MAX(0, MIN(($H17 / 1000) * S$10 * $BN$4, S$11 * 0.876) - (S$11 * $N17)) * 0.25,
    0
)</f>
        <v>0</v>
      </c>
      <c r="T17" s="8" cm="1">
        <f t="array" ref="T17">IF(
    AND($H17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($H17 / 1000) * T$10 * $BN$4 * 0.25
    ),
    0
)
+
IF(
    $N17 &lt; 0.875,
    MAX(0, MIN(($H17 / 1000) * T$10 * $BN$4, T$11 * 0.876) - (T$11 * $N17)) * 0.25,
    0
)</f>
        <v>0</v>
      </c>
      <c r="U17" s="8" cm="1">
        <f t="array" ref="U17">IF(
    AND($H17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($H17 / 1000) * U$10 * $BN$4 * 0.25
    ),
    0
)
+
IF(
    $N17 &lt; 0.875,
    MAX(0, MIN(($H17 / 1000) * U$10 * $BN$4, U$11 * 0.876) - (U$11 * $N17)) * 0.25,
    0
)</f>
        <v>0</v>
      </c>
      <c r="V17" s="8" cm="1">
        <f t="array" ref="V17">IF(
    AND($H17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($H17 / 1000) * V$10 * $BN$4 * 0.25
    ),
    0
)
+
IF(
    $N17 &lt; 0.875,
    MAX(0, MIN(($H17 / 1000) * V$10 * $BN$4, V$11 * 0.876) - (V$11 * $N17)) * 0.25,
    0
)</f>
        <v>0</v>
      </c>
      <c r="W17" s="8" cm="1">
        <f t="array" ref="W17">IF(
    AND($H17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($H17 / 1000) * W$10 * $BN$4 * 0.25
    ),
    0
)
+
IF(
    $N17 &lt; 0.875,
    MAX(0, MIN(($H17 / 1000) * W$10 * $BN$4, W$11 * 0.876) - (W$11 * $N17)) * 0.25,
    0
)</f>
        <v>0</v>
      </c>
      <c r="X17" s="8" cm="1">
        <f t="array" ref="X17">IF(
    AND($H17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($H17 / 1000) * X$10 * $BN$4 * 0.25
    ),
    0
)
+
IF(
    $N17 &lt; 0.875,
    MAX(0, MIN(($H17 / 1000) * X$10 * $BN$4, X$11 * 0.876) - (X$11 * $N17)) * 0.25,
    0
)</f>
        <v>0</v>
      </c>
      <c r="Y17" s="8" cm="1">
        <f t="array" ref="Y17">IF(
    AND($H17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($H17 / 1000) * Y$10 * $BN$4 * 0.25
    ),
    0
)
+
IF(
    $N17 &lt; 0.875,
    MAX(0, MIN(($H17 / 1000) * Y$10 * $BN$4, Y$11 * 0.876) - (Y$11 * $N17)) * 0.25,
    0
)</f>
        <v>0</v>
      </c>
      <c r="Z17" s="8" cm="1">
        <f t="array" ref="Z17">IF(
    AND($H17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($H17 / 1000) * Z$10 * $BN$4 * 0.25
    ),
    0
)
+
IF(
    $N17 &lt; 0.875,
    MAX(0, MIN(($H17 / 1000) * Z$10 * $BN$4, Z$11 * 0.876) - (Z$11 * $N17)) * 0.25,
    0
)</f>
        <v>0</v>
      </c>
      <c r="AA17" s="8">
        <f>AVERAGE(TabellaMar2026[[#This Row],[Colonna24]:[Colonna20]])</f>
        <v>0</v>
      </c>
      <c r="AB17" s="8">
        <f>MAX(TabellaMar2026[[#This Row],[Colonna24]:[Colonna20]])</f>
        <v>0</v>
      </c>
      <c r="AC17" s="35">
        <f>MIN(TabellaMar2026[[#This Row],[Colonna24]:[Colonna20]])</f>
        <v>0</v>
      </c>
      <c r="AD17" s="44">
        <f>SUM(TabellaMar2026[[#This Row],[Colonna24]:[Colonna20]])</f>
        <v>0</v>
      </c>
      <c r="AE17" s="36">
        <f>IF(
    AND($H17 &gt; $BN$7, Tabella01MarzoInverter[[#This Row],[Active power TX2-INV-1]] &lt;= 0, Tabella01MarzoInverter[[#This Row],[TX2 - Average Power]] &lt;= 0),
    MIN(($H17 / 1000) * AE$10 * $BN$4, AE$11 * 0.876) * 0.25,
    IF(
        AND($H17 &gt; $BN$7, Tabella01MarzoInverter[[#This Row],[Active power TX2-INV-1]] &lt;= 0),
        Tabella01MarzoInverter[[#This Row],[TX2 - Average Power]] * 0.25,
        0
    )
    +
    IF(
        $N17 &lt; 0.875,
        MAX(0, MIN(($H17 / 1000) * AE$10 * $BN$4, AE$11 * 0.876) - (AE$11 * $N17)) * 0.25,
        0
    )
)</f>
        <v>0</v>
      </c>
      <c r="AF17" s="36">
        <f>IF(
    AND($H17 &gt; $BN$7, Tabella01MarzoInverter[[#This Row],[Active power TX2-INV-2]] &lt;= 0, Tabella01MarzoInverter[[#This Row],[TX2 - Max Power]] &lt;= 0),
    MIN(($H17 / 1000) * AF$10 * $BN$4, AF$11 * 0.876) * 0.25,
    IF(
        AND($H17 &gt; $BN$7, Tabella01MarzoInverter[[#This Row],[Active power TX2-INV-2]] &lt;= 0),
        Tabella01MarzoInverter[[#This Row],[TX2 - Max Power]] * 0.25,
        0
    )
    +
    IF(
        $N17 &lt; 0.875,
        MAX(0, MIN(($H17 / 1000) * AF$10 * $BN$4, AF$11 * 0.876) - (AF$11 * $N17)) * 0.25,
        0
    )
)</f>
        <v>0</v>
      </c>
      <c r="AG17" s="36">
        <f>IF(
    AND($H17 &gt; $BN$7, Tabella01MarzoInverter[[#This Row],[Active power TX2-INV-3]] &lt;= 0, Tabella01MarzoInverter[[#This Row],[TX2 - Min Power]] &lt;= 0),
    MIN(($H17 / 1000) * AG$10 * $BN$4, AG$11 * 0.876) * 0.25,
    IF(
        AND($H17 &gt; $BN$7, Tabella01MarzoInverter[[#This Row],[Active power TX2-INV-3]] &lt;= 0),
        Tabella01MarzoInverter[[#This Row],[TX2 - Min Power]] * 0.25,
        0
    )
    +
    IF(
        $N17 &lt; 0.875,
        MAX(0, MIN(($H17 / 1000) * AG$10 * $BN$4, AG$11 * 0.876) - (AG$11 * $N17)) * 0.25,
        0
    )
)</f>
        <v>0</v>
      </c>
      <c r="AH17" s="36">
        <f>IF(
    AND($H17 &gt; $BN$7, Tabella01MarzoInverter[[#This Row],[Active power TX2-INV-4]] &lt;= 0, Tabella01MarzoInverter[[#This Row],[Active power TX3-INV-1]] &lt;= 0),
    MIN(($H17 / 1000) * AH$10 * $BN$4, AH$11 * 0.876) * 0.25,
    IF(
        AND($H17 &gt; $BN$7, Tabella01MarzoInverter[[#This Row],[Active power TX2-INV-4]] &lt;= 0),
        Tabella01MarzoInverter[[#This Row],[Active power TX3-INV-1]] * 0.25,
        0
    )
    +
    IF(
        $N17 &lt; 0.875,
        MAX(0, MIN(($H17 / 1000) * AH$10 * $BN$4, AH$11 * 0.876) - (AH$11 * $N17)) * 0.25,
        0
    )
)</f>
        <v>0</v>
      </c>
      <c r="AI17" s="36">
        <f>IF(
    AND($H17 &gt; $BN$7, Tabella01MarzoInverter[[#This Row],[Active power TX2-INV-5]] &lt;= 0, Tabella01MarzoInverter[[#This Row],[Active power TX3-INV-2]] &lt;= 0),
    MIN(($H17 / 1000) * AI$10 * $BN$4, AI$11 * 0.876) * 0.25,
    IF(
        AND($H17 &gt; $BN$7, Tabella01MarzoInverter[[#This Row],[Active power TX2-INV-5]] &lt;= 0),
        Tabella01MarzoInverter[[#This Row],[Active power TX3-INV-2]] * 0.25,
        0
    )
    +
    IF(
        $N17 &lt; 0.875,
        MAX(0, MIN(($H17 / 1000) * AI$10 * $BN$4, AI$11 * 0.876) - (AI$11 * $N17)) * 0.25,
        0
    )
)</f>
        <v>0</v>
      </c>
      <c r="AJ17" s="36">
        <f>IF(
    AND($H17 &gt; $BN$7, Tabella01MarzoInverter[[#This Row],[Active power TX2-INV-6]] &lt;= 0, Tabella01MarzoInverter[[#This Row],[Active power TX3-INV-3]] &lt;= 0),
    MIN(($H17 / 1000) * AJ$10 * $BN$4, AJ$11 * 0.876) * 0.25,
    IF(
        AND($H17 &gt; $BN$7, Tabella01MarzoInverter[[#This Row],[Active power TX2-INV-6]] &lt;= 0),
        Tabella01MarzoInverter[[#This Row],[Active power TX3-INV-3]] * 0.25,
        0
    )
    +
    IF(
        $N17 &lt; 0.875,
        MAX(0, MIN(($H17 / 1000) * AJ$10 * $BN$4, AJ$11 * 0.876) - (AJ$11 * $N17)) * 0.25,
        0
    )
)</f>
        <v>0</v>
      </c>
      <c r="AK17" s="36">
        <f>IF(
    AND($H17 &gt; $BN$7, Tabella01MarzoInverter[[#This Row],[Active power TX2-INV-7]] &lt;= 0, Tabella01MarzoInverter[[#This Row],[Active power TX3-INV-4]] &lt;= 0),
    MIN(($H17 / 1000) * AK$10 * $BN$4, AK$11 * 0.876) * 0.25,
    IF(
        AND($H17 &gt; $BN$7, Tabella01MarzoInverter[[#This Row],[Active power TX2-INV-7]] &lt;= 0),
        Tabella01MarzoInverter[[#This Row],[Active power TX3-INV-4]] * 0.25,
        0
    )
    +
    IF(
        $N17 &lt; 0.875,
        MAX(0, MIN(($H17 / 1000) * AK$10 * $BN$4, AK$11 * 0.876) - (AK$11 * $N17)) * 0.25,
        0
    )
)</f>
        <v>0</v>
      </c>
      <c r="AL17" s="36">
        <f>IF(
    AND($H17 &gt; $BN$7, Tabella01MarzoInverter[[#This Row],[Active power TX2-INV-8]] &lt;= 0, Tabella01MarzoInverter[[#This Row],[Active power TX3-INV-5]] &lt;= 0),
    MIN(($H17 / 1000) * AL$10 * $BN$4, AL$11 * 0.876) * 0.25,
    IF(
        AND($H17 &gt; $BN$7, Tabella01MarzoInverter[[#This Row],[Active power TX2-INV-8]] &lt;= 0),
        Tabella01MarzoInverter[[#This Row],[Active power TX3-INV-5]] * 0.25,
        0
    )
    +
    IF(
        $N17 &lt; 0.875,
        MAX(0, MIN(($H17 / 1000) * AL$10 * $BN$4, AL$11 * 0.876) - (AL$11 * $N17)) * 0.25,
        0
    )
)</f>
        <v>0</v>
      </c>
      <c r="AM17" s="36">
        <f>IF(
    AND($H17 &gt; $BN$7, Tabella01MarzoInverter[[#This Row],[Active power TX2-INV-9]] &lt;= 0, Tabella01MarzoInverter[[#This Row],[Active power TX3-INV-6]] &lt;= 0),
    MIN(($H17 / 1000) * AM$10 * $BN$4, AM$11 * 0.876) * 0.25,
    IF(
        AND($H17 &gt; $BN$7, Tabella01MarzoInverter[[#This Row],[Active power TX2-INV-9]] &lt;= 0),
        Tabella01MarzoInverter[[#This Row],[Active power TX3-INV-6]] * 0.25,
        0
    )
    +
    IF(
        $N17 &lt; 0.875,
        MAX(0, MIN(($H17 / 1000) * AM$10 * $BN$4, AM$11 * 0.876) - (AM$11 * $N17)) * 0.25,
        0
    )
)</f>
        <v>0</v>
      </c>
      <c r="AN17" s="36">
        <f>IF(
    AND($H17 &gt; $BN$7, Tabella01MarzoInverter[[#This Row],[Active power TX2-INV-10]] &lt;= 0, Tabella01MarzoInverter[[#This Row],[Active power TX3-INV-7]] &lt;= 0),
    MIN(($H17 / 1000) * AN$10 * $BN$4, AN$11 * 0.876) * 0.25,
    IF(
        AND($H17 &gt; $BN$7, Tabella01MarzoInverter[[#This Row],[Active power TX2-INV-10]] &lt;= 0),
        Tabella01MarzoInverter[[#This Row],[Active power TX3-INV-7]] * 0.25,
        0
    )
    +
    IF(
        $N17 &lt; 0.875,
        MAX(0, MIN(($H17 / 1000) * AN$10 * $BN$4, AN$11 * 0.876) - (AN$11 * $N17)) * 0.25,
        0
    )
)</f>
        <v>0</v>
      </c>
      <c r="AO17" s="36">
        <f>IF(
    AND($H17 &gt; $BN$7, Tabella01MarzoInverter[[#This Row],[Active power TX2-INV-11]] &lt;= 0, Tabella01MarzoInverter[[#This Row],[Active power TX3-INV-8]] &lt;= 0),
    MIN(($H17 / 1000) * AO$10 * $BN$4, AO$11 * 0.876) * 0.25,
    IF(
        AND($H17 &gt; $BN$7, Tabella01MarzoInverter[[#This Row],[Active power TX2-INV-11]] &lt;= 0),
        Tabella01MarzoInverter[[#This Row],[Active power TX3-INV-8]] * 0.25,
        0
    )
    +
    IF(
        $N17 &lt; 0.875,
        MAX(0, MIN(($H17 / 1000) * AO$10 * $BN$4, AO$11 * 0.876) - (AO$11 * $N17)) * 0.25,
        0
    )
)</f>
        <v>0</v>
      </c>
      <c r="AP17" s="36">
        <f>IF(
    AND($H17 &gt; $BN$7, Tabella01MarzoInverter[[#This Row],[Active power TX2-INV-12]] &lt;= 0, Tabella01MarzoInverter[[#This Row],[Active power TX3-INV-9]] &lt;= 0),
    MIN(($H17 / 1000) * AP$10 * $BN$4, AP$11 * 0.876) * 0.25,
    IF(
        AND($H17 &gt; $BN$7, Tabella01MarzoInverter[[#This Row],[Active power TX2-INV-12]] &lt;= 0),
        Tabella01MarzoInverter[[#This Row],[Active power TX3-INV-9]] * 0.25,
        0
    )
    +
    IF(
        $N17 &lt; 0.875,
        MAX(0, MIN(($H17 / 1000) * AP$10 * $BN$4, AP$11 * 0.876) - (AP$11 * $N17)) * 0.25,
        0
    )
)</f>
        <v>0</v>
      </c>
      <c r="AQ17" s="8">
        <f>AVERAGE(TabellaMar2026[[#This Row],[Colonna39]:[Colonna6]])</f>
        <v>0</v>
      </c>
      <c r="AR17" s="8">
        <f>MAX(TabellaMar2026[[#This Row],[Colonna39]:[Colonna6]])</f>
        <v>0</v>
      </c>
      <c r="AS17" s="35">
        <f>MIN(TabellaMar2026[[#This Row],[Colonna39]:[Colonna6]])</f>
        <v>0</v>
      </c>
      <c r="AT17" s="48">
        <f>SUM(TabellaMar2026[[#This Row],[Colonna39]:[Colonna6]])</f>
        <v>0</v>
      </c>
      <c r="AU17" s="36" cm="1">
        <f t="array" ref="AU17">IF(
    AND($H17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($H17 / 1000) * AU$10 * $BN$4 * 0.25
    ),
    0
)
+
IF(
    $N17 &lt; 0.875,
    MAX(0, MIN(($H17 / 1000) * AU$10 * $BN$4, AU$11 * 0.876) - (AU$11 * $N17)) * 0.25,
    0
)</f>
        <v>0</v>
      </c>
      <c r="AV17" s="36" cm="1">
        <f t="array" ref="AV17">IF(
    AND($H17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($H17 / 1000) * AV$10 * $BN$4 * 0.25
    ),
    0
)
+
IF(
    $N17 &lt; 0.875,
    MAX(0, MIN(($H17 / 1000) * AV$10 * $BN$4, AV$11 * 0.876) - (AV$11 * $N17)) * 0.25,
    0
)</f>
        <v>0</v>
      </c>
      <c r="AW17" s="36" cm="1">
        <f t="array" ref="AW17">IF(
    AND($H17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($H17 / 1000) * AW$10 * $BN$4 * 0.25
    ),
    0
)
+
IF(
    $N17 &lt; 0.875,
    MAX(0, MIN(($H17 / 1000) * AW$10 * $BN$4, AW$11 * 0.876) - (AW$11 * $N17)) * 0.25,
    0
)</f>
        <v>0</v>
      </c>
      <c r="AX17" s="36" cm="1">
        <f t="array" ref="AX17">IF(
    AND($H17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($H17 / 1000) * AX$10 * $BN$4 * 0.25
    ),
    0
)
+
IF(
    $N17 &lt; 0.875,
    MAX(0, MIN(($H17 / 1000) * AX$10 * $BN$4, AX$11 * 0.876) - (AX$11 * $N17)) * 0.25,
    0
)</f>
        <v>0</v>
      </c>
      <c r="AY17" s="36" cm="1">
        <f t="array" ref="AY17">IF(
    AND($H17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($H17 / 1000) * AY$10 * $BN$4 * 0.25
    ),
    0
)
+
IF(
    $N17 &lt; 0.875,
    MAX(0, MIN(($H17 / 1000) * AY$10 * $BN$4, AY$11 * 0.876) - (AY$11 * $N17)) * 0.25,
    0
)</f>
        <v>0</v>
      </c>
      <c r="AZ17" s="36" cm="1">
        <f t="array" ref="AZ17">IF(
    AND($H17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($H17 / 1000) * AZ$10 * $BN$4 * 0.25
    ),
    0
)
+
IF(
    $N17 &lt; 0.875,
    MAX(0, MIN(($H17 / 1000) * AZ$10 * $BN$4, AZ$11 * 0.876) - (AZ$11 * $N17)) * 0.25,
    0
)</f>
        <v>0</v>
      </c>
      <c r="BA17" s="36" cm="1">
        <f t="array" ref="BA17">IF(
    AND($H17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($H17 / 1000) * BA$10 * $BN$4 * 0.25
    ),
    0
)
+
IF(
    $N17 &lt; 0.875,
    MAX(0, MIN(($H17 / 1000) * BA$10 * $BN$4, BA$11 * 0.876) - (BA$11 * $N17)) * 0.25,
    0
)</f>
        <v>0</v>
      </c>
      <c r="BB17" s="36" cm="1">
        <f t="array" ref="BB17">IF(
    AND($H17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($H17 / 1000) * BB$10 * $BN$4 * 0.25
    ),
    0
)
+
IF(
    $N17 &lt; 0.875,
    MAX(0, MIN(($H17 / 1000) * BB$10 * $BN$4, BB$11 * 0.876) - (BB$11 * $N17)) * 0.25,
    0
)</f>
        <v>0</v>
      </c>
      <c r="BC17" s="36" cm="1">
        <f t="array" ref="BC17">IF(
    AND($H17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($H17 / 1000) * BC$10 * $BN$4 * 0.25
    ),
    0
)
+
IF(
    $N17 &lt; 0.875,
    MAX(0, MIN(($H17 / 1000) * BC$10 * $BN$4, BC$11 * 0.876) - (BC$11 * $N17)) * 0.25,
    0
)</f>
        <v>0</v>
      </c>
      <c r="BD17" s="36" cm="1">
        <f t="array" ref="BD17">IF(
    AND($H17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($H17 / 1000) * BD$10 * $BN$4 * 0.25
    ),
    0
)
+
IF(
    $N17 &lt; 0.875,
    MAX(0, MIN(($H17 / 1000) * BD$10 * $BN$4, BD$11 * 0.876) - (BD$11 * $N17)) * 0.25,
    0
)</f>
        <v>0</v>
      </c>
      <c r="BE17" s="36" cm="1">
        <f t="array" ref="BE17">IF(
    AND($H17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($H17 / 1000) * BE$10 * $BN$4 * 0.25
    ),
    0
)
+
IF(
    $N17 &lt; 0.875,
    MAX(0, MIN(($H17 / 1000) * BE$10 * $BN$4, BE$11 * 0.876) - (BE$11 * $N17)) * 0.25,
    0
)</f>
        <v>0</v>
      </c>
      <c r="BF17" s="36" cm="1">
        <f t="array" ref="BF17">IF(
    AND($H17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($H17 / 1000) * BF$10 * $BN$4 * 0.25
    ),
    0
)
+
IF(
    $N17 &lt; 0.875,
    MAX(0, MIN(($H17 / 1000) * BF$10 * $BN$4, BF$11 * 0.876) - (BF$11 * $N17)) * 0.25,
    0
)</f>
        <v>0</v>
      </c>
      <c r="BG17" s="8">
        <f>AVERAGE(TabellaMar2026[[#This Row],[Colonna55]:[Colonna53]])</f>
        <v>0</v>
      </c>
      <c r="BH17" s="8">
        <f>MAX(TabellaMar2026[[#This Row],[Colonna55]:[Colonna53]])</f>
        <v>0</v>
      </c>
      <c r="BI17" s="35">
        <f>MIN(TabellaMar2026[[#This Row],[Colonna55]:[Colonna53]])</f>
        <v>0</v>
      </c>
      <c r="BJ17" s="48">
        <f>SUM(TabellaMar2026[[#This Row],[Colonna54]:[Colonna53]])</f>
        <v>0</v>
      </c>
      <c r="BK17" s="54">
        <f>(SUM(Tabella01MarzoInverter[[Active power TX1-INV-1]:[Active power TX3-INV-12]]) * 0.25) / (12625 * (SUM($G$15:$H$110) * 0.25 / 1000))</f>
        <v>1.014229628761051</v>
      </c>
      <c r="BL17" s="5"/>
      <c r="BM17" s="5"/>
      <c r="BN17" s="8"/>
      <c r="BO17" s="8"/>
      <c r="BP17" s="19"/>
    </row>
    <row r="18" spans="1:68" s="3" customFormat="1" x14ac:dyDescent="0.25">
      <c r="A18" s="18">
        <v>46147</v>
      </c>
      <c r="B18" t="s">
        <v>18</v>
      </c>
      <c r="C18" s="5">
        <v>-0.5</v>
      </c>
      <c r="D18" s="6">
        <v>-1.25E-4</v>
      </c>
      <c r="E18" s="6">
        <v>0</v>
      </c>
      <c r="F18" s="6">
        <v>0</v>
      </c>
      <c r="G18" s="6">
        <f>IFERROR((D18+F18)/2, 0)</f>
        <v>-6.2500000000000001E-5</v>
      </c>
      <c r="H18" s="7">
        <f>IFERROR(IF(AVERAGE(C18,E18)&gt;$BN$7,AVERAGE(C18,E18),0), 0)</f>
        <v>0</v>
      </c>
      <c r="I18" s="7">
        <f>IFERROR(IF(AND(D18=0,F18=0),0,IF(H18&gt;$BN$6,MAX(D18,F18),G18)), 0)</f>
        <v>-6.2500000000000001E-5</v>
      </c>
      <c r="J18" s="6">
        <f>IFERROR(IF(AND(D18&gt;0,F18&gt;0),ABS(D18-F18)/AVERAGE(D18,F18),0), 0)</f>
        <v>0</v>
      </c>
      <c r="K18" s="6">
        <v>30386.2</v>
      </c>
      <c r="L18" s="6">
        <v>30386.2</v>
      </c>
      <c r="M18" s="8">
        <f>IFERROR((L18-K18)*1000, 0)</f>
        <v>0</v>
      </c>
      <c r="N18" s="6">
        <v>0.87599999999999989</v>
      </c>
      <c r="O18" s="8" cm="1">
        <f t="array" ref="O18">IF(
    AND($H18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($H18 / 1000) * O$10 * $BN$4 * 0.25
    ),
    0
)
+
IF(
    $N18 &lt; 0.875,
    MAX(0, MIN(($H18 / 1000) * O$10 * $BN$4, O$11 * 0.876) - (O$11 * $N18)) * 0.25,
    0
)</f>
        <v>0</v>
      </c>
      <c r="P18" s="8" cm="1">
        <f t="array" ref="P18">IF(
    AND($H18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($H18 / 1000) * P$10 * $BN$4 * 0.25
    ),
    0
)
+
IF(
    $N18 &lt; 0.875,
    MAX(0, MIN(($H18 / 1000) * P$10 * $BN$4, P$11 * 0.876) - (P$11 * $N18)) * 0.25,
    0
)</f>
        <v>0</v>
      </c>
      <c r="Q18" s="8" cm="1">
        <f t="array" ref="Q18">IF(
    AND($H18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($H18 / 1000) * Q$10 * $BN$4 * 0.25
    ),
    0
)
+
IF(
    $N18 &lt; 0.875,
    MAX(0, MIN(($H18 / 1000) * Q$10 * $BN$4, Q$11 * 0.876) - (Q$11 * $N18)) * 0.25,
    0
)</f>
        <v>0</v>
      </c>
      <c r="R18" s="8" cm="1">
        <f t="array" ref="R18">IF(
    AND($H18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($H18 / 1000) * R$10 * $BN$4 * 0.25
    ),
    0
)
+
IF(
    $N18 &lt; 0.875,
    MAX(0, MIN(($H18 / 1000) * R$10 * $BN$4, R$11 * 0.876) - (R$11 * $N18)) * 0.25,
    0
)</f>
        <v>0</v>
      </c>
      <c r="S18" s="8" cm="1">
        <f t="array" ref="S18">IF(
    AND($H18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($H18 / 1000) * S$10 * $BN$4 * 0.25
    ),
    0
)
+
IF(
    $N18 &lt; 0.875,
    MAX(0, MIN(($H18 / 1000) * S$10 * $BN$4, S$11 * 0.876) - (S$11 * $N18)) * 0.25,
    0
)</f>
        <v>0</v>
      </c>
      <c r="T18" s="8" cm="1">
        <f t="array" ref="T18">IF(
    AND($H18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($H18 / 1000) * T$10 * $BN$4 * 0.25
    ),
    0
)
+
IF(
    $N18 &lt; 0.875,
    MAX(0, MIN(($H18 / 1000) * T$10 * $BN$4, T$11 * 0.876) - (T$11 * $N18)) * 0.25,
    0
)</f>
        <v>0</v>
      </c>
      <c r="U18" s="8" cm="1">
        <f t="array" ref="U18">IF(
    AND($H18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($H18 / 1000) * U$10 * $BN$4 * 0.25
    ),
    0
)
+
IF(
    $N18 &lt; 0.875,
    MAX(0, MIN(($H18 / 1000) * U$10 * $BN$4, U$11 * 0.876) - (U$11 * $N18)) * 0.25,
    0
)</f>
        <v>0</v>
      </c>
      <c r="V18" s="8" cm="1">
        <f t="array" ref="V18">IF(
    AND($H18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($H18 / 1000) * V$10 * $BN$4 * 0.25
    ),
    0
)
+
IF(
    $N18 &lt; 0.875,
    MAX(0, MIN(($H18 / 1000) * V$10 * $BN$4, V$11 * 0.876) - (V$11 * $N18)) * 0.25,
    0
)</f>
        <v>0</v>
      </c>
      <c r="W18" s="8" cm="1">
        <f t="array" ref="W18">IF(
    AND($H18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($H18 / 1000) * W$10 * $BN$4 * 0.25
    ),
    0
)
+
IF(
    $N18 &lt; 0.875,
    MAX(0, MIN(($H18 / 1000) * W$10 * $BN$4, W$11 * 0.876) - (W$11 * $N18)) * 0.25,
    0
)</f>
        <v>0</v>
      </c>
      <c r="X18" s="8" cm="1">
        <f t="array" ref="X18">IF(
    AND($H18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($H18 / 1000) * X$10 * $BN$4 * 0.25
    ),
    0
)
+
IF(
    $N18 &lt; 0.875,
    MAX(0, MIN(($H18 / 1000) * X$10 * $BN$4, X$11 * 0.876) - (X$11 * $N18)) * 0.25,
    0
)</f>
        <v>0</v>
      </c>
      <c r="Y18" s="8" cm="1">
        <f t="array" ref="Y18">IF(
    AND($H18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($H18 / 1000) * Y$10 * $BN$4 * 0.25
    ),
    0
)
+
IF(
    $N18 &lt; 0.875,
    MAX(0, MIN(($H18 / 1000) * Y$10 * $BN$4, Y$11 * 0.876) - (Y$11 * $N18)) * 0.25,
    0
)</f>
        <v>0</v>
      </c>
      <c r="Z18" s="8" cm="1">
        <f t="array" ref="Z18">IF(
    AND($H18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($H18 / 1000) * Z$10 * $BN$4 * 0.25
    ),
    0
)
+
IF(
    $N18 &lt; 0.875,
    MAX(0, MIN(($H18 / 1000) * Z$10 * $BN$4, Z$11 * 0.876) - (Z$11 * $N18)) * 0.25,
    0
)</f>
        <v>0</v>
      </c>
      <c r="AA18" s="8">
        <f>AVERAGE(TabellaMar2026[[#This Row],[Colonna24]:[Colonna20]])</f>
        <v>0</v>
      </c>
      <c r="AB18" s="8">
        <f>MAX(TabellaMar2026[[#This Row],[Colonna24]:[Colonna20]])</f>
        <v>0</v>
      </c>
      <c r="AC18" s="35">
        <f>MIN(TabellaMar2026[[#This Row],[Colonna24]:[Colonna20]])</f>
        <v>0</v>
      </c>
      <c r="AD18" s="44">
        <f>SUM(TabellaMar2026[[#This Row],[Colonna24]:[Colonna20]])</f>
        <v>0</v>
      </c>
      <c r="AE18" s="36">
        <f>IF(
    AND($H18 &gt; $BN$7, Tabella01MarzoInverter[[#This Row],[Active power TX2-INV-1]] &lt;= 0, Tabella01MarzoInverter[[#This Row],[TX2 - Average Power]] &lt;= 0),
    MIN(($H18 / 1000) * AE$10 * $BN$4, AE$11 * 0.876) * 0.25,
    IF(
        AND($H18 &gt; $BN$7, Tabella01MarzoInverter[[#This Row],[Active power TX2-INV-1]] &lt;= 0),
        Tabella01MarzoInverter[[#This Row],[TX2 - Average Power]] * 0.25,
        0
    )
    +
    IF(
        $N18 &lt; 0.875,
        MAX(0, MIN(($H18 / 1000) * AE$10 * $BN$4, AE$11 * 0.876) - (AE$11 * $N18)) * 0.25,
        0
    )
)</f>
        <v>0</v>
      </c>
      <c r="AF18" s="36">
        <f>IF(
    AND($H18 &gt; $BN$7, Tabella01MarzoInverter[[#This Row],[Active power TX2-INV-2]] &lt;= 0, Tabella01MarzoInverter[[#This Row],[TX2 - Max Power]] &lt;= 0),
    MIN(($H18 / 1000) * AF$10 * $BN$4, AF$11 * 0.876) * 0.25,
    IF(
        AND($H18 &gt; $BN$7, Tabella01MarzoInverter[[#This Row],[Active power TX2-INV-2]] &lt;= 0),
        Tabella01MarzoInverter[[#This Row],[TX2 - Max Power]] * 0.25,
        0
    )
    +
    IF(
        $N18 &lt; 0.875,
        MAX(0, MIN(($H18 / 1000) * AF$10 * $BN$4, AF$11 * 0.876) - (AF$11 * $N18)) * 0.25,
        0
    )
)</f>
        <v>0</v>
      </c>
      <c r="AG18" s="36">
        <f>IF(
    AND($H18 &gt; $BN$7, Tabella01MarzoInverter[[#This Row],[Active power TX2-INV-3]] &lt;= 0, Tabella01MarzoInverter[[#This Row],[TX2 - Min Power]] &lt;= 0),
    MIN(($H18 / 1000) * AG$10 * $BN$4, AG$11 * 0.876) * 0.25,
    IF(
        AND($H18 &gt; $BN$7, Tabella01MarzoInverter[[#This Row],[Active power TX2-INV-3]] &lt;= 0),
        Tabella01MarzoInverter[[#This Row],[TX2 - Min Power]] * 0.25,
        0
    )
    +
    IF(
        $N18 &lt; 0.875,
        MAX(0, MIN(($H18 / 1000) * AG$10 * $BN$4, AG$11 * 0.876) - (AG$11 * $N18)) * 0.25,
        0
    )
)</f>
        <v>0</v>
      </c>
      <c r="AH18" s="36">
        <f>IF(
    AND($H18 &gt; $BN$7, Tabella01MarzoInverter[[#This Row],[Active power TX2-INV-4]] &lt;= 0, Tabella01MarzoInverter[[#This Row],[Active power TX3-INV-1]] &lt;= 0),
    MIN(($H18 / 1000) * AH$10 * $BN$4, AH$11 * 0.876) * 0.25,
    IF(
        AND($H18 &gt; $BN$7, Tabella01MarzoInverter[[#This Row],[Active power TX2-INV-4]] &lt;= 0),
        Tabella01MarzoInverter[[#This Row],[Active power TX3-INV-1]] * 0.25,
        0
    )
    +
    IF(
        $N18 &lt; 0.875,
        MAX(0, MIN(($H18 / 1000) * AH$10 * $BN$4, AH$11 * 0.876) - (AH$11 * $N18)) * 0.25,
        0
    )
)</f>
        <v>0</v>
      </c>
      <c r="AI18" s="36">
        <f>IF(
    AND($H18 &gt; $BN$7, Tabella01MarzoInverter[[#This Row],[Active power TX2-INV-5]] &lt;= 0, Tabella01MarzoInverter[[#This Row],[Active power TX3-INV-2]] &lt;= 0),
    MIN(($H18 / 1000) * AI$10 * $BN$4, AI$11 * 0.876) * 0.25,
    IF(
        AND($H18 &gt; $BN$7, Tabella01MarzoInverter[[#This Row],[Active power TX2-INV-5]] &lt;= 0),
        Tabella01MarzoInverter[[#This Row],[Active power TX3-INV-2]] * 0.25,
        0
    )
    +
    IF(
        $N18 &lt; 0.875,
        MAX(0, MIN(($H18 / 1000) * AI$10 * $BN$4, AI$11 * 0.876) - (AI$11 * $N18)) * 0.25,
        0
    )
)</f>
        <v>0</v>
      </c>
      <c r="AJ18" s="36">
        <f>IF(
    AND($H18 &gt; $BN$7, Tabella01MarzoInverter[[#This Row],[Active power TX2-INV-6]] &lt;= 0, Tabella01MarzoInverter[[#This Row],[Active power TX3-INV-3]] &lt;= 0),
    MIN(($H18 / 1000) * AJ$10 * $BN$4, AJ$11 * 0.876) * 0.25,
    IF(
        AND($H18 &gt; $BN$7, Tabella01MarzoInverter[[#This Row],[Active power TX2-INV-6]] &lt;= 0),
        Tabella01MarzoInverter[[#This Row],[Active power TX3-INV-3]] * 0.25,
        0
    )
    +
    IF(
        $N18 &lt; 0.875,
        MAX(0, MIN(($H18 / 1000) * AJ$10 * $BN$4, AJ$11 * 0.876) - (AJ$11 * $N18)) * 0.25,
        0
    )
)</f>
        <v>0</v>
      </c>
      <c r="AK18" s="36">
        <f>IF(
    AND($H18 &gt; $BN$7, Tabella01MarzoInverter[[#This Row],[Active power TX2-INV-7]] &lt;= 0, Tabella01MarzoInverter[[#This Row],[Active power TX3-INV-4]] &lt;= 0),
    MIN(($H18 / 1000) * AK$10 * $BN$4, AK$11 * 0.876) * 0.25,
    IF(
        AND($H18 &gt; $BN$7, Tabella01MarzoInverter[[#This Row],[Active power TX2-INV-7]] &lt;= 0),
        Tabella01MarzoInverter[[#This Row],[Active power TX3-INV-4]] * 0.25,
        0
    )
    +
    IF(
        $N18 &lt; 0.875,
        MAX(0, MIN(($H18 / 1000) * AK$10 * $BN$4, AK$11 * 0.876) - (AK$11 * $N18)) * 0.25,
        0
    )
)</f>
        <v>0</v>
      </c>
      <c r="AL18" s="36">
        <f>IF(
    AND($H18 &gt; $BN$7, Tabella01MarzoInverter[[#This Row],[Active power TX2-INV-8]] &lt;= 0, Tabella01MarzoInverter[[#This Row],[Active power TX3-INV-5]] &lt;= 0),
    MIN(($H18 / 1000) * AL$10 * $BN$4, AL$11 * 0.876) * 0.25,
    IF(
        AND($H18 &gt; $BN$7, Tabella01MarzoInverter[[#This Row],[Active power TX2-INV-8]] &lt;= 0),
        Tabella01MarzoInverter[[#This Row],[Active power TX3-INV-5]] * 0.25,
        0
    )
    +
    IF(
        $N18 &lt; 0.875,
        MAX(0, MIN(($H18 / 1000) * AL$10 * $BN$4, AL$11 * 0.876) - (AL$11 * $N18)) * 0.25,
        0
    )
)</f>
        <v>0</v>
      </c>
      <c r="AM18" s="36">
        <f>IF(
    AND($H18 &gt; $BN$7, Tabella01MarzoInverter[[#This Row],[Active power TX2-INV-9]] &lt;= 0, Tabella01MarzoInverter[[#This Row],[Active power TX3-INV-6]] &lt;= 0),
    MIN(($H18 / 1000) * AM$10 * $BN$4, AM$11 * 0.876) * 0.25,
    IF(
        AND($H18 &gt; $BN$7, Tabella01MarzoInverter[[#This Row],[Active power TX2-INV-9]] &lt;= 0),
        Tabella01MarzoInverter[[#This Row],[Active power TX3-INV-6]] * 0.25,
        0
    )
    +
    IF(
        $N18 &lt; 0.875,
        MAX(0, MIN(($H18 / 1000) * AM$10 * $BN$4, AM$11 * 0.876) - (AM$11 * $N18)) * 0.25,
        0
    )
)</f>
        <v>0</v>
      </c>
      <c r="AN18" s="36">
        <f>IF(
    AND($H18 &gt; $BN$7, Tabella01MarzoInverter[[#This Row],[Active power TX2-INV-10]] &lt;= 0, Tabella01MarzoInverter[[#This Row],[Active power TX3-INV-7]] &lt;= 0),
    MIN(($H18 / 1000) * AN$10 * $BN$4, AN$11 * 0.876) * 0.25,
    IF(
        AND($H18 &gt; $BN$7, Tabella01MarzoInverter[[#This Row],[Active power TX2-INV-10]] &lt;= 0),
        Tabella01MarzoInverter[[#This Row],[Active power TX3-INV-7]] * 0.25,
        0
    )
    +
    IF(
        $N18 &lt; 0.875,
        MAX(0, MIN(($H18 / 1000) * AN$10 * $BN$4, AN$11 * 0.876) - (AN$11 * $N18)) * 0.25,
        0
    )
)</f>
        <v>0</v>
      </c>
      <c r="AO18" s="36">
        <f>IF(
    AND($H18 &gt; $BN$7, Tabella01MarzoInverter[[#This Row],[Active power TX2-INV-11]] &lt;= 0, Tabella01MarzoInverter[[#This Row],[Active power TX3-INV-8]] &lt;= 0),
    MIN(($H18 / 1000) * AO$10 * $BN$4, AO$11 * 0.876) * 0.25,
    IF(
        AND($H18 &gt; $BN$7, Tabella01MarzoInverter[[#This Row],[Active power TX2-INV-11]] &lt;= 0),
        Tabella01MarzoInverter[[#This Row],[Active power TX3-INV-8]] * 0.25,
        0
    )
    +
    IF(
        $N18 &lt; 0.875,
        MAX(0, MIN(($H18 / 1000) * AO$10 * $BN$4, AO$11 * 0.876) - (AO$11 * $N18)) * 0.25,
        0
    )
)</f>
        <v>0</v>
      </c>
      <c r="AP18" s="36">
        <f>IF(
    AND($H18 &gt; $BN$7, Tabella01MarzoInverter[[#This Row],[Active power TX2-INV-12]] &lt;= 0, Tabella01MarzoInverter[[#This Row],[Active power TX3-INV-9]] &lt;= 0),
    MIN(($H18 / 1000) * AP$10 * $BN$4, AP$11 * 0.876) * 0.25,
    IF(
        AND($H18 &gt; $BN$7, Tabella01MarzoInverter[[#This Row],[Active power TX2-INV-12]] &lt;= 0),
        Tabella01MarzoInverter[[#This Row],[Active power TX3-INV-9]] * 0.25,
        0
    )
    +
    IF(
        $N18 &lt; 0.875,
        MAX(0, MIN(($H18 / 1000) * AP$10 * $BN$4, AP$11 * 0.876) - (AP$11 * $N18)) * 0.25,
        0
    )
)</f>
        <v>0</v>
      </c>
      <c r="AQ18" s="8">
        <f>AVERAGE(TabellaMar2026[[#This Row],[Colonna39]:[Colonna6]])</f>
        <v>0</v>
      </c>
      <c r="AR18" s="8">
        <f>MAX(TabellaMar2026[[#This Row],[Colonna39]:[Colonna6]])</f>
        <v>0</v>
      </c>
      <c r="AS18" s="35">
        <f>MIN(TabellaMar2026[[#This Row],[Colonna39]:[Colonna6]])</f>
        <v>0</v>
      </c>
      <c r="AT18" s="48">
        <f>SUM(TabellaMar2026[[#This Row],[Colonna39]:[Colonna6]])</f>
        <v>0</v>
      </c>
      <c r="AU18" s="36" cm="1">
        <f t="array" ref="AU18">IF(
    AND($H18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($H18 / 1000) * AU$10 * $BN$4 * 0.25
    ),
    0
)
+
IF(
    $N18 &lt; 0.875,
    MAX(0, MIN(($H18 / 1000) * AU$10 * $BN$4, AU$11 * 0.876) - (AU$11 * $N18)) * 0.25,
    0
)</f>
        <v>0</v>
      </c>
      <c r="AV18" s="36" cm="1">
        <f t="array" ref="AV18">IF(
    AND($H18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($H18 / 1000) * AV$10 * $BN$4 * 0.25
    ),
    0
)
+
IF(
    $N18 &lt; 0.875,
    MAX(0, MIN(($H18 / 1000) * AV$10 * $BN$4, AV$11 * 0.876) - (AV$11 * $N18)) * 0.25,
    0
)</f>
        <v>0</v>
      </c>
      <c r="AW18" s="36" cm="1">
        <f t="array" ref="AW18">IF(
    AND($H18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($H18 / 1000) * AW$10 * $BN$4 * 0.25
    ),
    0
)
+
IF(
    $N18 &lt; 0.875,
    MAX(0, MIN(($H18 / 1000) * AW$10 * $BN$4, AW$11 * 0.876) - (AW$11 * $N18)) * 0.25,
    0
)</f>
        <v>0</v>
      </c>
      <c r="AX18" s="36" cm="1">
        <f t="array" ref="AX18">IF(
    AND($H18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($H18 / 1000) * AX$10 * $BN$4 * 0.25
    ),
    0
)
+
IF(
    $N18 &lt; 0.875,
    MAX(0, MIN(($H18 / 1000) * AX$10 * $BN$4, AX$11 * 0.876) - (AX$11 * $N18)) * 0.25,
    0
)</f>
        <v>0</v>
      </c>
      <c r="AY18" s="36" cm="1">
        <f t="array" ref="AY18">IF(
    AND($H18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($H18 / 1000) * AY$10 * $BN$4 * 0.25
    ),
    0
)
+
IF(
    $N18 &lt; 0.875,
    MAX(0, MIN(($H18 / 1000) * AY$10 * $BN$4, AY$11 * 0.876) - (AY$11 * $N18)) * 0.25,
    0
)</f>
        <v>0</v>
      </c>
      <c r="AZ18" s="36" cm="1">
        <f t="array" ref="AZ18">IF(
    AND($H18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($H18 / 1000) * AZ$10 * $BN$4 * 0.25
    ),
    0
)
+
IF(
    $N18 &lt; 0.875,
    MAX(0, MIN(($H18 / 1000) * AZ$10 * $BN$4, AZ$11 * 0.876) - (AZ$11 * $N18)) * 0.25,
    0
)</f>
        <v>0</v>
      </c>
      <c r="BA18" s="36" cm="1">
        <f t="array" ref="BA18">IF(
    AND($H18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($H18 / 1000) * BA$10 * $BN$4 * 0.25
    ),
    0
)
+
IF(
    $N18 &lt; 0.875,
    MAX(0, MIN(($H18 / 1000) * BA$10 * $BN$4, BA$11 * 0.876) - (BA$11 * $N18)) * 0.25,
    0
)</f>
        <v>0</v>
      </c>
      <c r="BB18" s="36" cm="1">
        <f t="array" ref="BB18">IF(
    AND($H18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($H18 / 1000) * BB$10 * $BN$4 * 0.25
    ),
    0
)
+
IF(
    $N18 &lt; 0.875,
    MAX(0, MIN(($H18 / 1000) * BB$10 * $BN$4, BB$11 * 0.876) - (BB$11 * $N18)) * 0.25,
    0
)</f>
        <v>0</v>
      </c>
      <c r="BC18" s="36" cm="1">
        <f t="array" ref="BC18">IF(
    AND($H18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($H18 / 1000) * BC$10 * $BN$4 * 0.25
    ),
    0
)
+
IF(
    $N18 &lt; 0.875,
    MAX(0, MIN(($H18 / 1000) * BC$10 * $BN$4, BC$11 * 0.876) - (BC$11 * $N18)) * 0.25,
    0
)</f>
        <v>0</v>
      </c>
      <c r="BD18" s="36" cm="1">
        <f t="array" ref="BD18">IF(
    AND($H18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($H18 / 1000) * BD$10 * $BN$4 * 0.25
    ),
    0
)
+
IF(
    $N18 &lt; 0.875,
    MAX(0, MIN(($H18 / 1000) * BD$10 * $BN$4, BD$11 * 0.876) - (BD$11 * $N18)) * 0.25,
    0
)</f>
        <v>0</v>
      </c>
      <c r="BE18" s="36" cm="1">
        <f t="array" ref="BE18">IF(
    AND($H18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($H18 / 1000) * BE$10 * $BN$4 * 0.25
    ),
    0
)
+
IF(
    $N18 &lt; 0.875,
    MAX(0, MIN(($H18 / 1000) * BE$10 * $BN$4, BE$11 * 0.876) - (BE$11 * $N18)) * 0.25,
    0
)</f>
        <v>0</v>
      </c>
      <c r="BF18" s="36" cm="1">
        <f t="array" ref="BF18">IF(
    AND($H18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($H18 / 1000) * BF$10 * $BN$4 * 0.25
    ),
    0
)
+
IF(
    $N18 &lt; 0.875,
    MAX(0, MIN(($H18 / 1000) * BF$10 * $BN$4, BF$11 * 0.876) - (BF$11 * $N18)) * 0.25,
    0
)</f>
        <v>0</v>
      </c>
      <c r="BG18" s="8">
        <f>AVERAGE(TabellaMar2026[[#This Row],[Colonna55]:[Colonna53]])</f>
        <v>0</v>
      </c>
      <c r="BH18" s="8">
        <f>MAX(TabellaMar2026[[#This Row],[Colonna55]:[Colonna53]])</f>
        <v>0</v>
      </c>
      <c r="BI18" s="35">
        <f>MIN(TabellaMar2026[[#This Row],[Colonna55]:[Colonna53]])</f>
        <v>0</v>
      </c>
      <c r="BJ18" s="48">
        <f>SUM(TabellaMar2026[[#This Row],[Colonna54]:[Colonna53]])</f>
        <v>0</v>
      </c>
      <c r="BK18" s="54">
        <f>(SUM(Tabella01MarzoInverter[[Active power TX1-INV-1]:[Active power TX3-INV-12]]) * 0.25) / (12625 * (SUM($G$15:$H$110) * 0.25 / 1000))</f>
        <v>1.014229628761051</v>
      </c>
      <c r="BL18" s="5"/>
      <c r="BM18" s="5"/>
      <c r="BN18" s="8"/>
      <c r="BO18" s="8"/>
      <c r="BP18" s="19"/>
    </row>
    <row r="19" spans="1:68" s="3" customFormat="1" x14ac:dyDescent="0.25">
      <c r="A19" s="18">
        <v>46147</v>
      </c>
      <c r="B19" t="s">
        <v>19</v>
      </c>
      <c r="C19" s="5">
        <v>0</v>
      </c>
      <c r="D19" s="6">
        <v>0</v>
      </c>
      <c r="E19" s="6">
        <v>0</v>
      </c>
      <c r="F19" s="6">
        <v>0</v>
      </c>
      <c r="G19" s="6">
        <f>IFERROR((D19+F19)/2, 0)</f>
        <v>0</v>
      </c>
      <c r="H19" s="7">
        <f>IFERROR(IF(AVERAGE(C19,E19)&gt;$BN$7,AVERAGE(C19,E19),0), 0)</f>
        <v>0</v>
      </c>
      <c r="I19" s="7">
        <f>IFERROR(IF(AND(D19=0,F19=0),0,IF(H19&gt;$BN$6,MAX(D19,F19),G19)), 0)</f>
        <v>0</v>
      </c>
      <c r="J19" s="6">
        <f>IFERROR(IF(AND(D19&gt;0,F19&gt;0),ABS(D19-F19)/AVERAGE(D19,F19),0), 0)</f>
        <v>0</v>
      </c>
      <c r="K19" s="6">
        <v>30386.2</v>
      </c>
      <c r="L19" s="6">
        <v>30386.2</v>
      </c>
      <c r="M19" s="8">
        <f>IFERROR((L19-K19)*1000, 0)</f>
        <v>0</v>
      </c>
      <c r="N19" s="6">
        <v>0.87599999999999989</v>
      </c>
      <c r="O19" s="8" cm="1">
        <f t="array" ref="O19">IF(
    AND($H19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($H19 / 1000) * O$10 * $BN$4 * 0.25
    ),
    0
)
+
IF(
    $N19 &lt; 0.875,
    MAX(0, MIN(($H19 / 1000) * O$10 * $BN$4, O$11 * 0.876) - (O$11 * $N19)) * 0.25,
    0
)</f>
        <v>0</v>
      </c>
      <c r="P19" s="8" cm="1">
        <f t="array" ref="P19">IF(
    AND($H19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($H19 / 1000) * P$10 * $BN$4 * 0.25
    ),
    0
)
+
IF(
    $N19 &lt; 0.875,
    MAX(0, MIN(($H19 / 1000) * P$10 * $BN$4, P$11 * 0.876) - (P$11 * $N19)) * 0.25,
    0
)</f>
        <v>0</v>
      </c>
      <c r="Q19" s="8" cm="1">
        <f t="array" ref="Q19">IF(
    AND($H19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($H19 / 1000) * Q$10 * $BN$4 * 0.25
    ),
    0
)
+
IF(
    $N19 &lt; 0.875,
    MAX(0, MIN(($H19 / 1000) * Q$10 * $BN$4, Q$11 * 0.876) - (Q$11 * $N19)) * 0.25,
    0
)</f>
        <v>0</v>
      </c>
      <c r="R19" s="8" cm="1">
        <f t="array" ref="R19">IF(
    AND($H19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($H19 / 1000) * R$10 * $BN$4 * 0.25
    ),
    0
)
+
IF(
    $N19 &lt; 0.875,
    MAX(0, MIN(($H19 / 1000) * R$10 * $BN$4, R$11 * 0.876) - (R$11 * $N19)) * 0.25,
    0
)</f>
        <v>0</v>
      </c>
      <c r="S19" s="8" cm="1">
        <f t="array" ref="S19">IF(
    AND($H19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($H19 / 1000) * S$10 * $BN$4 * 0.25
    ),
    0
)
+
IF(
    $N19 &lt; 0.875,
    MAX(0, MIN(($H19 / 1000) * S$10 * $BN$4, S$11 * 0.876) - (S$11 * $N19)) * 0.25,
    0
)</f>
        <v>0</v>
      </c>
      <c r="T19" s="8" cm="1">
        <f t="array" ref="T19">IF(
    AND($H19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($H19 / 1000) * T$10 * $BN$4 * 0.25
    ),
    0
)
+
IF(
    $N19 &lt; 0.875,
    MAX(0, MIN(($H19 / 1000) * T$10 * $BN$4, T$11 * 0.876) - (T$11 * $N19)) * 0.25,
    0
)</f>
        <v>0</v>
      </c>
      <c r="U19" s="8" cm="1">
        <f t="array" ref="U19">IF(
    AND($H19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($H19 / 1000) * U$10 * $BN$4 * 0.25
    ),
    0
)
+
IF(
    $N19 &lt; 0.875,
    MAX(0, MIN(($H19 / 1000) * U$10 * $BN$4, U$11 * 0.876) - (U$11 * $N19)) * 0.25,
    0
)</f>
        <v>0</v>
      </c>
      <c r="V19" s="8" cm="1">
        <f t="array" ref="V19">IF(
    AND($H19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($H19 / 1000) * V$10 * $BN$4 * 0.25
    ),
    0
)
+
IF(
    $N19 &lt; 0.875,
    MAX(0, MIN(($H19 / 1000) * V$10 * $BN$4, V$11 * 0.876) - (V$11 * $N19)) * 0.25,
    0
)</f>
        <v>0</v>
      </c>
      <c r="W19" s="8" cm="1">
        <f t="array" ref="W19">IF(
    AND($H19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($H19 / 1000) * W$10 * $BN$4 * 0.25
    ),
    0
)
+
IF(
    $N19 &lt; 0.875,
    MAX(0, MIN(($H19 / 1000) * W$10 * $BN$4, W$11 * 0.876) - (W$11 * $N19)) * 0.25,
    0
)</f>
        <v>0</v>
      </c>
      <c r="X19" s="8" cm="1">
        <f t="array" ref="X19">IF(
    AND($H19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($H19 / 1000) * X$10 * $BN$4 * 0.25
    ),
    0
)
+
IF(
    $N19 &lt; 0.875,
    MAX(0, MIN(($H19 / 1000) * X$10 * $BN$4, X$11 * 0.876) - (X$11 * $N19)) * 0.25,
    0
)</f>
        <v>0</v>
      </c>
      <c r="Y19" s="8" cm="1">
        <f t="array" ref="Y19">IF(
    AND($H19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($H19 / 1000) * Y$10 * $BN$4 * 0.25
    ),
    0
)
+
IF(
    $N19 &lt; 0.875,
    MAX(0, MIN(($H19 / 1000) * Y$10 * $BN$4, Y$11 * 0.876) - (Y$11 * $N19)) * 0.25,
    0
)</f>
        <v>0</v>
      </c>
      <c r="Z19" s="8" cm="1">
        <f t="array" ref="Z19">IF(
    AND($H19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($H19 / 1000) * Z$10 * $BN$4 * 0.25
    ),
    0
)
+
IF(
    $N19 &lt; 0.875,
    MAX(0, MIN(($H19 / 1000) * Z$10 * $BN$4, Z$11 * 0.876) - (Z$11 * $N19)) * 0.25,
    0
)</f>
        <v>0</v>
      </c>
      <c r="AA19" s="8">
        <f>AVERAGE(TabellaMar2026[[#This Row],[Colonna24]:[Colonna20]])</f>
        <v>0</v>
      </c>
      <c r="AB19" s="8">
        <f>MAX(TabellaMar2026[[#This Row],[Colonna24]:[Colonna20]])</f>
        <v>0</v>
      </c>
      <c r="AC19" s="35">
        <f>MIN(TabellaMar2026[[#This Row],[Colonna24]:[Colonna20]])</f>
        <v>0</v>
      </c>
      <c r="AD19" s="44">
        <f>SUM(TabellaMar2026[[#This Row],[Colonna24]:[Colonna20]])</f>
        <v>0</v>
      </c>
      <c r="AE19" s="36">
        <f>IF(
    AND($H19 &gt; $BN$7, Tabella01MarzoInverter[[#This Row],[Active power TX2-INV-1]] &lt;= 0, Tabella01MarzoInverter[[#This Row],[TX2 - Average Power]] &lt;= 0),
    MIN(($H19 / 1000) * AE$10 * $BN$4, AE$11 * 0.876) * 0.25,
    IF(
        AND($H19 &gt; $BN$7, Tabella01MarzoInverter[[#This Row],[Active power TX2-INV-1]] &lt;= 0),
        Tabella01MarzoInverter[[#This Row],[TX2 - Average Power]] * 0.25,
        0
    )
    +
    IF(
        $N19 &lt; 0.875,
        MAX(0, MIN(($H19 / 1000) * AE$10 * $BN$4, AE$11 * 0.876) - (AE$11 * $N19)) * 0.25,
        0
    )
)</f>
        <v>0</v>
      </c>
      <c r="AF19" s="36">
        <f>IF(
    AND($H19 &gt; $BN$7, Tabella01MarzoInverter[[#This Row],[Active power TX2-INV-2]] &lt;= 0, Tabella01MarzoInverter[[#This Row],[TX2 - Max Power]] &lt;= 0),
    MIN(($H19 / 1000) * AF$10 * $BN$4, AF$11 * 0.876) * 0.25,
    IF(
        AND($H19 &gt; $BN$7, Tabella01MarzoInverter[[#This Row],[Active power TX2-INV-2]] &lt;= 0),
        Tabella01MarzoInverter[[#This Row],[TX2 - Max Power]] * 0.25,
        0
    )
    +
    IF(
        $N19 &lt; 0.875,
        MAX(0, MIN(($H19 / 1000) * AF$10 * $BN$4, AF$11 * 0.876) - (AF$11 * $N19)) * 0.25,
        0
    )
)</f>
        <v>0</v>
      </c>
      <c r="AG19" s="36">
        <f>IF(
    AND($H19 &gt; $BN$7, Tabella01MarzoInverter[[#This Row],[Active power TX2-INV-3]] &lt;= 0, Tabella01MarzoInverter[[#This Row],[TX2 - Min Power]] &lt;= 0),
    MIN(($H19 / 1000) * AG$10 * $BN$4, AG$11 * 0.876) * 0.25,
    IF(
        AND($H19 &gt; $BN$7, Tabella01MarzoInverter[[#This Row],[Active power TX2-INV-3]] &lt;= 0),
        Tabella01MarzoInverter[[#This Row],[TX2 - Min Power]] * 0.25,
        0
    )
    +
    IF(
        $N19 &lt; 0.875,
        MAX(0, MIN(($H19 / 1000) * AG$10 * $BN$4, AG$11 * 0.876) - (AG$11 * $N19)) * 0.25,
        0
    )
)</f>
        <v>0</v>
      </c>
      <c r="AH19" s="36">
        <f>IF(
    AND($H19 &gt; $BN$7, Tabella01MarzoInverter[[#This Row],[Active power TX2-INV-4]] &lt;= 0, Tabella01MarzoInverter[[#This Row],[Active power TX3-INV-1]] &lt;= 0),
    MIN(($H19 / 1000) * AH$10 * $BN$4, AH$11 * 0.876) * 0.25,
    IF(
        AND($H19 &gt; $BN$7, Tabella01MarzoInverter[[#This Row],[Active power TX2-INV-4]] &lt;= 0),
        Tabella01MarzoInverter[[#This Row],[Active power TX3-INV-1]] * 0.25,
        0
    )
    +
    IF(
        $N19 &lt; 0.875,
        MAX(0, MIN(($H19 / 1000) * AH$10 * $BN$4, AH$11 * 0.876) - (AH$11 * $N19)) * 0.25,
        0
    )
)</f>
        <v>0</v>
      </c>
      <c r="AI19" s="36">
        <f>IF(
    AND($H19 &gt; $BN$7, Tabella01MarzoInverter[[#This Row],[Active power TX2-INV-5]] &lt;= 0, Tabella01MarzoInverter[[#This Row],[Active power TX3-INV-2]] &lt;= 0),
    MIN(($H19 / 1000) * AI$10 * $BN$4, AI$11 * 0.876) * 0.25,
    IF(
        AND($H19 &gt; $BN$7, Tabella01MarzoInverter[[#This Row],[Active power TX2-INV-5]] &lt;= 0),
        Tabella01MarzoInverter[[#This Row],[Active power TX3-INV-2]] * 0.25,
        0
    )
    +
    IF(
        $N19 &lt; 0.875,
        MAX(0, MIN(($H19 / 1000) * AI$10 * $BN$4, AI$11 * 0.876) - (AI$11 * $N19)) * 0.25,
        0
    )
)</f>
        <v>0</v>
      </c>
      <c r="AJ19" s="36">
        <f>IF(
    AND($H19 &gt; $BN$7, Tabella01MarzoInverter[[#This Row],[Active power TX2-INV-6]] &lt;= 0, Tabella01MarzoInverter[[#This Row],[Active power TX3-INV-3]] &lt;= 0),
    MIN(($H19 / 1000) * AJ$10 * $BN$4, AJ$11 * 0.876) * 0.25,
    IF(
        AND($H19 &gt; $BN$7, Tabella01MarzoInverter[[#This Row],[Active power TX2-INV-6]] &lt;= 0),
        Tabella01MarzoInverter[[#This Row],[Active power TX3-INV-3]] * 0.25,
        0
    )
    +
    IF(
        $N19 &lt; 0.875,
        MAX(0, MIN(($H19 / 1000) * AJ$10 * $BN$4, AJ$11 * 0.876) - (AJ$11 * $N19)) * 0.25,
        0
    )
)</f>
        <v>0</v>
      </c>
      <c r="AK19" s="36">
        <f>IF(
    AND($H19 &gt; $BN$7, Tabella01MarzoInverter[[#This Row],[Active power TX2-INV-7]] &lt;= 0, Tabella01MarzoInverter[[#This Row],[Active power TX3-INV-4]] &lt;= 0),
    MIN(($H19 / 1000) * AK$10 * $BN$4, AK$11 * 0.876) * 0.25,
    IF(
        AND($H19 &gt; $BN$7, Tabella01MarzoInverter[[#This Row],[Active power TX2-INV-7]] &lt;= 0),
        Tabella01MarzoInverter[[#This Row],[Active power TX3-INV-4]] * 0.25,
        0
    )
    +
    IF(
        $N19 &lt; 0.875,
        MAX(0, MIN(($H19 / 1000) * AK$10 * $BN$4, AK$11 * 0.876) - (AK$11 * $N19)) * 0.25,
        0
    )
)</f>
        <v>0</v>
      </c>
      <c r="AL19" s="36">
        <f>IF(
    AND($H19 &gt; $BN$7, Tabella01MarzoInverter[[#This Row],[Active power TX2-INV-8]] &lt;= 0, Tabella01MarzoInverter[[#This Row],[Active power TX3-INV-5]] &lt;= 0),
    MIN(($H19 / 1000) * AL$10 * $BN$4, AL$11 * 0.876) * 0.25,
    IF(
        AND($H19 &gt; $BN$7, Tabella01MarzoInverter[[#This Row],[Active power TX2-INV-8]] &lt;= 0),
        Tabella01MarzoInverter[[#This Row],[Active power TX3-INV-5]] * 0.25,
        0
    )
    +
    IF(
        $N19 &lt; 0.875,
        MAX(0, MIN(($H19 / 1000) * AL$10 * $BN$4, AL$11 * 0.876) - (AL$11 * $N19)) * 0.25,
        0
    )
)</f>
        <v>0</v>
      </c>
      <c r="AM19" s="36">
        <f>IF(
    AND($H19 &gt; $BN$7, Tabella01MarzoInverter[[#This Row],[Active power TX2-INV-9]] &lt;= 0, Tabella01MarzoInverter[[#This Row],[Active power TX3-INV-6]] &lt;= 0),
    MIN(($H19 / 1000) * AM$10 * $BN$4, AM$11 * 0.876) * 0.25,
    IF(
        AND($H19 &gt; $BN$7, Tabella01MarzoInverter[[#This Row],[Active power TX2-INV-9]] &lt;= 0),
        Tabella01MarzoInverter[[#This Row],[Active power TX3-INV-6]] * 0.25,
        0
    )
    +
    IF(
        $N19 &lt; 0.875,
        MAX(0, MIN(($H19 / 1000) * AM$10 * $BN$4, AM$11 * 0.876) - (AM$11 * $N19)) * 0.25,
        0
    )
)</f>
        <v>0</v>
      </c>
      <c r="AN19" s="36">
        <f>IF(
    AND($H19 &gt; $BN$7, Tabella01MarzoInverter[[#This Row],[Active power TX2-INV-10]] &lt;= 0, Tabella01MarzoInverter[[#This Row],[Active power TX3-INV-7]] &lt;= 0),
    MIN(($H19 / 1000) * AN$10 * $BN$4, AN$11 * 0.876) * 0.25,
    IF(
        AND($H19 &gt; $BN$7, Tabella01MarzoInverter[[#This Row],[Active power TX2-INV-10]] &lt;= 0),
        Tabella01MarzoInverter[[#This Row],[Active power TX3-INV-7]] * 0.25,
        0
    )
    +
    IF(
        $N19 &lt; 0.875,
        MAX(0, MIN(($H19 / 1000) * AN$10 * $BN$4, AN$11 * 0.876) - (AN$11 * $N19)) * 0.25,
        0
    )
)</f>
        <v>0</v>
      </c>
      <c r="AO19" s="36">
        <f>IF(
    AND($H19 &gt; $BN$7, Tabella01MarzoInverter[[#This Row],[Active power TX2-INV-11]] &lt;= 0, Tabella01MarzoInverter[[#This Row],[Active power TX3-INV-8]] &lt;= 0),
    MIN(($H19 / 1000) * AO$10 * $BN$4, AO$11 * 0.876) * 0.25,
    IF(
        AND($H19 &gt; $BN$7, Tabella01MarzoInverter[[#This Row],[Active power TX2-INV-11]] &lt;= 0),
        Tabella01MarzoInverter[[#This Row],[Active power TX3-INV-8]] * 0.25,
        0
    )
    +
    IF(
        $N19 &lt; 0.875,
        MAX(0, MIN(($H19 / 1000) * AO$10 * $BN$4, AO$11 * 0.876) - (AO$11 * $N19)) * 0.25,
        0
    )
)</f>
        <v>0</v>
      </c>
      <c r="AP19" s="36">
        <f>IF(
    AND($H19 &gt; $BN$7, Tabella01MarzoInverter[[#This Row],[Active power TX2-INV-12]] &lt;= 0, Tabella01MarzoInverter[[#This Row],[Active power TX3-INV-9]] &lt;= 0),
    MIN(($H19 / 1000) * AP$10 * $BN$4, AP$11 * 0.876) * 0.25,
    IF(
        AND($H19 &gt; $BN$7, Tabella01MarzoInverter[[#This Row],[Active power TX2-INV-12]] &lt;= 0),
        Tabella01MarzoInverter[[#This Row],[Active power TX3-INV-9]] * 0.25,
        0
    )
    +
    IF(
        $N19 &lt; 0.875,
        MAX(0, MIN(($H19 / 1000) * AP$10 * $BN$4, AP$11 * 0.876) - (AP$11 * $N19)) * 0.25,
        0
    )
)</f>
        <v>0</v>
      </c>
      <c r="AQ19" s="8">
        <f>AVERAGE(TabellaMar2026[[#This Row],[Colonna39]:[Colonna6]])</f>
        <v>0</v>
      </c>
      <c r="AR19" s="8">
        <f>MAX(TabellaMar2026[[#This Row],[Colonna39]:[Colonna6]])</f>
        <v>0</v>
      </c>
      <c r="AS19" s="35">
        <f>MIN(TabellaMar2026[[#This Row],[Colonna39]:[Colonna6]])</f>
        <v>0</v>
      </c>
      <c r="AT19" s="48">
        <f>SUM(TabellaMar2026[[#This Row],[Colonna39]:[Colonna6]])</f>
        <v>0</v>
      </c>
      <c r="AU19" s="36" cm="1">
        <f t="array" ref="AU19">IF(
    AND($H19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($H19 / 1000) * AU$10 * $BN$4 * 0.25
    ),
    0
)
+
IF(
    $N19 &lt; 0.875,
    MAX(0, MIN(($H19 / 1000) * AU$10 * $BN$4, AU$11 * 0.876) - (AU$11 * $N19)) * 0.25,
    0
)</f>
        <v>0</v>
      </c>
      <c r="AV19" s="36" cm="1">
        <f t="array" ref="AV19">IF(
    AND($H19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($H19 / 1000) * AV$10 * $BN$4 * 0.25
    ),
    0
)
+
IF(
    $N19 &lt; 0.875,
    MAX(0, MIN(($H19 / 1000) * AV$10 * $BN$4, AV$11 * 0.876) - (AV$11 * $N19)) * 0.25,
    0
)</f>
        <v>0</v>
      </c>
      <c r="AW19" s="36" cm="1">
        <f t="array" ref="AW19">IF(
    AND($H19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($H19 / 1000) * AW$10 * $BN$4 * 0.25
    ),
    0
)
+
IF(
    $N19 &lt; 0.875,
    MAX(0, MIN(($H19 / 1000) * AW$10 * $BN$4, AW$11 * 0.876) - (AW$11 * $N19)) * 0.25,
    0
)</f>
        <v>0</v>
      </c>
      <c r="AX19" s="36" cm="1">
        <f t="array" ref="AX19">IF(
    AND($H19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($H19 / 1000) * AX$10 * $BN$4 * 0.25
    ),
    0
)
+
IF(
    $N19 &lt; 0.875,
    MAX(0, MIN(($H19 / 1000) * AX$10 * $BN$4, AX$11 * 0.876) - (AX$11 * $N19)) * 0.25,
    0
)</f>
        <v>0</v>
      </c>
      <c r="AY19" s="36" cm="1">
        <f t="array" ref="AY19">IF(
    AND($H19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($H19 / 1000) * AY$10 * $BN$4 * 0.25
    ),
    0
)
+
IF(
    $N19 &lt; 0.875,
    MAX(0, MIN(($H19 / 1000) * AY$10 * $BN$4, AY$11 * 0.876) - (AY$11 * $N19)) * 0.25,
    0
)</f>
        <v>0</v>
      </c>
      <c r="AZ19" s="36" cm="1">
        <f t="array" ref="AZ19">IF(
    AND($H19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($H19 / 1000) * AZ$10 * $BN$4 * 0.25
    ),
    0
)
+
IF(
    $N19 &lt; 0.875,
    MAX(0, MIN(($H19 / 1000) * AZ$10 * $BN$4, AZ$11 * 0.876) - (AZ$11 * $N19)) * 0.25,
    0
)</f>
        <v>0</v>
      </c>
      <c r="BA19" s="36" cm="1">
        <f t="array" ref="BA19">IF(
    AND($H19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($H19 / 1000) * BA$10 * $BN$4 * 0.25
    ),
    0
)
+
IF(
    $N19 &lt; 0.875,
    MAX(0, MIN(($H19 / 1000) * BA$10 * $BN$4, BA$11 * 0.876) - (BA$11 * $N19)) * 0.25,
    0
)</f>
        <v>0</v>
      </c>
      <c r="BB19" s="36" cm="1">
        <f t="array" ref="BB19">IF(
    AND($H19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($H19 / 1000) * BB$10 * $BN$4 * 0.25
    ),
    0
)
+
IF(
    $N19 &lt; 0.875,
    MAX(0, MIN(($H19 / 1000) * BB$10 * $BN$4, BB$11 * 0.876) - (BB$11 * $N19)) * 0.25,
    0
)</f>
        <v>0</v>
      </c>
      <c r="BC19" s="36" cm="1">
        <f t="array" ref="BC19">IF(
    AND($H19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($H19 / 1000) * BC$10 * $BN$4 * 0.25
    ),
    0
)
+
IF(
    $N19 &lt; 0.875,
    MAX(0, MIN(($H19 / 1000) * BC$10 * $BN$4, BC$11 * 0.876) - (BC$11 * $N19)) * 0.25,
    0
)</f>
        <v>0</v>
      </c>
      <c r="BD19" s="36" cm="1">
        <f t="array" ref="BD19">IF(
    AND($H19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($H19 / 1000) * BD$10 * $BN$4 * 0.25
    ),
    0
)
+
IF(
    $N19 &lt; 0.875,
    MAX(0, MIN(($H19 / 1000) * BD$10 * $BN$4, BD$11 * 0.876) - (BD$11 * $N19)) * 0.25,
    0
)</f>
        <v>0</v>
      </c>
      <c r="BE19" s="36" cm="1">
        <f t="array" ref="BE19">IF(
    AND($H19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($H19 / 1000) * BE$10 * $BN$4 * 0.25
    ),
    0
)
+
IF(
    $N19 &lt; 0.875,
    MAX(0, MIN(($H19 / 1000) * BE$10 * $BN$4, BE$11 * 0.876) - (BE$11 * $N19)) * 0.25,
    0
)</f>
        <v>0</v>
      </c>
      <c r="BF19" s="36" cm="1">
        <f t="array" ref="BF19">IF(
    AND($H19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($H19 / 1000) * BF$10 * $BN$4 * 0.25
    ),
    0
)
+
IF(
    $N19 &lt; 0.875,
    MAX(0, MIN(($H19 / 1000) * BF$10 * $BN$4, BF$11 * 0.876) - (BF$11 * $N19)) * 0.25,
    0
)</f>
        <v>0</v>
      </c>
      <c r="BG19" s="8">
        <f>AVERAGE(TabellaMar2026[[#This Row],[Colonna55]:[Colonna53]])</f>
        <v>0</v>
      </c>
      <c r="BH19" s="8">
        <f>MAX(TabellaMar2026[[#This Row],[Colonna55]:[Colonna53]])</f>
        <v>0</v>
      </c>
      <c r="BI19" s="35">
        <f>MIN(TabellaMar2026[[#This Row],[Colonna55]:[Colonna53]])</f>
        <v>0</v>
      </c>
      <c r="BJ19" s="48">
        <f>SUM(TabellaMar2026[[#This Row],[Colonna54]:[Colonna53]])</f>
        <v>0</v>
      </c>
      <c r="BK19" s="54">
        <f>(SUM(Tabella01MarzoInverter[[Active power TX1-INV-1]:[Active power TX3-INV-12]]) * 0.25) / (12625 * (SUM($G$15:$H$110) * 0.25 / 1000))</f>
        <v>1.014229628761051</v>
      </c>
      <c r="BL19" s="5"/>
      <c r="BM19" s="5"/>
      <c r="BN19" s="8"/>
      <c r="BO19" s="8"/>
      <c r="BP19" s="19"/>
    </row>
    <row r="20" spans="1:68" s="3" customFormat="1" x14ac:dyDescent="0.25">
      <c r="A20" s="18">
        <v>46147</v>
      </c>
      <c r="B20" t="s">
        <v>20</v>
      </c>
      <c r="C20" s="5">
        <v>0</v>
      </c>
      <c r="D20" s="6">
        <v>0</v>
      </c>
      <c r="E20" s="6">
        <v>0</v>
      </c>
      <c r="F20" s="6">
        <v>0</v>
      </c>
      <c r="G20" s="6">
        <f>IFERROR((D20+F20)/2, 0)</f>
        <v>0</v>
      </c>
      <c r="H20" s="7">
        <f>IFERROR(IF(AVERAGE(C20,E20)&gt;$BN$7,AVERAGE(C20,E20),0), 0)</f>
        <v>0</v>
      </c>
      <c r="I20" s="7">
        <f>IFERROR(IF(AND(D20=0,F20=0),0,IF(H20&gt;$BN$6,MAX(D20,F20),G20)), 0)</f>
        <v>0</v>
      </c>
      <c r="J20" s="6">
        <f>IFERROR(IF(AND(D20&gt;0,F20&gt;0),ABS(D20-F20)/AVERAGE(D20,F20),0), 0)</f>
        <v>0</v>
      </c>
      <c r="K20" s="6">
        <v>30386.2</v>
      </c>
      <c r="L20" s="6">
        <v>30386.2</v>
      </c>
      <c r="M20" s="8">
        <f>IFERROR((L20-K20)*1000, 0)</f>
        <v>0</v>
      </c>
      <c r="N20" s="6">
        <v>0.87599999999999989</v>
      </c>
      <c r="O20" s="8" cm="1">
        <f t="array" ref="O20">IF(
    AND($H20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($H20 / 1000) * O$10 * $BN$4 * 0.25
    ),
    0
)
+
IF(
    $N20 &lt; 0.875,
    MAX(0, MIN(($H20 / 1000) * O$10 * $BN$4, O$11 * 0.876) - (O$11 * $N20)) * 0.25,
    0
)</f>
        <v>0</v>
      </c>
      <c r="P20" s="8" cm="1">
        <f t="array" ref="P20">IF(
    AND($H20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($H20 / 1000) * P$10 * $BN$4 * 0.25
    ),
    0
)
+
IF(
    $N20 &lt; 0.875,
    MAX(0, MIN(($H20 / 1000) * P$10 * $BN$4, P$11 * 0.876) - (P$11 * $N20)) * 0.25,
    0
)</f>
        <v>0</v>
      </c>
      <c r="Q20" s="8" cm="1">
        <f t="array" ref="Q20">IF(
    AND($H20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($H20 / 1000) * Q$10 * $BN$4 * 0.25
    ),
    0
)
+
IF(
    $N20 &lt; 0.875,
    MAX(0, MIN(($H20 / 1000) * Q$10 * $BN$4, Q$11 * 0.876) - (Q$11 * $N20)) * 0.25,
    0
)</f>
        <v>0</v>
      </c>
      <c r="R20" s="8" cm="1">
        <f t="array" ref="R20">IF(
    AND($H20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($H20 / 1000) * R$10 * $BN$4 * 0.25
    ),
    0
)
+
IF(
    $N20 &lt; 0.875,
    MAX(0, MIN(($H20 / 1000) * R$10 * $BN$4, R$11 * 0.876) - (R$11 * $N20)) * 0.25,
    0
)</f>
        <v>0</v>
      </c>
      <c r="S20" s="8" cm="1">
        <f t="array" ref="S20">IF(
    AND($H20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($H20 / 1000) * S$10 * $BN$4 * 0.25
    ),
    0
)
+
IF(
    $N20 &lt; 0.875,
    MAX(0, MIN(($H20 / 1000) * S$10 * $BN$4, S$11 * 0.876) - (S$11 * $N20)) * 0.25,
    0
)</f>
        <v>0</v>
      </c>
      <c r="T20" s="8" cm="1">
        <f t="array" ref="T20">IF(
    AND($H20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($H20 / 1000) * T$10 * $BN$4 * 0.25
    ),
    0
)
+
IF(
    $N20 &lt; 0.875,
    MAX(0, MIN(($H20 / 1000) * T$10 * $BN$4, T$11 * 0.876) - (T$11 * $N20)) * 0.25,
    0
)</f>
        <v>0</v>
      </c>
      <c r="U20" s="8" cm="1">
        <f t="array" ref="U20">IF(
    AND($H20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($H20 / 1000) * U$10 * $BN$4 * 0.25
    ),
    0
)
+
IF(
    $N20 &lt; 0.875,
    MAX(0, MIN(($H20 / 1000) * U$10 * $BN$4, U$11 * 0.876) - (U$11 * $N20)) * 0.25,
    0
)</f>
        <v>0</v>
      </c>
      <c r="V20" s="8" cm="1">
        <f t="array" ref="V20">IF(
    AND($H20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($H20 / 1000) * V$10 * $BN$4 * 0.25
    ),
    0
)
+
IF(
    $N20 &lt; 0.875,
    MAX(0, MIN(($H20 / 1000) * V$10 * $BN$4, V$11 * 0.876) - (V$11 * $N20)) * 0.25,
    0
)</f>
        <v>0</v>
      </c>
      <c r="W20" s="8" cm="1">
        <f t="array" ref="W20">IF(
    AND($H20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($H20 / 1000) * W$10 * $BN$4 * 0.25
    ),
    0
)
+
IF(
    $N20 &lt; 0.875,
    MAX(0, MIN(($H20 / 1000) * W$10 * $BN$4, W$11 * 0.876) - (W$11 * $N20)) * 0.25,
    0
)</f>
        <v>0</v>
      </c>
      <c r="X20" s="8" cm="1">
        <f t="array" ref="X20">IF(
    AND($H20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($H20 / 1000) * X$10 * $BN$4 * 0.25
    ),
    0
)
+
IF(
    $N20 &lt; 0.875,
    MAX(0, MIN(($H20 / 1000) * X$10 * $BN$4, X$11 * 0.876) - (X$11 * $N20)) * 0.25,
    0
)</f>
        <v>0</v>
      </c>
      <c r="Y20" s="8" cm="1">
        <f t="array" ref="Y20">IF(
    AND($H20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($H20 / 1000) * Y$10 * $BN$4 * 0.25
    ),
    0
)
+
IF(
    $N20 &lt; 0.875,
    MAX(0, MIN(($H20 / 1000) * Y$10 * $BN$4, Y$11 * 0.876) - (Y$11 * $N20)) * 0.25,
    0
)</f>
        <v>0</v>
      </c>
      <c r="Z20" s="8" cm="1">
        <f t="array" ref="Z20">IF(
    AND($H20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($H20 / 1000) * Z$10 * $BN$4 * 0.25
    ),
    0
)
+
IF(
    $N20 &lt; 0.875,
    MAX(0, MIN(($H20 / 1000) * Z$10 * $BN$4, Z$11 * 0.876) - (Z$11 * $N20)) * 0.25,
    0
)</f>
        <v>0</v>
      </c>
      <c r="AA20" s="8">
        <f>AVERAGE(TabellaMar2026[[#This Row],[Colonna24]:[Colonna20]])</f>
        <v>0</v>
      </c>
      <c r="AB20" s="8">
        <f>MAX(TabellaMar2026[[#This Row],[Colonna24]:[Colonna20]])</f>
        <v>0</v>
      </c>
      <c r="AC20" s="35">
        <f>MIN(TabellaMar2026[[#This Row],[Colonna24]:[Colonna20]])</f>
        <v>0</v>
      </c>
      <c r="AD20" s="44">
        <f>SUM(TabellaMar2026[[#This Row],[Colonna24]:[Colonna20]])</f>
        <v>0</v>
      </c>
      <c r="AE20" s="36">
        <f>IF(
    AND($H20 &gt; $BN$7, Tabella01MarzoInverter[[#This Row],[Active power TX2-INV-1]] &lt;= 0, Tabella01MarzoInverter[[#This Row],[TX2 - Average Power]] &lt;= 0),
    MIN(($H20 / 1000) * AE$10 * $BN$4, AE$11 * 0.876) * 0.25,
    IF(
        AND($H20 &gt; $BN$7, Tabella01MarzoInverter[[#This Row],[Active power TX2-INV-1]] &lt;= 0),
        Tabella01MarzoInverter[[#This Row],[TX2 - Average Power]] * 0.25,
        0
    )
    +
    IF(
        $N20 &lt; 0.875,
        MAX(0, MIN(($H20 / 1000) * AE$10 * $BN$4, AE$11 * 0.876) - (AE$11 * $N20)) * 0.25,
        0
    )
)</f>
        <v>0</v>
      </c>
      <c r="AF20" s="36">
        <f>IF(
    AND($H20 &gt; $BN$7, Tabella01MarzoInverter[[#This Row],[Active power TX2-INV-2]] &lt;= 0, Tabella01MarzoInverter[[#This Row],[TX2 - Max Power]] &lt;= 0),
    MIN(($H20 / 1000) * AF$10 * $BN$4, AF$11 * 0.876) * 0.25,
    IF(
        AND($H20 &gt; $BN$7, Tabella01MarzoInverter[[#This Row],[Active power TX2-INV-2]] &lt;= 0),
        Tabella01MarzoInverter[[#This Row],[TX2 - Max Power]] * 0.25,
        0
    )
    +
    IF(
        $N20 &lt; 0.875,
        MAX(0, MIN(($H20 / 1000) * AF$10 * $BN$4, AF$11 * 0.876) - (AF$11 * $N20)) * 0.25,
        0
    )
)</f>
        <v>0</v>
      </c>
      <c r="AG20" s="36">
        <f>IF(
    AND($H20 &gt; $BN$7, Tabella01MarzoInverter[[#This Row],[Active power TX2-INV-3]] &lt;= 0, Tabella01MarzoInverter[[#This Row],[TX2 - Min Power]] &lt;= 0),
    MIN(($H20 / 1000) * AG$10 * $BN$4, AG$11 * 0.876) * 0.25,
    IF(
        AND($H20 &gt; $BN$7, Tabella01MarzoInverter[[#This Row],[Active power TX2-INV-3]] &lt;= 0),
        Tabella01MarzoInverter[[#This Row],[TX2 - Min Power]] * 0.25,
        0
    )
    +
    IF(
        $N20 &lt; 0.875,
        MAX(0, MIN(($H20 / 1000) * AG$10 * $BN$4, AG$11 * 0.876) - (AG$11 * $N20)) * 0.25,
        0
    )
)</f>
        <v>0</v>
      </c>
      <c r="AH20" s="36">
        <f>IF(
    AND($H20 &gt; $BN$7, Tabella01MarzoInverter[[#This Row],[Active power TX2-INV-4]] &lt;= 0, Tabella01MarzoInverter[[#This Row],[Active power TX3-INV-1]] &lt;= 0),
    MIN(($H20 / 1000) * AH$10 * $BN$4, AH$11 * 0.876) * 0.25,
    IF(
        AND($H20 &gt; $BN$7, Tabella01MarzoInverter[[#This Row],[Active power TX2-INV-4]] &lt;= 0),
        Tabella01MarzoInverter[[#This Row],[Active power TX3-INV-1]] * 0.25,
        0
    )
    +
    IF(
        $N20 &lt; 0.875,
        MAX(0, MIN(($H20 / 1000) * AH$10 * $BN$4, AH$11 * 0.876) - (AH$11 * $N20)) * 0.25,
        0
    )
)</f>
        <v>0</v>
      </c>
      <c r="AI20" s="36">
        <f>IF(
    AND($H20 &gt; $BN$7, Tabella01MarzoInverter[[#This Row],[Active power TX2-INV-5]] &lt;= 0, Tabella01MarzoInverter[[#This Row],[Active power TX3-INV-2]] &lt;= 0),
    MIN(($H20 / 1000) * AI$10 * $BN$4, AI$11 * 0.876) * 0.25,
    IF(
        AND($H20 &gt; $BN$7, Tabella01MarzoInverter[[#This Row],[Active power TX2-INV-5]] &lt;= 0),
        Tabella01MarzoInverter[[#This Row],[Active power TX3-INV-2]] * 0.25,
        0
    )
    +
    IF(
        $N20 &lt; 0.875,
        MAX(0, MIN(($H20 / 1000) * AI$10 * $BN$4, AI$11 * 0.876) - (AI$11 * $N20)) * 0.25,
        0
    )
)</f>
        <v>0</v>
      </c>
      <c r="AJ20" s="36">
        <f>IF(
    AND($H20 &gt; $BN$7, Tabella01MarzoInverter[[#This Row],[Active power TX2-INV-6]] &lt;= 0, Tabella01MarzoInverter[[#This Row],[Active power TX3-INV-3]] &lt;= 0),
    MIN(($H20 / 1000) * AJ$10 * $BN$4, AJ$11 * 0.876) * 0.25,
    IF(
        AND($H20 &gt; $BN$7, Tabella01MarzoInverter[[#This Row],[Active power TX2-INV-6]] &lt;= 0),
        Tabella01MarzoInverter[[#This Row],[Active power TX3-INV-3]] * 0.25,
        0
    )
    +
    IF(
        $N20 &lt; 0.875,
        MAX(0, MIN(($H20 / 1000) * AJ$10 * $BN$4, AJ$11 * 0.876) - (AJ$11 * $N20)) * 0.25,
        0
    )
)</f>
        <v>0</v>
      </c>
      <c r="AK20" s="36">
        <f>IF(
    AND($H20 &gt; $BN$7, Tabella01MarzoInverter[[#This Row],[Active power TX2-INV-7]] &lt;= 0, Tabella01MarzoInverter[[#This Row],[Active power TX3-INV-4]] &lt;= 0),
    MIN(($H20 / 1000) * AK$10 * $BN$4, AK$11 * 0.876) * 0.25,
    IF(
        AND($H20 &gt; $BN$7, Tabella01MarzoInverter[[#This Row],[Active power TX2-INV-7]] &lt;= 0),
        Tabella01MarzoInverter[[#This Row],[Active power TX3-INV-4]] * 0.25,
        0
    )
    +
    IF(
        $N20 &lt; 0.875,
        MAX(0, MIN(($H20 / 1000) * AK$10 * $BN$4, AK$11 * 0.876) - (AK$11 * $N20)) * 0.25,
        0
    )
)</f>
        <v>0</v>
      </c>
      <c r="AL20" s="36">
        <f>IF(
    AND($H20 &gt; $BN$7, Tabella01MarzoInverter[[#This Row],[Active power TX2-INV-8]] &lt;= 0, Tabella01MarzoInverter[[#This Row],[Active power TX3-INV-5]] &lt;= 0),
    MIN(($H20 / 1000) * AL$10 * $BN$4, AL$11 * 0.876) * 0.25,
    IF(
        AND($H20 &gt; $BN$7, Tabella01MarzoInverter[[#This Row],[Active power TX2-INV-8]] &lt;= 0),
        Tabella01MarzoInverter[[#This Row],[Active power TX3-INV-5]] * 0.25,
        0
    )
    +
    IF(
        $N20 &lt; 0.875,
        MAX(0, MIN(($H20 / 1000) * AL$10 * $BN$4, AL$11 * 0.876) - (AL$11 * $N20)) * 0.25,
        0
    )
)</f>
        <v>0</v>
      </c>
      <c r="AM20" s="36">
        <f>IF(
    AND($H20 &gt; $BN$7, Tabella01MarzoInverter[[#This Row],[Active power TX2-INV-9]] &lt;= 0, Tabella01MarzoInverter[[#This Row],[Active power TX3-INV-6]] &lt;= 0),
    MIN(($H20 / 1000) * AM$10 * $BN$4, AM$11 * 0.876) * 0.25,
    IF(
        AND($H20 &gt; $BN$7, Tabella01MarzoInverter[[#This Row],[Active power TX2-INV-9]] &lt;= 0),
        Tabella01MarzoInverter[[#This Row],[Active power TX3-INV-6]] * 0.25,
        0
    )
    +
    IF(
        $N20 &lt; 0.875,
        MAX(0, MIN(($H20 / 1000) * AM$10 * $BN$4, AM$11 * 0.876) - (AM$11 * $N20)) * 0.25,
        0
    )
)</f>
        <v>0</v>
      </c>
      <c r="AN20" s="36">
        <f>IF(
    AND($H20 &gt; $BN$7, Tabella01MarzoInverter[[#This Row],[Active power TX2-INV-10]] &lt;= 0, Tabella01MarzoInverter[[#This Row],[Active power TX3-INV-7]] &lt;= 0),
    MIN(($H20 / 1000) * AN$10 * $BN$4, AN$11 * 0.876) * 0.25,
    IF(
        AND($H20 &gt; $BN$7, Tabella01MarzoInverter[[#This Row],[Active power TX2-INV-10]] &lt;= 0),
        Tabella01MarzoInverter[[#This Row],[Active power TX3-INV-7]] * 0.25,
        0
    )
    +
    IF(
        $N20 &lt; 0.875,
        MAX(0, MIN(($H20 / 1000) * AN$10 * $BN$4, AN$11 * 0.876) - (AN$11 * $N20)) * 0.25,
        0
    )
)</f>
        <v>0</v>
      </c>
      <c r="AO20" s="36">
        <f>IF(
    AND($H20 &gt; $BN$7, Tabella01MarzoInverter[[#This Row],[Active power TX2-INV-11]] &lt;= 0, Tabella01MarzoInverter[[#This Row],[Active power TX3-INV-8]] &lt;= 0),
    MIN(($H20 / 1000) * AO$10 * $BN$4, AO$11 * 0.876) * 0.25,
    IF(
        AND($H20 &gt; $BN$7, Tabella01MarzoInverter[[#This Row],[Active power TX2-INV-11]] &lt;= 0),
        Tabella01MarzoInverter[[#This Row],[Active power TX3-INV-8]] * 0.25,
        0
    )
    +
    IF(
        $N20 &lt; 0.875,
        MAX(0, MIN(($H20 / 1000) * AO$10 * $BN$4, AO$11 * 0.876) - (AO$11 * $N20)) * 0.25,
        0
    )
)</f>
        <v>0</v>
      </c>
      <c r="AP20" s="36">
        <f>IF(
    AND($H20 &gt; $BN$7, Tabella01MarzoInverter[[#This Row],[Active power TX2-INV-12]] &lt;= 0, Tabella01MarzoInverter[[#This Row],[Active power TX3-INV-9]] &lt;= 0),
    MIN(($H20 / 1000) * AP$10 * $BN$4, AP$11 * 0.876) * 0.25,
    IF(
        AND($H20 &gt; $BN$7, Tabella01MarzoInverter[[#This Row],[Active power TX2-INV-12]] &lt;= 0),
        Tabella01MarzoInverter[[#This Row],[Active power TX3-INV-9]] * 0.25,
        0
    )
    +
    IF(
        $N20 &lt; 0.875,
        MAX(0, MIN(($H20 / 1000) * AP$10 * $BN$4, AP$11 * 0.876) - (AP$11 * $N20)) * 0.25,
        0
    )
)</f>
        <v>0</v>
      </c>
      <c r="AQ20" s="8">
        <f>AVERAGE(TabellaMar2026[[#This Row],[Colonna39]:[Colonna6]])</f>
        <v>0</v>
      </c>
      <c r="AR20" s="8">
        <f>MAX(TabellaMar2026[[#This Row],[Colonna39]:[Colonna6]])</f>
        <v>0</v>
      </c>
      <c r="AS20" s="35">
        <f>MIN(TabellaMar2026[[#This Row],[Colonna39]:[Colonna6]])</f>
        <v>0</v>
      </c>
      <c r="AT20" s="48">
        <f>SUM(TabellaMar2026[[#This Row],[Colonna39]:[Colonna6]])</f>
        <v>0</v>
      </c>
      <c r="AU20" s="36" cm="1">
        <f t="array" ref="AU20">IF(
    AND($H20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($H20 / 1000) * AU$10 * $BN$4 * 0.25
    ),
    0
)
+
IF(
    $N20 &lt; 0.875,
    MAX(0, MIN(($H20 / 1000) * AU$10 * $BN$4, AU$11 * 0.876) - (AU$11 * $N20)) * 0.25,
    0
)</f>
        <v>0</v>
      </c>
      <c r="AV20" s="36" cm="1">
        <f t="array" ref="AV20">IF(
    AND($H20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($H20 / 1000) * AV$10 * $BN$4 * 0.25
    ),
    0
)
+
IF(
    $N20 &lt; 0.875,
    MAX(0, MIN(($H20 / 1000) * AV$10 * $BN$4, AV$11 * 0.876) - (AV$11 * $N20)) * 0.25,
    0
)</f>
        <v>0</v>
      </c>
      <c r="AW20" s="36" cm="1">
        <f t="array" ref="AW20">IF(
    AND($H20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($H20 / 1000) * AW$10 * $BN$4 * 0.25
    ),
    0
)
+
IF(
    $N20 &lt; 0.875,
    MAX(0, MIN(($H20 / 1000) * AW$10 * $BN$4, AW$11 * 0.876) - (AW$11 * $N20)) * 0.25,
    0
)</f>
        <v>0</v>
      </c>
      <c r="AX20" s="36" cm="1">
        <f t="array" ref="AX20">IF(
    AND($H20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($H20 / 1000) * AX$10 * $BN$4 * 0.25
    ),
    0
)
+
IF(
    $N20 &lt; 0.875,
    MAX(0, MIN(($H20 / 1000) * AX$10 * $BN$4, AX$11 * 0.876) - (AX$11 * $N20)) * 0.25,
    0
)</f>
        <v>0</v>
      </c>
      <c r="AY20" s="36" cm="1">
        <f t="array" ref="AY20">IF(
    AND($H20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($H20 / 1000) * AY$10 * $BN$4 * 0.25
    ),
    0
)
+
IF(
    $N20 &lt; 0.875,
    MAX(0, MIN(($H20 / 1000) * AY$10 * $BN$4, AY$11 * 0.876) - (AY$11 * $N20)) * 0.25,
    0
)</f>
        <v>0</v>
      </c>
      <c r="AZ20" s="36" cm="1">
        <f t="array" ref="AZ20">IF(
    AND($H20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($H20 / 1000) * AZ$10 * $BN$4 * 0.25
    ),
    0
)
+
IF(
    $N20 &lt; 0.875,
    MAX(0, MIN(($H20 / 1000) * AZ$10 * $BN$4, AZ$11 * 0.876) - (AZ$11 * $N20)) * 0.25,
    0
)</f>
        <v>0</v>
      </c>
      <c r="BA20" s="36" cm="1">
        <f t="array" ref="BA20">IF(
    AND($H20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($H20 / 1000) * BA$10 * $BN$4 * 0.25
    ),
    0
)
+
IF(
    $N20 &lt; 0.875,
    MAX(0, MIN(($H20 / 1000) * BA$10 * $BN$4, BA$11 * 0.876) - (BA$11 * $N20)) * 0.25,
    0
)</f>
        <v>0</v>
      </c>
      <c r="BB20" s="36" cm="1">
        <f t="array" ref="BB20">IF(
    AND($H20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($H20 / 1000) * BB$10 * $BN$4 * 0.25
    ),
    0
)
+
IF(
    $N20 &lt; 0.875,
    MAX(0, MIN(($H20 / 1000) * BB$10 * $BN$4, BB$11 * 0.876) - (BB$11 * $N20)) * 0.25,
    0
)</f>
        <v>0</v>
      </c>
      <c r="BC20" s="36" cm="1">
        <f t="array" ref="BC20">IF(
    AND($H20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($H20 / 1000) * BC$10 * $BN$4 * 0.25
    ),
    0
)
+
IF(
    $N20 &lt; 0.875,
    MAX(0, MIN(($H20 / 1000) * BC$10 * $BN$4, BC$11 * 0.876) - (BC$11 * $N20)) * 0.25,
    0
)</f>
        <v>0</v>
      </c>
      <c r="BD20" s="36" cm="1">
        <f t="array" ref="BD20">IF(
    AND($H20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($H20 / 1000) * BD$10 * $BN$4 * 0.25
    ),
    0
)
+
IF(
    $N20 &lt; 0.875,
    MAX(0, MIN(($H20 / 1000) * BD$10 * $BN$4, BD$11 * 0.876) - (BD$11 * $N20)) * 0.25,
    0
)</f>
        <v>0</v>
      </c>
      <c r="BE20" s="36" cm="1">
        <f t="array" ref="BE20">IF(
    AND($H20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($H20 / 1000) * BE$10 * $BN$4 * 0.25
    ),
    0
)
+
IF(
    $N20 &lt; 0.875,
    MAX(0, MIN(($H20 / 1000) * BE$10 * $BN$4, BE$11 * 0.876) - (BE$11 * $N20)) * 0.25,
    0
)</f>
        <v>0</v>
      </c>
      <c r="BF20" s="36" cm="1">
        <f t="array" ref="BF20">IF(
    AND($H20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($H20 / 1000) * BF$10 * $BN$4 * 0.25
    ),
    0
)
+
IF(
    $N20 &lt; 0.875,
    MAX(0, MIN(($H20 / 1000) * BF$10 * $BN$4, BF$11 * 0.876) - (BF$11 * $N20)) * 0.25,
    0
)</f>
        <v>0</v>
      </c>
      <c r="BG20" s="8">
        <f>AVERAGE(TabellaMar2026[[#This Row],[Colonna55]:[Colonna53]])</f>
        <v>0</v>
      </c>
      <c r="BH20" s="8">
        <f>MAX(TabellaMar2026[[#This Row],[Colonna55]:[Colonna53]])</f>
        <v>0</v>
      </c>
      <c r="BI20" s="35">
        <f>MIN(TabellaMar2026[[#This Row],[Colonna55]:[Colonna53]])</f>
        <v>0</v>
      </c>
      <c r="BJ20" s="48">
        <f>SUM(TabellaMar2026[[#This Row],[Colonna54]:[Colonna53]])</f>
        <v>0</v>
      </c>
      <c r="BK20" s="54">
        <f>(SUM(Tabella01MarzoInverter[[Active power TX1-INV-1]:[Active power TX3-INV-12]]) * 0.25) / (12625 * (SUM($G$15:$H$110) * 0.25 / 1000))</f>
        <v>1.014229628761051</v>
      </c>
      <c r="BL20" s="5"/>
      <c r="BM20" s="5"/>
      <c r="BN20" s="8"/>
      <c r="BO20" s="8"/>
      <c r="BP20" s="19"/>
    </row>
    <row r="21" spans="1:68" s="3" customFormat="1" x14ac:dyDescent="0.25">
      <c r="A21" s="18">
        <v>46147</v>
      </c>
      <c r="B21" t="s">
        <v>21</v>
      </c>
      <c r="C21" s="5">
        <v>0</v>
      </c>
      <c r="D21" s="6">
        <v>0</v>
      </c>
      <c r="E21" s="6">
        <v>0</v>
      </c>
      <c r="F21" s="6">
        <v>0</v>
      </c>
      <c r="G21" s="6">
        <f>IFERROR((D21+F21)/2, 0)</f>
        <v>0</v>
      </c>
      <c r="H21" s="7">
        <f>IFERROR(IF(AVERAGE(C21,E21)&gt;$BN$7,AVERAGE(C21,E21),0), 0)</f>
        <v>0</v>
      </c>
      <c r="I21" s="7">
        <f>IFERROR(IF(AND(D21=0,F21=0),0,IF(H21&gt;$BN$6,MAX(D21,F21),G21)), 0)</f>
        <v>0</v>
      </c>
      <c r="J21" s="6">
        <f>IFERROR(IF(AND(D21&gt;0,F21&gt;0),ABS(D21-F21)/AVERAGE(D21,F21),0), 0)</f>
        <v>0</v>
      </c>
      <c r="K21" s="6">
        <v>30386.2</v>
      </c>
      <c r="L21" s="6">
        <v>30386.2</v>
      </c>
      <c r="M21" s="8">
        <f>IFERROR((L21-K21)*1000, 0)</f>
        <v>0</v>
      </c>
      <c r="N21" s="6">
        <v>0.87599999999999989</v>
      </c>
      <c r="O21" s="8" cm="1">
        <f t="array" ref="O21">IF(
    AND($H21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($H21 / 1000) * O$10 * $BN$4 * 0.25
    ),
    0
)
+
IF(
    $N21 &lt; 0.875,
    MAX(0, MIN(($H21 / 1000) * O$10 * $BN$4, O$11 * 0.876) - (O$11 * $N21)) * 0.25,
    0
)</f>
        <v>0</v>
      </c>
      <c r="P21" s="8" cm="1">
        <f t="array" ref="P21">IF(
    AND($H21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($H21 / 1000) * P$10 * $BN$4 * 0.25
    ),
    0
)
+
IF(
    $N21 &lt; 0.875,
    MAX(0, MIN(($H21 / 1000) * P$10 * $BN$4, P$11 * 0.876) - (P$11 * $N21)) * 0.25,
    0
)</f>
        <v>0</v>
      </c>
      <c r="Q21" s="8" cm="1">
        <f t="array" ref="Q21">IF(
    AND($H21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($H21 / 1000) * Q$10 * $BN$4 * 0.25
    ),
    0
)
+
IF(
    $N21 &lt; 0.875,
    MAX(0, MIN(($H21 / 1000) * Q$10 * $BN$4, Q$11 * 0.876) - (Q$11 * $N21)) * 0.25,
    0
)</f>
        <v>0</v>
      </c>
      <c r="R21" s="8" cm="1">
        <f t="array" ref="R21">IF(
    AND($H21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($H21 / 1000) * R$10 * $BN$4 * 0.25
    ),
    0
)
+
IF(
    $N21 &lt; 0.875,
    MAX(0, MIN(($H21 / 1000) * R$10 * $BN$4, R$11 * 0.876) - (R$11 * $N21)) * 0.25,
    0
)</f>
        <v>0</v>
      </c>
      <c r="S21" s="8" cm="1">
        <f t="array" ref="S21">IF(
    AND($H21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($H21 / 1000) * S$10 * $BN$4 * 0.25
    ),
    0
)
+
IF(
    $N21 &lt; 0.875,
    MAX(0, MIN(($H21 / 1000) * S$10 * $BN$4, S$11 * 0.876) - (S$11 * $N21)) * 0.25,
    0
)</f>
        <v>0</v>
      </c>
      <c r="T21" s="8" cm="1">
        <f t="array" ref="T21">IF(
    AND($H21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($H21 / 1000) * T$10 * $BN$4 * 0.25
    ),
    0
)
+
IF(
    $N21 &lt; 0.875,
    MAX(0, MIN(($H21 / 1000) * T$10 * $BN$4, T$11 * 0.876) - (T$11 * $N21)) * 0.25,
    0
)</f>
        <v>0</v>
      </c>
      <c r="U21" s="8" cm="1">
        <f t="array" ref="U21">IF(
    AND($H21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($H21 / 1000) * U$10 * $BN$4 * 0.25
    ),
    0
)
+
IF(
    $N21 &lt; 0.875,
    MAX(0, MIN(($H21 / 1000) * U$10 * $BN$4, U$11 * 0.876) - (U$11 * $N21)) * 0.25,
    0
)</f>
        <v>0</v>
      </c>
      <c r="V21" s="8" cm="1">
        <f t="array" ref="V21">IF(
    AND($H21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($H21 / 1000) * V$10 * $BN$4 * 0.25
    ),
    0
)
+
IF(
    $N21 &lt; 0.875,
    MAX(0, MIN(($H21 / 1000) * V$10 * $BN$4, V$11 * 0.876) - (V$11 * $N21)) * 0.25,
    0
)</f>
        <v>0</v>
      </c>
      <c r="W21" s="8" cm="1">
        <f t="array" ref="W21">IF(
    AND($H21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($H21 / 1000) * W$10 * $BN$4 * 0.25
    ),
    0
)
+
IF(
    $N21 &lt; 0.875,
    MAX(0, MIN(($H21 / 1000) * W$10 * $BN$4, W$11 * 0.876) - (W$11 * $N21)) * 0.25,
    0
)</f>
        <v>0</v>
      </c>
      <c r="X21" s="8" cm="1">
        <f t="array" ref="X21">IF(
    AND($H21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($H21 / 1000) * X$10 * $BN$4 * 0.25
    ),
    0
)
+
IF(
    $N21 &lt; 0.875,
    MAX(0, MIN(($H21 / 1000) * X$10 * $BN$4, X$11 * 0.876) - (X$11 * $N21)) * 0.25,
    0
)</f>
        <v>0</v>
      </c>
      <c r="Y21" s="8" cm="1">
        <f t="array" ref="Y21">IF(
    AND($H21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($H21 / 1000) * Y$10 * $BN$4 * 0.25
    ),
    0
)
+
IF(
    $N21 &lt; 0.875,
    MAX(0, MIN(($H21 / 1000) * Y$10 * $BN$4, Y$11 * 0.876) - (Y$11 * $N21)) * 0.25,
    0
)</f>
        <v>0</v>
      </c>
      <c r="Z21" s="8" cm="1">
        <f t="array" ref="Z21">IF(
    AND($H21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($H21 / 1000) * Z$10 * $BN$4 * 0.25
    ),
    0
)
+
IF(
    $N21 &lt; 0.875,
    MAX(0, MIN(($H21 / 1000) * Z$10 * $BN$4, Z$11 * 0.876) - (Z$11 * $N21)) * 0.25,
    0
)</f>
        <v>0</v>
      </c>
      <c r="AA21" s="8">
        <f>AVERAGE(TabellaMar2026[[#This Row],[Colonna24]:[Colonna20]])</f>
        <v>0</v>
      </c>
      <c r="AB21" s="8">
        <f>MAX(TabellaMar2026[[#This Row],[Colonna24]:[Colonna20]])</f>
        <v>0</v>
      </c>
      <c r="AC21" s="35">
        <f>MIN(TabellaMar2026[[#This Row],[Colonna24]:[Colonna20]])</f>
        <v>0</v>
      </c>
      <c r="AD21" s="44">
        <f>SUM(TabellaMar2026[[#This Row],[Colonna24]:[Colonna20]])</f>
        <v>0</v>
      </c>
      <c r="AE21" s="36">
        <f>IF(
    AND($H21 &gt; $BN$7, Tabella01MarzoInverter[[#This Row],[Active power TX2-INV-1]] &lt;= 0, Tabella01MarzoInverter[[#This Row],[TX2 - Average Power]] &lt;= 0),
    MIN(($H21 / 1000) * AE$10 * $BN$4, AE$11 * 0.876) * 0.25,
    IF(
        AND($H21 &gt; $BN$7, Tabella01MarzoInverter[[#This Row],[Active power TX2-INV-1]] &lt;= 0),
        Tabella01MarzoInverter[[#This Row],[TX2 - Average Power]] * 0.25,
        0
    )
    +
    IF(
        $N21 &lt; 0.875,
        MAX(0, MIN(($H21 / 1000) * AE$10 * $BN$4, AE$11 * 0.876) - (AE$11 * $N21)) * 0.25,
        0
    )
)</f>
        <v>0</v>
      </c>
      <c r="AF21" s="36">
        <f>IF(
    AND($H21 &gt; $BN$7, Tabella01MarzoInverter[[#This Row],[Active power TX2-INV-2]] &lt;= 0, Tabella01MarzoInverter[[#This Row],[TX2 - Max Power]] &lt;= 0),
    MIN(($H21 / 1000) * AF$10 * $BN$4, AF$11 * 0.876) * 0.25,
    IF(
        AND($H21 &gt; $BN$7, Tabella01MarzoInverter[[#This Row],[Active power TX2-INV-2]] &lt;= 0),
        Tabella01MarzoInverter[[#This Row],[TX2 - Max Power]] * 0.25,
        0
    )
    +
    IF(
        $N21 &lt; 0.875,
        MAX(0, MIN(($H21 / 1000) * AF$10 * $BN$4, AF$11 * 0.876) - (AF$11 * $N21)) * 0.25,
        0
    )
)</f>
        <v>0</v>
      </c>
      <c r="AG21" s="36">
        <f>IF(
    AND($H21 &gt; $BN$7, Tabella01MarzoInverter[[#This Row],[Active power TX2-INV-3]] &lt;= 0, Tabella01MarzoInverter[[#This Row],[TX2 - Min Power]] &lt;= 0),
    MIN(($H21 / 1000) * AG$10 * $BN$4, AG$11 * 0.876) * 0.25,
    IF(
        AND($H21 &gt; $BN$7, Tabella01MarzoInverter[[#This Row],[Active power TX2-INV-3]] &lt;= 0),
        Tabella01MarzoInverter[[#This Row],[TX2 - Min Power]] * 0.25,
        0
    )
    +
    IF(
        $N21 &lt; 0.875,
        MAX(0, MIN(($H21 / 1000) * AG$10 * $BN$4, AG$11 * 0.876) - (AG$11 * $N21)) * 0.25,
        0
    )
)</f>
        <v>0</v>
      </c>
      <c r="AH21" s="36">
        <f>IF(
    AND($H21 &gt; $BN$7, Tabella01MarzoInverter[[#This Row],[Active power TX2-INV-4]] &lt;= 0, Tabella01MarzoInverter[[#This Row],[Active power TX3-INV-1]] &lt;= 0),
    MIN(($H21 / 1000) * AH$10 * $BN$4, AH$11 * 0.876) * 0.25,
    IF(
        AND($H21 &gt; $BN$7, Tabella01MarzoInverter[[#This Row],[Active power TX2-INV-4]] &lt;= 0),
        Tabella01MarzoInverter[[#This Row],[Active power TX3-INV-1]] * 0.25,
        0
    )
    +
    IF(
        $N21 &lt; 0.875,
        MAX(0, MIN(($H21 / 1000) * AH$10 * $BN$4, AH$11 * 0.876) - (AH$11 * $N21)) * 0.25,
        0
    )
)</f>
        <v>0</v>
      </c>
      <c r="AI21" s="36">
        <f>IF(
    AND($H21 &gt; $BN$7, Tabella01MarzoInverter[[#This Row],[Active power TX2-INV-5]] &lt;= 0, Tabella01MarzoInverter[[#This Row],[Active power TX3-INV-2]] &lt;= 0),
    MIN(($H21 / 1000) * AI$10 * $BN$4, AI$11 * 0.876) * 0.25,
    IF(
        AND($H21 &gt; $BN$7, Tabella01MarzoInverter[[#This Row],[Active power TX2-INV-5]] &lt;= 0),
        Tabella01MarzoInverter[[#This Row],[Active power TX3-INV-2]] * 0.25,
        0
    )
    +
    IF(
        $N21 &lt; 0.875,
        MAX(0, MIN(($H21 / 1000) * AI$10 * $BN$4, AI$11 * 0.876) - (AI$11 * $N21)) * 0.25,
        0
    )
)</f>
        <v>0</v>
      </c>
      <c r="AJ21" s="36">
        <f>IF(
    AND($H21 &gt; $BN$7, Tabella01MarzoInverter[[#This Row],[Active power TX2-INV-6]] &lt;= 0, Tabella01MarzoInverter[[#This Row],[Active power TX3-INV-3]] &lt;= 0),
    MIN(($H21 / 1000) * AJ$10 * $BN$4, AJ$11 * 0.876) * 0.25,
    IF(
        AND($H21 &gt; $BN$7, Tabella01MarzoInverter[[#This Row],[Active power TX2-INV-6]] &lt;= 0),
        Tabella01MarzoInverter[[#This Row],[Active power TX3-INV-3]] * 0.25,
        0
    )
    +
    IF(
        $N21 &lt; 0.875,
        MAX(0, MIN(($H21 / 1000) * AJ$10 * $BN$4, AJ$11 * 0.876) - (AJ$11 * $N21)) * 0.25,
        0
    )
)</f>
        <v>0</v>
      </c>
      <c r="AK21" s="36">
        <f>IF(
    AND($H21 &gt; $BN$7, Tabella01MarzoInverter[[#This Row],[Active power TX2-INV-7]] &lt;= 0, Tabella01MarzoInverter[[#This Row],[Active power TX3-INV-4]] &lt;= 0),
    MIN(($H21 / 1000) * AK$10 * $BN$4, AK$11 * 0.876) * 0.25,
    IF(
        AND($H21 &gt; $BN$7, Tabella01MarzoInverter[[#This Row],[Active power TX2-INV-7]] &lt;= 0),
        Tabella01MarzoInverter[[#This Row],[Active power TX3-INV-4]] * 0.25,
        0
    )
    +
    IF(
        $N21 &lt; 0.875,
        MAX(0, MIN(($H21 / 1000) * AK$10 * $BN$4, AK$11 * 0.876) - (AK$11 * $N21)) * 0.25,
        0
    )
)</f>
        <v>0</v>
      </c>
      <c r="AL21" s="36">
        <f>IF(
    AND($H21 &gt; $BN$7, Tabella01MarzoInverter[[#This Row],[Active power TX2-INV-8]] &lt;= 0, Tabella01MarzoInverter[[#This Row],[Active power TX3-INV-5]] &lt;= 0),
    MIN(($H21 / 1000) * AL$10 * $BN$4, AL$11 * 0.876) * 0.25,
    IF(
        AND($H21 &gt; $BN$7, Tabella01MarzoInverter[[#This Row],[Active power TX2-INV-8]] &lt;= 0),
        Tabella01MarzoInverter[[#This Row],[Active power TX3-INV-5]] * 0.25,
        0
    )
    +
    IF(
        $N21 &lt; 0.875,
        MAX(0, MIN(($H21 / 1000) * AL$10 * $BN$4, AL$11 * 0.876) - (AL$11 * $N21)) * 0.25,
        0
    )
)</f>
        <v>0</v>
      </c>
      <c r="AM21" s="36">
        <f>IF(
    AND($H21 &gt; $BN$7, Tabella01MarzoInverter[[#This Row],[Active power TX2-INV-9]] &lt;= 0, Tabella01MarzoInverter[[#This Row],[Active power TX3-INV-6]] &lt;= 0),
    MIN(($H21 / 1000) * AM$10 * $BN$4, AM$11 * 0.876) * 0.25,
    IF(
        AND($H21 &gt; $BN$7, Tabella01MarzoInverter[[#This Row],[Active power TX2-INV-9]] &lt;= 0),
        Tabella01MarzoInverter[[#This Row],[Active power TX3-INV-6]] * 0.25,
        0
    )
    +
    IF(
        $N21 &lt; 0.875,
        MAX(0, MIN(($H21 / 1000) * AM$10 * $BN$4, AM$11 * 0.876) - (AM$11 * $N21)) * 0.25,
        0
    )
)</f>
        <v>0</v>
      </c>
      <c r="AN21" s="36">
        <f>IF(
    AND($H21 &gt; $BN$7, Tabella01MarzoInverter[[#This Row],[Active power TX2-INV-10]] &lt;= 0, Tabella01MarzoInverter[[#This Row],[Active power TX3-INV-7]] &lt;= 0),
    MIN(($H21 / 1000) * AN$10 * $BN$4, AN$11 * 0.876) * 0.25,
    IF(
        AND($H21 &gt; $BN$7, Tabella01MarzoInverter[[#This Row],[Active power TX2-INV-10]] &lt;= 0),
        Tabella01MarzoInverter[[#This Row],[Active power TX3-INV-7]] * 0.25,
        0
    )
    +
    IF(
        $N21 &lt; 0.875,
        MAX(0, MIN(($H21 / 1000) * AN$10 * $BN$4, AN$11 * 0.876) - (AN$11 * $N21)) * 0.25,
        0
    )
)</f>
        <v>0</v>
      </c>
      <c r="AO21" s="36">
        <f>IF(
    AND($H21 &gt; $BN$7, Tabella01MarzoInverter[[#This Row],[Active power TX2-INV-11]] &lt;= 0, Tabella01MarzoInverter[[#This Row],[Active power TX3-INV-8]] &lt;= 0),
    MIN(($H21 / 1000) * AO$10 * $BN$4, AO$11 * 0.876) * 0.25,
    IF(
        AND($H21 &gt; $BN$7, Tabella01MarzoInverter[[#This Row],[Active power TX2-INV-11]] &lt;= 0),
        Tabella01MarzoInverter[[#This Row],[Active power TX3-INV-8]] * 0.25,
        0
    )
    +
    IF(
        $N21 &lt; 0.875,
        MAX(0, MIN(($H21 / 1000) * AO$10 * $BN$4, AO$11 * 0.876) - (AO$11 * $N21)) * 0.25,
        0
    )
)</f>
        <v>0</v>
      </c>
      <c r="AP21" s="36">
        <f>IF(
    AND($H21 &gt; $BN$7, Tabella01MarzoInverter[[#This Row],[Active power TX2-INV-12]] &lt;= 0, Tabella01MarzoInverter[[#This Row],[Active power TX3-INV-9]] &lt;= 0),
    MIN(($H21 / 1000) * AP$10 * $BN$4, AP$11 * 0.876) * 0.25,
    IF(
        AND($H21 &gt; $BN$7, Tabella01MarzoInverter[[#This Row],[Active power TX2-INV-12]] &lt;= 0),
        Tabella01MarzoInverter[[#This Row],[Active power TX3-INV-9]] * 0.25,
        0
    )
    +
    IF(
        $N21 &lt; 0.875,
        MAX(0, MIN(($H21 / 1000) * AP$10 * $BN$4, AP$11 * 0.876) - (AP$11 * $N21)) * 0.25,
        0
    )
)</f>
        <v>0</v>
      </c>
      <c r="AQ21" s="8">
        <f>AVERAGE(TabellaMar2026[[#This Row],[Colonna39]:[Colonna6]])</f>
        <v>0</v>
      </c>
      <c r="AR21" s="8">
        <f>MAX(TabellaMar2026[[#This Row],[Colonna39]:[Colonna6]])</f>
        <v>0</v>
      </c>
      <c r="AS21" s="35">
        <f>MIN(TabellaMar2026[[#This Row],[Colonna39]:[Colonna6]])</f>
        <v>0</v>
      </c>
      <c r="AT21" s="48">
        <f>SUM(TabellaMar2026[[#This Row],[Colonna39]:[Colonna6]])</f>
        <v>0</v>
      </c>
      <c r="AU21" s="36" cm="1">
        <f t="array" ref="AU21">IF(
    AND($H21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($H21 / 1000) * AU$10 * $BN$4 * 0.25
    ),
    0
)
+
IF(
    $N21 &lt; 0.875,
    MAX(0, MIN(($H21 / 1000) * AU$10 * $BN$4, AU$11 * 0.876) - (AU$11 * $N21)) * 0.25,
    0
)</f>
        <v>0</v>
      </c>
      <c r="AV21" s="36" cm="1">
        <f t="array" ref="AV21">IF(
    AND($H21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($H21 / 1000) * AV$10 * $BN$4 * 0.25
    ),
    0
)
+
IF(
    $N21 &lt; 0.875,
    MAX(0, MIN(($H21 / 1000) * AV$10 * $BN$4, AV$11 * 0.876) - (AV$11 * $N21)) * 0.25,
    0
)</f>
        <v>0</v>
      </c>
      <c r="AW21" s="36" cm="1">
        <f t="array" ref="AW21">IF(
    AND($H21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($H21 / 1000) * AW$10 * $BN$4 * 0.25
    ),
    0
)
+
IF(
    $N21 &lt; 0.875,
    MAX(0, MIN(($H21 / 1000) * AW$10 * $BN$4, AW$11 * 0.876) - (AW$11 * $N21)) * 0.25,
    0
)</f>
        <v>0</v>
      </c>
      <c r="AX21" s="36" cm="1">
        <f t="array" ref="AX21">IF(
    AND($H21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($H21 / 1000) * AX$10 * $BN$4 * 0.25
    ),
    0
)
+
IF(
    $N21 &lt; 0.875,
    MAX(0, MIN(($H21 / 1000) * AX$10 * $BN$4, AX$11 * 0.876) - (AX$11 * $N21)) * 0.25,
    0
)</f>
        <v>0</v>
      </c>
      <c r="AY21" s="36" cm="1">
        <f t="array" ref="AY21">IF(
    AND($H21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($H21 / 1000) * AY$10 * $BN$4 * 0.25
    ),
    0
)
+
IF(
    $N21 &lt; 0.875,
    MAX(0, MIN(($H21 / 1000) * AY$10 * $BN$4, AY$11 * 0.876) - (AY$11 * $N21)) * 0.25,
    0
)</f>
        <v>0</v>
      </c>
      <c r="AZ21" s="36" cm="1">
        <f t="array" ref="AZ21">IF(
    AND($H21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($H21 / 1000) * AZ$10 * $BN$4 * 0.25
    ),
    0
)
+
IF(
    $N21 &lt; 0.875,
    MAX(0, MIN(($H21 / 1000) * AZ$10 * $BN$4, AZ$11 * 0.876) - (AZ$11 * $N21)) * 0.25,
    0
)</f>
        <v>0</v>
      </c>
      <c r="BA21" s="36" cm="1">
        <f t="array" ref="BA21">IF(
    AND($H21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($H21 / 1000) * BA$10 * $BN$4 * 0.25
    ),
    0
)
+
IF(
    $N21 &lt; 0.875,
    MAX(0, MIN(($H21 / 1000) * BA$10 * $BN$4, BA$11 * 0.876) - (BA$11 * $N21)) * 0.25,
    0
)</f>
        <v>0</v>
      </c>
      <c r="BB21" s="36" cm="1">
        <f t="array" ref="BB21">IF(
    AND($H21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($H21 / 1000) * BB$10 * $BN$4 * 0.25
    ),
    0
)
+
IF(
    $N21 &lt; 0.875,
    MAX(0, MIN(($H21 / 1000) * BB$10 * $BN$4, BB$11 * 0.876) - (BB$11 * $N21)) * 0.25,
    0
)</f>
        <v>0</v>
      </c>
      <c r="BC21" s="36" cm="1">
        <f t="array" ref="BC21">IF(
    AND($H21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($H21 / 1000) * BC$10 * $BN$4 * 0.25
    ),
    0
)
+
IF(
    $N21 &lt; 0.875,
    MAX(0, MIN(($H21 / 1000) * BC$10 * $BN$4, BC$11 * 0.876) - (BC$11 * $N21)) * 0.25,
    0
)</f>
        <v>0</v>
      </c>
      <c r="BD21" s="36" cm="1">
        <f t="array" ref="BD21">IF(
    AND($H21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($H21 / 1000) * BD$10 * $BN$4 * 0.25
    ),
    0
)
+
IF(
    $N21 &lt; 0.875,
    MAX(0, MIN(($H21 / 1000) * BD$10 * $BN$4, BD$11 * 0.876) - (BD$11 * $N21)) * 0.25,
    0
)</f>
        <v>0</v>
      </c>
      <c r="BE21" s="36" cm="1">
        <f t="array" ref="BE21">IF(
    AND($H21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($H21 / 1000) * BE$10 * $BN$4 * 0.25
    ),
    0
)
+
IF(
    $N21 &lt; 0.875,
    MAX(0, MIN(($H21 / 1000) * BE$10 * $BN$4, BE$11 * 0.876) - (BE$11 * $N21)) * 0.25,
    0
)</f>
        <v>0</v>
      </c>
      <c r="BF21" s="36" cm="1">
        <f t="array" ref="BF21">IF(
    AND($H21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($H21 / 1000) * BF$10 * $BN$4 * 0.25
    ),
    0
)
+
IF(
    $N21 &lt; 0.875,
    MAX(0, MIN(($H21 / 1000) * BF$10 * $BN$4, BF$11 * 0.876) - (BF$11 * $N21)) * 0.25,
    0
)</f>
        <v>0</v>
      </c>
      <c r="BG21" s="8">
        <f>AVERAGE(TabellaMar2026[[#This Row],[Colonna55]:[Colonna53]])</f>
        <v>0</v>
      </c>
      <c r="BH21" s="8">
        <f>MAX(TabellaMar2026[[#This Row],[Colonna55]:[Colonna53]])</f>
        <v>0</v>
      </c>
      <c r="BI21" s="35">
        <f>MIN(TabellaMar2026[[#This Row],[Colonna55]:[Colonna53]])</f>
        <v>0</v>
      </c>
      <c r="BJ21" s="48">
        <f>SUM(TabellaMar2026[[#This Row],[Colonna54]:[Colonna53]])</f>
        <v>0</v>
      </c>
      <c r="BK21" s="54">
        <f>(SUM(Tabella01MarzoInverter[[Active power TX1-INV-1]:[Active power TX3-INV-12]]) * 0.25) / (12625 * (SUM($G$15:$H$110) * 0.25 / 1000))</f>
        <v>1.014229628761051</v>
      </c>
      <c r="BL21" s="5"/>
      <c r="BM21" s="5"/>
      <c r="BN21" s="8"/>
      <c r="BO21" s="8"/>
      <c r="BP21" s="19"/>
    </row>
    <row r="22" spans="1:68" s="3" customFormat="1" x14ac:dyDescent="0.25">
      <c r="A22" s="18">
        <v>46147</v>
      </c>
      <c r="B22" t="s">
        <v>22</v>
      </c>
      <c r="C22" s="5">
        <v>0</v>
      </c>
      <c r="D22" s="6">
        <v>0</v>
      </c>
      <c r="E22" s="6">
        <v>0</v>
      </c>
      <c r="F22" s="6">
        <v>0</v>
      </c>
      <c r="G22" s="6">
        <f>IFERROR((D22+F22)/2, 0)</f>
        <v>0</v>
      </c>
      <c r="H22" s="7">
        <f>IFERROR(IF(AVERAGE(C22,E22)&gt;$BN$7,AVERAGE(C22,E22),0), 0)</f>
        <v>0</v>
      </c>
      <c r="I22" s="7">
        <f>IFERROR(IF(AND(D22=0,F22=0),0,IF(H22&gt;$BN$6,MAX(D22,F22),G22)), 0)</f>
        <v>0</v>
      </c>
      <c r="J22" s="6">
        <f>IFERROR(IF(AND(D22&gt;0,F22&gt;0),ABS(D22-F22)/AVERAGE(D22,F22),0), 0)</f>
        <v>0</v>
      </c>
      <c r="K22" s="6">
        <v>30386.2</v>
      </c>
      <c r="L22" s="6">
        <v>30386.2</v>
      </c>
      <c r="M22" s="8">
        <f>IFERROR((L22-K22)*1000, 0)</f>
        <v>0</v>
      </c>
      <c r="N22" s="6">
        <v>0.87599999999999989</v>
      </c>
      <c r="O22" s="8" cm="1">
        <f t="array" ref="O22">IF(
    AND($H22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($H22 / 1000) * O$10 * $BN$4 * 0.25
    ),
    0
)
+
IF(
    $N22 &lt; 0.875,
    MAX(0, MIN(($H22 / 1000) * O$10 * $BN$4, O$11 * 0.876) - (O$11 * $N22)) * 0.25,
    0
)</f>
        <v>0</v>
      </c>
      <c r="P22" s="8" cm="1">
        <f t="array" ref="P22">IF(
    AND($H22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($H22 / 1000) * P$10 * $BN$4 * 0.25
    ),
    0
)
+
IF(
    $N22 &lt; 0.875,
    MAX(0, MIN(($H22 / 1000) * P$10 * $BN$4, P$11 * 0.876) - (P$11 * $N22)) * 0.25,
    0
)</f>
        <v>0</v>
      </c>
      <c r="Q22" s="8" cm="1">
        <f t="array" ref="Q22">IF(
    AND($H22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($H22 / 1000) * Q$10 * $BN$4 * 0.25
    ),
    0
)
+
IF(
    $N22 &lt; 0.875,
    MAX(0, MIN(($H22 / 1000) * Q$10 * $BN$4, Q$11 * 0.876) - (Q$11 * $N22)) * 0.25,
    0
)</f>
        <v>0</v>
      </c>
      <c r="R22" s="8" cm="1">
        <f t="array" ref="R22">IF(
    AND($H22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($H22 / 1000) * R$10 * $BN$4 * 0.25
    ),
    0
)
+
IF(
    $N22 &lt; 0.875,
    MAX(0, MIN(($H22 / 1000) * R$10 * $BN$4, R$11 * 0.876) - (R$11 * $N22)) * 0.25,
    0
)</f>
        <v>0</v>
      </c>
      <c r="S22" s="8" cm="1">
        <f t="array" ref="S22">IF(
    AND($H22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($H22 / 1000) * S$10 * $BN$4 * 0.25
    ),
    0
)
+
IF(
    $N22 &lt; 0.875,
    MAX(0, MIN(($H22 / 1000) * S$10 * $BN$4, S$11 * 0.876) - (S$11 * $N22)) * 0.25,
    0
)</f>
        <v>0</v>
      </c>
      <c r="T22" s="8" cm="1">
        <f t="array" ref="T22">IF(
    AND($H22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($H22 / 1000) * T$10 * $BN$4 * 0.25
    ),
    0
)
+
IF(
    $N22 &lt; 0.875,
    MAX(0, MIN(($H22 / 1000) * T$10 * $BN$4, T$11 * 0.876) - (T$11 * $N22)) * 0.25,
    0
)</f>
        <v>0</v>
      </c>
      <c r="U22" s="8" cm="1">
        <f t="array" ref="U22">IF(
    AND($H22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($H22 / 1000) * U$10 * $BN$4 * 0.25
    ),
    0
)
+
IF(
    $N22 &lt; 0.875,
    MAX(0, MIN(($H22 / 1000) * U$10 * $BN$4, U$11 * 0.876) - (U$11 * $N22)) * 0.25,
    0
)</f>
        <v>0</v>
      </c>
      <c r="V22" s="8" cm="1">
        <f t="array" ref="V22">IF(
    AND($H22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($H22 / 1000) * V$10 * $BN$4 * 0.25
    ),
    0
)
+
IF(
    $N22 &lt; 0.875,
    MAX(0, MIN(($H22 / 1000) * V$10 * $BN$4, V$11 * 0.876) - (V$11 * $N22)) * 0.25,
    0
)</f>
        <v>0</v>
      </c>
      <c r="W22" s="8" cm="1">
        <f t="array" ref="W22">IF(
    AND($H22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($H22 / 1000) * W$10 * $BN$4 * 0.25
    ),
    0
)
+
IF(
    $N22 &lt; 0.875,
    MAX(0, MIN(($H22 / 1000) * W$10 * $BN$4, W$11 * 0.876) - (W$11 * $N22)) * 0.25,
    0
)</f>
        <v>0</v>
      </c>
      <c r="X22" s="8" cm="1">
        <f t="array" ref="X22">IF(
    AND($H22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($H22 / 1000) * X$10 * $BN$4 * 0.25
    ),
    0
)
+
IF(
    $N22 &lt; 0.875,
    MAX(0, MIN(($H22 / 1000) * X$10 * $BN$4, X$11 * 0.876) - (X$11 * $N22)) * 0.25,
    0
)</f>
        <v>0</v>
      </c>
      <c r="Y22" s="8" cm="1">
        <f t="array" ref="Y22">IF(
    AND($H22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($H22 / 1000) * Y$10 * $BN$4 * 0.25
    ),
    0
)
+
IF(
    $N22 &lt; 0.875,
    MAX(0, MIN(($H22 / 1000) * Y$10 * $BN$4, Y$11 * 0.876) - (Y$11 * $N22)) * 0.25,
    0
)</f>
        <v>0</v>
      </c>
      <c r="Z22" s="8" cm="1">
        <f t="array" ref="Z22">IF(
    AND($H22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($H22 / 1000) * Z$10 * $BN$4 * 0.25
    ),
    0
)
+
IF(
    $N22 &lt; 0.875,
    MAX(0, MIN(($H22 / 1000) * Z$10 * $BN$4, Z$11 * 0.876) - (Z$11 * $N22)) * 0.25,
    0
)</f>
        <v>0</v>
      </c>
      <c r="AA22" s="8">
        <f>AVERAGE(TabellaMar2026[[#This Row],[Colonna24]:[Colonna20]])</f>
        <v>0</v>
      </c>
      <c r="AB22" s="8">
        <f>MAX(TabellaMar2026[[#This Row],[Colonna24]:[Colonna20]])</f>
        <v>0</v>
      </c>
      <c r="AC22" s="35">
        <f>MIN(TabellaMar2026[[#This Row],[Colonna24]:[Colonna20]])</f>
        <v>0</v>
      </c>
      <c r="AD22" s="44">
        <f>SUM(TabellaMar2026[[#This Row],[Colonna24]:[Colonna20]])</f>
        <v>0</v>
      </c>
      <c r="AE22" s="36">
        <f>IF(
    AND($H22 &gt; $BN$7, Tabella01MarzoInverter[[#This Row],[Active power TX2-INV-1]] &lt;= 0, Tabella01MarzoInverter[[#This Row],[TX2 - Average Power]] &lt;= 0),
    MIN(($H22 / 1000) * AE$10 * $BN$4, AE$11 * 0.876) * 0.25,
    IF(
        AND($H22 &gt; $BN$7, Tabella01MarzoInverter[[#This Row],[Active power TX2-INV-1]] &lt;= 0),
        Tabella01MarzoInverter[[#This Row],[TX2 - Average Power]] * 0.25,
        0
    )
    +
    IF(
        $N22 &lt; 0.875,
        MAX(0, MIN(($H22 / 1000) * AE$10 * $BN$4, AE$11 * 0.876) - (AE$11 * $N22)) * 0.25,
        0
    )
)</f>
        <v>0</v>
      </c>
      <c r="AF22" s="36">
        <f>IF(
    AND($H22 &gt; $BN$7, Tabella01MarzoInverter[[#This Row],[Active power TX2-INV-2]] &lt;= 0, Tabella01MarzoInverter[[#This Row],[TX2 - Max Power]] &lt;= 0),
    MIN(($H22 / 1000) * AF$10 * $BN$4, AF$11 * 0.876) * 0.25,
    IF(
        AND($H22 &gt; $BN$7, Tabella01MarzoInverter[[#This Row],[Active power TX2-INV-2]] &lt;= 0),
        Tabella01MarzoInverter[[#This Row],[TX2 - Max Power]] * 0.25,
        0
    )
    +
    IF(
        $N22 &lt; 0.875,
        MAX(0, MIN(($H22 / 1000) * AF$10 * $BN$4, AF$11 * 0.876) - (AF$11 * $N22)) * 0.25,
        0
    )
)</f>
        <v>0</v>
      </c>
      <c r="AG22" s="36">
        <f>IF(
    AND($H22 &gt; $BN$7, Tabella01MarzoInverter[[#This Row],[Active power TX2-INV-3]] &lt;= 0, Tabella01MarzoInverter[[#This Row],[TX2 - Min Power]] &lt;= 0),
    MIN(($H22 / 1000) * AG$10 * $BN$4, AG$11 * 0.876) * 0.25,
    IF(
        AND($H22 &gt; $BN$7, Tabella01MarzoInverter[[#This Row],[Active power TX2-INV-3]] &lt;= 0),
        Tabella01MarzoInverter[[#This Row],[TX2 - Min Power]] * 0.25,
        0
    )
    +
    IF(
        $N22 &lt; 0.875,
        MAX(0, MIN(($H22 / 1000) * AG$10 * $BN$4, AG$11 * 0.876) - (AG$11 * $N22)) * 0.25,
        0
    )
)</f>
        <v>0</v>
      </c>
      <c r="AH22" s="36">
        <f>IF(
    AND($H22 &gt; $BN$7, Tabella01MarzoInverter[[#This Row],[Active power TX2-INV-4]] &lt;= 0, Tabella01MarzoInverter[[#This Row],[Active power TX3-INV-1]] &lt;= 0),
    MIN(($H22 / 1000) * AH$10 * $BN$4, AH$11 * 0.876) * 0.25,
    IF(
        AND($H22 &gt; $BN$7, Tabella01MarzoInverter[[#This Row],[Active power TX2-INV-4]] &lt;= 0),
        Tabella01MarzoInverter[[#This Row],[Active power TX3-INV-1]] * 0.25,
        0
    )
    +
    IF(
        $N22 &lt; 0.875,
        MAX(0, MIN(($H22 / 1000) * AH$10 * $BN$4, AH$11 * 0.876) - (AH$11 * $N22)) * 0.25,
        0
    )
)</f>
        <v>0</v>
      </c>
      <c r="AI22" s="36">
        <f>IF(
    AND($H22 &gt; $BN$7, Tabella01MarzoInverter[[#This Row],[Active power TX2-INV-5]] &lt;= 0, Tabella01MarzoInverter[[#This Row],[Active power TX3-INV-2]] &lt;= 0),
    MIN(($H22 / 1000) * AI$10 * $BN$4, AI$11 * 0.876) * 0.25,
    IF(
        AND($H22 &gt; $BN$7, Tabella01MarzoInverter[[#This Row],[Active power TX2-INV-5]] &lt;= 0),
        Tabella01MarzoInverter[[#This Row],[Active power TX3-INV-2]] * 0.25,
        0
    )
    +
    IF(
        $N22 &lt; 0.875,
        MAX(0, MIN(($H22 / 1000) * AI$10 * $BN$4, AI$11 * 0.876) - (AI$11 * $N22)) * 0.25,
        0
    )
)</f>
        <v>0</v>
      </c>
      <c r="AJ22" s="36">
        <f>IF(
    AND($H22 &gt; $BN$7, Tabella01MarzoInverter[[#This Row],[Active power TX2-INV-6]] &lt;= 0, Tabella01MarzoInverter[[#This Row],[Active power TX3-INV-3]] &lt;= 0),
    MIN(($H22 / 1000) * AJ$10 * $BN$4, AJ$11 * 0.876) * 0.25,
    IF(
        AND($H22 &gt; $BN$7, Tabella01MarzoInverter[[#This Row],[Active power TX2-INV-6]] &lt;= 0),
        Tabella01MarzoInverter[[#This Row],[Active power TX3-INV-3]] * 0.25,
        0
    )
    +
    IF(
        $N22 &lt; 0.875,
        MAX(0, MIN(($H22 / 1000) * AJ$10 * $BN$4, AJ$11 * 0.876) - (AJ$11 * $N22)) * 0.25,
        0
    )
)</f>
        <v>0</v>
      </c>
      <c r="AK22" s="36">
        <f>IF(
    AND($H22 &gt; $BN$7, Tabella01MarzoInverter[[#This Row],[Active power TX2-INV-7]] &lt;= 0, Tabella01MarzoInverter[[#This Row],[Active power TX3-INV-4]] &lt;= 0),
    MIN(($H22 / 1000) * AK$10 * $BN$4, AK$11 * 0.876) * 0.25,
    IF(
        AND($H22 &gt; $BN$7, Tabella01MarzoInverter[[#This Row],[Active power TX2-INV-7]] &lt;= 0),
        Tabella01MarzoInverter[[#This Row],[Active power TX3-INV-4]] * 0.25,
        0
    )
    +
    IF(
        $N22 &lt; 0.875,
        MAX(0, MIN(($H22 / 1000) * AK$10 * $BN$4, AK$11 * 0.876) - (AK$11 * $N22)) * 0.25,
        0
    )
)</f>
        <v>0</v>
      </c>
      <c r="AL22" s="36">
        <f>IF(
    AND($H22 &gt; $BN$7, Tabella01MarzoInverter[[#This Row],[Active power TX2-INV-8]] &lt;= 0, Tabella01MarzoInverter[[#This Row],[Active power TX3-INV-5]] &lt;= 0),
    MIN(($H22 / 1000) * AL$10 * $BN$4, AL$11 * 0.876) * 0.25,
    IF(
        AND($H22 &gt; $BN$7, Tabella01MarzoInverter[[#This Row],[Active power TX2-INV-8]] &lt;= 0),
        Tabella01MarzoInverter[[#This Row],[Active power TX3-INV-5]] * 0.25,
        0
    )
    +
    IF(
        $N22 &lt; 0.875,
        MAX(0, MIN(($H22 / 1000) * AL$10 * $BN$4, AL$11 * 0.876) - (AL$11 * $N22)) * 0.25,
        0
    )
)</f>
        <v>0</v>
      </c>
      <c r="AM22" s="36">
        <f>IF(
    AND($H22 &gt; $BN$7, Tabella01MarzoInverter[[#This Row],[Active power TX2-INV-9]] &lt;= 0, Tabella01MarzoInverter[[#This Row],[Active power TX3-INV-6]] &lt;= 0),
    MIN(($H22 / 1000) * AM$10 * $BN$4, AM$11 * 0.876) * 0.25,
    IF(
        AND($H22 &gt; $BN$7, Tabella01MarzoInverter[[#This Row],[Active power TX2-INV-9]] &lt;= 0),
        Tabella01MarzoInverter[[#This Row],[Active power TX3-INV-6]] * 0.25,
        0
    )
    +
    IF(
        $N22 &lt; 0.875,
        MAX(0, MIN(($H22 / 1000) * AM$10 * $BN$4, AM$11 * 0.876) - (AM$11 * $N22)) * 0.25,
        0
    )
)</f>
        <v>0</v>
      </c>
      <c r="AN22" s="36">
        <f>IF(
    AND($H22 &gt; $BN$7, Tabella01MarzoInverter[[#This Row],[Active power TX2-INV-10]] &lt;= 0, Tabella01MarzoInverter[[#This Row],[Active power TX3-INV-7]] &lt;= 0),
    MIN(($H22 / 1000) * AN$10 * $BN$4, AN$11 * 0.876) * 0.25,
    IF(
        AND($H22 &gt; $BN$7, Tabella01MarzoInverter[[#This Row],[Active power TX2-INV-10]] &lt;= 0),
        Tabella01MarzoInverter[[#This Row],[Active power TX3-INV-7]] * 0.25,
        0
    )
    +
    IF(
        $N22 &lt; 0.875,
        MAX(0, MIN(($H22 / 1000) * AN$10 * $BN$4, AN$11 * 0.876) - (AN$11 * $N22)) * 0.25,
        0
    )
)</f>
        <v>0</v>
      </c>
      <c r="AO22" s="36">
        <f>IF(
    AND($H22 &gt; $BN$7, Tabella01MarzoInverter[[#This Row],[Active power TX2-INV-11]] &lt;= 0, Tabella01MarzoInverter[[#This Row],[Active power TX3-INV-8]] &lt;= 0),
    MIN(($H22 / 1000) * AO$10 * $BN$4, AO$11 * 0.876) * 0.25,
    IF(
        AND($H22 &gt; $BN$7, Tabella01MarzoInverter[[#This Row],[Active power TX2-INV-11]] &lt;= 0),
        Tabella01MarzoInverter[[#This Row],[Active power TX3-INV-8]] * 0.25,
        0
    )
    +
    IF(
        $N22 &lt; 0.875,
        MAX(0, MIN(($H22 / 1000) * AO$10 * $BN$4, AO$11 * 0.876) - (AO$11 * $N22)) * 0.25,
        0
    )
)</f>
        <v>0</v>
      </c>
      <c r="AP22" s="36">
        <f>IF(
    AND($H22 &gt; $BN$7, Tabella01MarzoInverter[[#This Row],[Active power TX2-INV-12]] &lt;= 0, Tabella01MarzoInverter[[#This Row],[Active power TX3-INV-9]] &lt;= 0),
    MIN(($H22 / 1000) * AP$10 * $BN$4, AP$11 * 0.876) * 0.25,
    IF(
        AND($H22 &gt; $BN$7, Tabella01MarzoInverter[[#This Row],[Active power TX2-INV-12]] &lt;= 0),
        Tabella01MarzoInverter[[#This Row],[Active power TX3-INV-9]] * 0.25,
        0
    )
    +
    IF(
        $N22 &lt; 0.875,
        MAX(0, MIN(($H22 / 1000) * AP$10 * $BN$4, AP$11 * 0.876) - (AP$11 * $N22)) * 0.25,
        0
    )
)</f>
        <v>0</v>
      </c>
      <c r="AQ22" s="8">
        <f>AVERAGE(TabellaMar2026[[#This Row],[Colonna39]:[Colonna6]])</f>
        <v>0</v>
      </c>
      <c r="AR22" s="8">
        <f>MAX(TabellaMar2026[[#This Row],[Colonna39]:[Colonna6]])</f>
        <v>0</v>
      </c>
      <c r="AS22" s="35">
        <f>MIN(TabellaMar2026[[#This Row],[Colonna39]:[Colonna6]])</f>
        <v>0</v>
      </c>
      <c r="AT22" s="48">
        <f>SUM(TabellaMar2026[[#This Row],[Colonna39]:[Colonna6]])</f>
        <v>0</v>
      </c>
      <c r="AU22" s="36" cm="1">
        <f t="array" ref="AU22">IF(
    AND($H22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($H22 / 1000) * AU$10 * $BN$4 * 0.25
    ),
    0
)
+
IF(
    $N22 &lt; 0.875,
    MAX(0, MIN(($H22 / 1000) * AU$10 * $BN$4, AU$11 * 0.876) - (AU$11 * $N22)) * 0.25,
    0
)</f>
        <v>0</v>
      </c>
      <c r="AV22" s="36" cm="1">
        <f t="array" ref="AV22">IF(
    AND($H22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($H22 / 1000) * AV$10 * $BN$4 * 0.25
    ),
    0
)
+
IF(
    $N22 &lt; 0.875,
    MAX(0, MIN(($H22 / 1000) * AV$10 * $BN$4, AV$11 * 0.876) - (AV$11 * $N22)) * 0.25,
    0
)</f>
        <v>0</v>
      </c>
      <c r="AW22" s="36" cm="1">
        <f t="array" ref="AW22">IF(
    AND($H22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($H22 / 1000) * AW$10 * $BN$4 * 0.25
    ),
    0
)
+
IF(
    $N22 &lt; 0.875,
    MAX(0, MIN(($H22 / 1000) * AW$10 * $BN$4, AW$11 * 0.876) - (AW$11 * $N22)) * 0.25,
    0
)</f>
        <v>0</v>
      </c>
      <c r="AX22" s="36" cm="1">
        <f t="array" ref="AX22">IF(
    AND($H22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($H22 / 1000) * AX$10 * $BN$4 * 0.25
    ),
    0
)
+
IF(
    $N22 &lt; 0.875,
    MAX(0, MIN(($H22 / 1000) * AX$10 * $BN$4, AX$11 * 0.876) - (AX$11 * $N22)) * 0.25,
    0
)</f>
        <v>0</v>
      </c>
      <c r="AY22" s="36" cm="1">
        <f t="array" ref="AY22">IF(
    AND($H22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($H22 / 1000) * AY$10 * $BN$4 * 0.25
    ),
    0
)
+
IF(
    $N22 &lt; 0.875,
    MAX(0, MIN(($H22 / 1000) * AY$10 * $BN$4, AY$11 * 0.876) - (AY$11 * $N22)) * 0.25,
    0
)</f>
        <v>0</v>
      </c>
      <c r="AZ22" s="36" cm="1">
        <f t="array" ref="AZ22">IF(
    AND($H22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($H22 / 1000) * AZ$10 * $BN$4 * 0.25
    ),
    0
)
+
IF(
    $N22 &lt; 0.875,
    MAX(0, MIN(($H22 / 1000) * AZ$10 * $BN$4, AZ$11 * 0.876) - (AZ$11 * $N22)) * 0.25,
    0
)</f>
        <v>0</v>
      </c>
      <c r="BA22" s="36" cm="1">
        <f t="array" ref="BA22">IF(
    AND($H22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($H22 / 1000) * BA$10 * $BN$4 * 0.25
    ),
    0
)
+
IF(
    $N22 &lt; 0.875,
    MAX(0, MIN(($H22 / 1000) * BA$10 * $BN$4, BA$11 * 0.876) - (BA$11 * $N22)) * 0.25,
    0
)</f>
        <v>0</v>
      </c>
      <c r="BB22" s="36" cm="1">
        <f t="array" ref="BB22">IF(
    AND($H22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($H22 / 1000) * BB$10 * $BN$4 * 0.25
    ),
    0
)
+
IF(
    $N22 &lt; 0.875,
    MAX(0, MIN(($H22 / 1000) * BB$10 * $BN$4, BB$11 * 0.876) - (BB$11 * $N22)) * 0.25,
    0
)</f>
        <v>0</v>
      </c>
      <c r="BC22" s="36" cm="1">
        <f t="array" ref="BC22">IF(
    AND($H22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($H22 / 1000) * BC$10 * $BN$4 * 0.25
    ),
    0
)
+
IF(
    $N22 &lt; 0.875,
    MAX(0, MIN(($H22 / 1000) * BC$10 * $BN$4, BC$11 * 0.876) - (BC$11 * $N22)) * 0.25,
    0
)</f>
        <v>0</v>
      </c>
      <c r="BD22" s="36" cm="1">
        <f t="array" ref="BD22">IF(
    AND($H22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($H22 / 1000) * BD$10 * $BN$4 * 0.25
    ),
    0
)
+
IF(
    $N22 &lt; 0.875,
    MAX(0, MIN(($H22 / 1000) * BD$10 * $BN$4, BD$11 * 0.876) - (BD$11 * $N22)) * 0.25,
    0
)</f>
        <v>0</v>
      </c>
      <c r="BE22" s="36" cm="1">
        <f t="array" ref="BE22">IF(
    AND($H22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($H22 / 1000) * BE$10 * $BN$4 * 0.25
    ),
    0
)
+
IF(
    $N22 &lt; 0.875,
    MAX(0, MIN(($H22 / 1000) * BE$10 * $BN$4, BE$11 * 0.876) - (BE$11 * $N22)) * 0.25,
    0
)</f>
        <v>0</v>
      </c>
      <c r="BF22" s="36" cm="1">
        <f t="array" ref="BF22">IF(
    AND($H22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($H22 / 1000) * BF$10 * $BN$4 * 0.25
    ),
    0
)
+
IF(
    $N22 &lt; 0.875,
    MAX(0, MIN(($H22 / 1000) * BF$10 * $BN$4, BF$11 * 0.876) - (BF$11 * $N22)) * 0.25,
    0
)</f>
        <v>0</v>
      </c>
      <c r="BG22" s="8">
        <f>AVERAGE(TabellaMar2026[[#This Row],[Colonna55]:[Colonna53]])</f>
        <v>0</v>
      </c>
      <c r="BH22" s="8">
        <f>MAX(TabellaMar2026[[#This Row],[Colonna55]:[Colonna53]])</f>
        <v>0</v>
      </c>
      <c r="BI22" s="35">
        <f>MIN(TabellaMar2026[[#This Row],[Colonna55]:[Colonna53]])</f>
        <v>0</v>
      </c>
      <c r="BJ22" s="48">
        <f>SUM(TabellaMar2026[[#This Row],[Colonna54]:[Colonna53]])</f>
        <v>0</v>
      </c>
      <c r="BK22" s="54">
        <f>(SUM(Tabella01MarzoInverter[[Active power TX1-INV-1]:[Active power TX3-INV-12]]) * 0.25) / (12625 * (SUM($G$15:$H$110) * 0.25 / 1000))</f>
        <v>1.014229628761051</v>
      </c>
      <c r="BL22" s="5"/>
      <c r="BM22" s="5"/>
      <c r="BN22" s="8"/>
      <c r="BO22" s="8"/>
      <c r="BP22" s="19"/>
    </row>
    <row r="23" spans="1:68" s="3" customFormat="1" x14ac:dyDescent="0.25">
      <c r="A23" s="18">
        <v>46147</v>
      </c>
      <c r="B23" t="s">
        <v>23</v>
      </c>
      <c r="C23" s="5">
        <v>0</v>
      </c>
      <c r="D23" s="6">
        <v>0</v>
      </c>
      <c r="E23" s="6">
        <v>0</v>
      </c>
      <c r="F23" s="6">
        <v>0</v>
      </c>
      <c r="G23" s="6">
        <f>IFERROR((D23+F23)/2, 0)</f>
        <v>0</v>
      </c>
      <c r="H23" s="7">
        <f>IFERROR(IF(AVERAGE(C23,E23)&gt;$BN$7,AVERAGE(C23,E23),0), 0)</f>
        <v>0</v>
      </c>
      <c r="I23" s="7">
        <f>IFERROR(IF(AND(D23=0,F23=0),0,IF(H23&gt;$BN$6,MAX(D23,F23),G23)), 0)</f>
        <v>0</v>
      </c>
      <c r="J23" s="6">
        <f>IFERROR(IF(AND(D23&gt;0,F23&gt;0),ABS(D23-F23)/AVERAGE(D23,F23),0), 0)</f>
        <v>0</v>
      </c>
      <c r="K23" s="6">
        <v>30386.2</v>
      </c>
      <c r="L23" s="6">
        <v>30386.2</v>
      </c>
      <c r="M23" s="8">
        <f>IFERROR((L23-K23)*1000, 0)</f>
        <v>0</v>
      </c>
      <c r="N23" s="6">
        <v>0.87599999999999989</v>
      </c>
      <c r="O23" s="8" cm="1">
        <f t="array" ref="O23">IF(
    AND($H23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($H23 / 1000) * O$10 * $BN$4 * 0.25
    ),
    0
)
+
IF(
    $N23 &lt; 0.875,
    MAX(0, MIN(($H23 / 1000) * O$10 * $BN$4, O$11 * 0.876) - (O$11 * $N23)) * 0.25,
    0
)</f>
        <v>0</v>
      </c>
      <c r="P23" s="8" cm="1">
        <f t="array" ref="P23">IF(
    AND($H23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($H23 / 1000) * P$10 * $BN$4 * 0.25
    ),
    0
)
+
IF(
    $N23 &lt; 0.875,
    MAX(0, MIN(($H23 / 1000) * P$10 * $BN$4, P$11 * 0.876) - (P$11 * $N23)) * 0.25,
    0
)</f>
        <v>0</v>
      </c>
      <c r="Q23" s="8" cm="1">
        <f t="array" ref="Q23">IF(
    AND($H23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($H23 / 1000) * Q$10 * $BN$4 * 0.25
    ),
    0
)
+
IF(
    $N23 &lt; 0.875,
    MAX(0, MIN(($H23 / 1000) * Q$10 * $BN$4, Q$11 * 0.876) - (Q$11 * $N23)) * 0.25,
    0
)</f>
        <v>0</v>
      </c>
      <c r="R23" s="8" cm="1">
        <f t="array" ref="R23">IF(
    AND($H23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($H23 / 1000) * R$10 * $BN$4 * 0.25
    ),
    0
)
+
IF(
    $N23 &lt; 0.875,
    MAX(0, MIN(($H23 / 1000) * R$10 * $BN$4, R$11 * 0.876) - (R$11 * $N23)) * 0.25,
    0
)</f>
        <v>0</v>
      </c>
      <c r="S23" s="8" cm="1">
        <f t="array" ref="S23">IF(
    AND($H23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($H23 / 1000) * S$10 * $BN$4 * 0.25
    ),
    0
)
+
IF(
    $N23 &lt; 0.875,
    MAX(0, MIN(($H23 / 1000) * S$10 * $BN$4, S$11 * 0.876) - (S$11 * $N23)) * 0.25,
    0
)</f>
        <v>0</v>
      </c>
      <c r="T23" s="8" cm="1">
        <f t="array" ref="T23">IF(
    AND($H23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($H23 / 1000) * T$10 * $BN$4 * 0.25
    ),
    0
)
+
IF(
    $N23 &lt; 0.875,
    MAX(0, MIN(($H23 / 1000) * T$10 * $BN$4, T$11 * 0.876) - (T$11 * $N23)) * 0.25,
    0
)</f>
        <v>0</v>
      </c>
      <c r="U23" s="8" cm="1">
        <f t="array" ref="U23">IF(
    AND($H23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($H23 / 1000) * U$10 * $BN$4 * 0.25
    ),
    0
)
+
IF(
    $N23 &lt; 0.875,
    MAX(0, MIN(($H23 / 1000) * U$10 * $BN$4, U$11 * 0.876) - (U$11 * $N23)) * 0.25,
    0
)</f>
        <v>0</v>
      </c>
      <c r="V23" s="8" cm="1">
        <f t="array" ref="V23">IF(
    AND($H23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($H23 / 1000) * V$10 * $BN$4 * 0.25
    ),
    0
)
+
IF(
    $N23 &lt; 0.875,
    MAX(0, MIN(($H23 / 1000) * V$10 * $BN$4, V$11 * 0.876) - (V$11 * $N23)) * 0.25,
    0
)</f>
        <v>0</v>
      </c>
      <c r="W23" s="8" cm="1">
        <f t="array" ref="W23">IF(
    AND($H23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($H23 / 1000) * W$10 * $BN$4 * 0.25
    ),
    0
)
+
IF(
    $N23 &lt; 0.875,
    MAX(0, MIN(($H23 / 1000) * W$10 * $BN$4, W$11 * 0.876) - (W$11 * $N23)) * 0.25,
    0
)</f>
        <v>0</v>
      </c>
      <c r="X23" s="8" cm="1">
        <f t="array" ref="X23">IF(
    AND($H23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($H23 / 1000) * X$10 * $BN$4 * 0.25
    ),
    0
)
+
IF(
    $N23 &lt; 0.875,
    MAX(0, MIN(($H23 / 1000) * X$10 * $BN$4, X$11 * 0.876) - (X$11 * $N23)) * 0.25,
    0
)</f>
        <v>0</v>
      </c>
      <c r="Y23" s="8" cm="1">
        <f t="array" ref="Y23">IF(
    AND($H23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($H23 / 1000) * Y$10 * $BN$4 * 0.25
    ),
    0
)
+
IF(
    $N23 &lt; 0.875,
    MAX(0, MIN(($H23 / 1000) * Y$10 * $BN$4, Y$11 * 0.876) - (Y$11 * $N23)) * 0.25,
    0
)</f>
        <v>0</v>
      </c>
      <c r="Z23" s="8" cm="1">
        <f t="array" ref="Z23">IF(
    AND($H23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($H23 / 1000) * Z$10 * $BN$4 * 0.25
    ),
    0
)
+
IF(
    $N23 &lt; 0.875,
    MAX(0, MIN(($H23 / 1000) * Z$10 * $BN$4, Z$11 * 0.876) - (Z$11 * $N23)) * 0.25,
    0
)</f>
        <v>0</v>
      </c>
      <c r="AA23" s="8">
        <f>AVERAGE(TabellaMar2026[[#This Row],[Colonna24]:[Colonna20]])</f>
        <v>0</v>
      </c>
      <c r="AB23" s="8">
        <f>MAX(TabellaMar2026[[#This Row],[Colonna24]:[Colonna20]])</f>
        <v>0</v>
      </c>
      <c r="AC23" s="35">
        <f>MIN(TabellaMar2026[[#This Row],[Colonna24]:[Colonna20]])</f>
        <v>0</v>
      </c>
      <c r="AD23" s="44">
        <f>SUM(TabellaMar2026[[#This Row],[Colonna24]:[Colonna20]])</f>
        <v>0</v>
      </c>
      <c r="AE23" s="36">
        <f>IF(
    AND($H23 &gt; $BN$7, Tabella01MarzoInverter[[#This Row],[Active power TX2-INV-1]] &lt;= 0, Tabella01MarzoInverter[[#This Row],[TX2 - Average Power]] &lt;= 0),
    MIN(($H23 / 1000) * AE$10 * $BN$4, AE$11 * 0.876) * 0.25,
    IF(
        AND($H23 &gt; $BN$7, Tabella01MarzoInverter[[#This Row],[Active power TX2-INV-1]] &lt;= 0),
        Tabella01MarzoInverter[[#This Row],[TX2 - Average Power]] * 0.25,
        0
    )
    +
    IF(
        $N23 &lt; 0.875,
        MAX(0, MIN(($H23 / 1000) * AE$10 * $BN$4, AE$11 * 0.876) - (AE$11 * $N23)) * 0.25,
        0
    )
)</f>
        <v>0</v>
      </c>
      <c r="AF23" s="36">
        <f>IF(
    AND($H23 &gt; $BN$7, Tabella01MarzoInverter[[#This Row],[Active power TX2-INV-2]] &lt;= 0, Tabella01MarzoInverter[[#This Row],[TX2 - Max Power]] &lt;= 0),
    MIN(($H23 / 1000) * AF$10 * $BN$4, AF$11 * 0.876) * 0.25,
    IF(
        AND($H23 &gt; $BN$7, Tabella01MarzoInverter[[#This Row],[Active power TX2-INV-2]] &lt;= 0),
        Tabella01MarzoInverter[[#This Row],[TX2 - Max Power]] * 0.25,
        0
    )
    +
    IF(
        $N23 &lt; 0.875,
        MAX(0, MIN(($H23 / 1000) * AF$10 * $BN$4, AF$11 * 0.876) - (AF$11 * $N23)) * 0.25,
        0
    )
)</f>
        <v>0</v>
      </c>
      <c r="AG23" s="36">
        <f>IF(
    AND($H23 &gt; $BN$7, Tabella01MarzoInverter[[#This Row],[Active power TX2-INV-3]] &lt;= 0, Tabella01MarzoInverter[[#This Row],[TX2 - Min Power]] &lt;= 0),
    MIN(($H23 / 1000) * AG$10 * $BN$4, AG$11 * 0.876) * 0.25,
    IF(
        AND($H23 &gt; $BN$7, Tabella01MarzoInverter[[#This Row],[Active power TX2-INV-3]] &lt;= 0),
        Tabella01MarzoInverter[[#This Row],[TX2 - Min Power]] * 0.25,
        0
    )
    +
    IF(
        $N23 &lt; 0.875,
        MAX(0, MIN(($H23 / 1000) * AG$10 * $BN$4, AG$11 * 0.876) - (AG$11 * $N23)) * 0.25,
        0
    )
)</f>
        <v>0</v>
      </c>
      <c r="AH23" s="36">
        <f>IF(
    AND($H23 &gt; $BN$7, Tabella01MarzoInverter[[#This Row],[Active power TX2-INV-4]] &lt;= 0, Tabella01MarzoInverter[[#This Row],[Active power TX3-INV-1]] &lt;= 0),
    MIN(($H23 / 1000) * AH$10 * $BN$4, AH$11 * 0.876) * 0.25,
    IF(
        AND($H23 &gt; $BN$7, Tabella01MarzoInverter[[#This Row],[Active power TX2-INV-4]] &lt;= 0),
        Tabella01MarzoInverter[[#This Row],[Active power TX3-INV-1]] * 0.25,
        0
    )
    +
    IF(
        $N23 &lt; 0.875,
        MAX(0, MIN(($H23 / 1000) * AH$10 * $BN$4, AH$11 * 0.876) - (AH$11 * $N23)) * 0.25,
        0
    )
)</f>
        <v>0</v>
      </c>
      <c r="AI23" s="36">
        <f>IF(
    AND($H23 &gt; $BN$7, Tabella01MarzoInverter[[#This Row],[Active power TX2-INV-5]] &lt;= 0, Tabella01MarzoInverter[[#This Row],[Active power TX3-INV-2]] &lt;= 0),
    MIN(($H23 / 1000) * AI$10 * $BN$4, AI$11 * 0.876) * 0.25,
    IF(
        AND($H23 &gt; $BN$7, Tabella01MarzoInverter[[#This Row],[Active power TX2-INV-5]] &lt;= 0),
        Tabella01MarzoInverter[[#This Row],[Active power TX3-INV-2]] * 0.25,
        0
    )
    +
    IF(
        $N23 &lt; 0.875,
        MAX(0, MIN(($H23 / 1000) * AI$10 * $BN$4, AI$11 * 0.876) - (AI$11 * $N23)) * 0.25,
        0
    )
)</f>
        <v>0</v>
      </c>
      <c r="AJ23" s="36">
        <f>IF(
    AND($H23 &gt; $BN$7, Tabella01MarzoInverter[[#This Row],[Active power TX2-INV-6]] &lt;= 0, Tabella01MarzoInverter[[#This Row],[Active power TX3-INV-3]] &lt;= 0),
    MIN(($H23 / 1000) * AJ$10 * $BN$4, AJ$11 * 0.876) * 0.25,
    IF(
        AND($H23 &gt; $BN$7, Tabella01MarzoInverter[[#This Row],[Active power TX2-INV-6]] &lt;= 0),
        Tabella01MarzoInverter[[#This Row],[Active power TX3-INV-3]] * 0.25,
        0
    )
    +
    IF(
        $N23 &lt; 0.875,
        MAX(0, MIN(($H23 / 1000) * AJ$10 * $BN$4, AJ$11 * 0.876) - (AJ$11 * $N23)) * 0.25,
        0
    )
)</f>
        <v>0</v>
      </c>
      <c r="AK23" s="36">
        <f>IF(
    AND($H23 &gt; $BN$7, Tabella01MarzoInverter[[#This Row],[Active power TX2-INV-7]] &lt;= 0, Tabella01MarzoInverter[[#This Row],[Active power TX3-INV-4]] &lt;= 0),
    MIN(($H23 / 1000) * AK$10 * $BN$4, AK$11 * 0.876) * 0.25,
    IF(
        AND($H23 &gt; $BN$7, Tabella01MarzoInverter[[#This Row],[Active power TX2-INV-7]] &lt;= 0),
        Tabella01MarzoInverter[[#This Row],[Active power TX3-INV-4]] * 0.25,
        0
    )
    +
    IF(
        $N23 &lt; 0.875,
        MAX(0, MIN(($H23 / 1000) * AK$10 * $BN$4, AK$11 * 0.876) - (AK$11 * $N23)) * 0.25,
        0
    )
)</f>
        <v>0</v>
      </c>
      <c r="AL23" s="36">
        <f>IF(
    AND($H23 &gt; $BN$7, Tabella01MarzoInverter[[#This Row],[Active power TX2-INV-8]] &lt;= 0, Tabella01MarzoInverter[[#This Row],[Active power TX3-INV-5]] &lt;= 0),
    MIN(($H23 / 1000) * AL$10 * $BN$4, AL$11 * 0.876) * 0.25,
    IF(
        AND($H23 &gt; $BN$7, Tabella01MarzoInverter[[#This Row],[Active power TX2-INV-8]] &lt;= 0),
        Tabella01MarzoInverter[[#This Row],[Active power TX3-INV-5]] * 0.25,
        0
    )
    +
    IF(
        $N23 &lt; 0.875,
        MAX(0, MIN(($H23 / 1000) * AL$10 * $BN$4, AL$11 * 0.876) - (AL$11 * $N23)) * 0.25,
        0
    )
)</f>
        <v>0</v>
      </c>
      <c r="AM23" s="36">
        <f>IF(
    AND($H23 &gt; $BN$7, Tabella01MarzoInverter[[#This Row],[Active power TX2-INV-9]] &lt;= 0, Tabella01MarzoInverter[[#This Row],[Active power TX3-INV-6]] &lt;= 0),
    MIN(($H23 / 1000) * AM$10 * $BN$4, AM$11 * 0.876) * 0.25,
    IF(
        AND($H23 &gt; $BN$7, Tabella01MarzoInverter[[#This Row],[Active power TX2-INV-9]] &lt;= 0),
        Tabella01MarzoInverter[[#This Row],[Active power TX3-INV-6]] * 0.25,
        0
    )
    +
    IF(
        $N23 &lt; 0.875,
        MAX(0, MIN(($H23 / 1000) * AM$10 * $BN$4, AM$11 * 0.876) - (AM$11 * $N23)) * 0.25,
        0
    )
)</f>
        <v>0</v>
      </c>
      <c r="AN23" s="36">
        <f>IF(
    AND($H23 &gt; $BN$7, Tabella01MarzoInverter[[#This Row],[Active power TX2-INV-10]] &lt;= 0, Tabella01MarzoInverter[[#This Row],[Active power TX3-INV-7]] &lt;= 0),
    MIN(($H23 / 1000) * AN$10 * $BN$4, AN$11 * 0.876) * 0.25,
    IF(
        AND($H23 &gt; $BN$7, Tabella01MarzoInverter[[#This Row],[Active power TX2-INV-10]] &lt;= 0),
        Tabella01MarzoInverter[[#This Row],[Active power TX3-INV-7]] * 0.25,
        0
    )
    +
    IF(
        $N23 &lt; 0.875,
        MAX(0, MIN(($H23 / 1000) * AN$10 * $BN$4, AN$11 * 0.876) - (AN$11 * $N23)) * 0.25,
        0
    )
)</f>
        <v>0</v>
      </c>
      <c r="AO23" s="36">
        <f>IF(
    AND($H23 &gt; $BN$7, Tabella01MarzoInverter[[#This Row],[Active power TX2-INV-11]] &lt;= 0, Tabella01MarzoInverter[[#This Row],[Active power TX3-INV-8]] &lt;= 0),
    MIN(($H23 / 1000) * AO$10 * $BN$4, AO$11 * 0.876) * 0.25,
    IF(
        AND($H23 &gt; $BN$7, Tabella01MarzoInverter[[#This Row],[Active power TX2-INV-11]] &lt;= 0),
        Tabella01MarzoInverter[[#This Row],[Active power TX3-INV-8]] * 0.25,
        0
    )
    +
    IF(
        $N23 &lt; 0.875,
        MAX(0, MIN(($H23 / 1000) * AO$10 * $BN$4, AO$11 * 0.876) - (AO$11 * $N23)) * 0.25,
        0
    )
)</f>
        <v>0</v>
      </c>
      <c r="AP23" s="36">
        <f>IF(
    AND($H23 &gt; $BN$7, Tabella01MarzoInverter[[#This Row],[Active power TX2-INV-12]] &lt;= 0, Tabella01MarzoInverter[[#This Row],[Active power TX3-INV-9]] &lt;= 0),
    MIN(($H23 / 1000) * AP$10 * $BN$4, AP$11 * 0.876) * 0.25,
    IF(
        AND($H23 &gt; $BN$7, Tabella01MarzoInverter[[#This Row],[Active power TX2-INV-12]] &lt;= 0),
        Tabella01MarzoInverter[[#This Row],[Active power TX3-INV-9]] * 0.25,
        0
    )
    +
    IF(
        $N23 &lt; 0.875,
        MAX(0, MIN(($H23 / 1000) * AP$10 * $BN$4, AP$11 * 0.876) - (AP$11 * $N23)) * 0.25,
        0
    )
)</f>
        <v>0</v>
      </c>
      <c r="AQ23" s="8">
        <f>AVERAGE(TabellaMar2026[[#This Row],[Colonna39]:[Colonna6]])</f>
        <v>0</v>
      </c>
      <c r="AR23" s="8">
        <f>MAX(TabellaMar2026[[#This Row],[Colonna39]:[Colonna6]])</f>
        <v>0</v>
      </c>
      <c r="AS23" s="35">
        <f>MIN(TabellaMar2026[[#This Row],[Colonna39]:[Colonna6]])</f>
        <v>0</v>
      </c>
      <c r="AT23" s="48">
        <f>SUM(TabellaMar2026[[#This Row],[Colonna39]:[Colonna6]])</f>
        <v>0</v>
      </c>
      <c r="AU23" s="36" cm="1">
        <f t="array" ref="AU23">IF(
    AND($H23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($H23 / 1000) * AU$10 * $BN$4 * 0.25
    ),
    0
)
+
IF(
    $N23 &lt; 0.875,
    MAX(0, MIN(($H23 / 1000) * AU$10 * $BN$4, AU$11 * 0.876) - (AU$11 * $N23)) * 0.25,
    0
)</f>
        <v>0</v>
      </c>
      <c r="AV23" s="36" cm="1">
        <f t="array" ref="AV23">IF(
    AND($H23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($H23 / 1000) * AV$10 * $BN$4 * 0.25
    ),
    0
)
+
IF(
    $N23 &lt; 0.875,
    MAX(0, MIN(($H23 / 1000) * AV$10 * $BN$4, AV$11 * 0.876) - (AV$11 * $N23)) * 0.25,
    0
)</f>
        <v>0</v>
      </c>
      <c r="AW23" s="36" cm="1">
        <f t="array" ref="AW23">IF(
    AND($H23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($H23 / 1000) * AW$10 * $BN$4 * 0.25
    ),
    0
)
+
IF(
    $N23 &lt; 0.875,
    MAX(0, MIN(($H23 / 1000) * AW$10 * $BN$4, AW$11 * 0.876) - (AW$11 * $N23)) * 0.25,
    0
)</f>
        <v>0</v>
      </c>
      <c r="AX23" s="36" cm="1">
        <f t="array" ref="AX23">IF(
    AND($H23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($H23 / 1000) * AX$10 * $BN$4 * 0.25
    ),
    0
)
+
IF(
    $N23 &lt; 0.875,
    MAX(0, MIN(($H23 / 1000) * AX$10 * $BN$4, AX$11 * 0.876) - (AX$11 * $N23)) * 0.25,
    0
)</f>
        <v>0</v>
      </c>
      <c r="AY23" s="36" cm="1">
        <f t="array" ref="AY23">IF(
    AND($H23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($H23 / 1000) * AY$10 * $BN$4 * 0.25
    ),
    0
)
+
IF(
    $N23 &lt; 0.875,
    MAX(0, MIN(($H23 / 1000) * AY$10 * $BN$4, AY$11 * 0.876) - (AY$11 * $N23)) * 0.25,
    0
)</f>
        <v>0</v>
      </c>
      <c r="AZ23" s="36" cm="1">
        <f t="array" ref="AZ23">IF(
    AND($H23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($H23 / 1000) * AZ$10 * $BN$4 * 0.25
    ),
    0
)
+
IF(
    $N23 &lt; 0.875,
    MAX(0, MIN(($H23 / 1000) * AZ$10 * $BN$4, AZ$11 * 0.876) - (AZ$11 * $N23)) * 0.25,
    0
)</f>
        <v>0</v>
      </c>
      <c r="BA23" s="36" cm="1">
        <f t="array" ref="BA23">IF(
    AND($H23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($H23 / 1000) * BA$10 * $BN$4 * 0.25
    ),
    0
)
+
IF(
    $N23 &lt; 0.875,
    MAX(0, MIN(($H23 / 1000) * BA$10 * $BN$4, BA$11 * 0.876) - (BA$11 * $N23)) * 0.25,
    0
)</f>
        <v>0</v>
      </c>
      <c r="BB23" s="36" cm="1">
        <f t="array" ref="BB23">IF(
    AND($H23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($H23 / 1000) * BB$10 * $BN$4 * 0.25
    ),
    0
)
+
IF(
    $N23 &lt; 0.875,
    MAX(0, MIN(($H23 / 1000) * BB$10 * $BN$4, BB$11 * 0.876) - (BB$11 * $N23)) * 0.25,
    0
)</f>
        <v>0</v>
      </c>
      <c r="BC23" s="36" cm="1">
        <f t="array" ref="BC23">IF(
    AND($H23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($H23 / 1000) * BC$10 * $BN$4 * 0.25
    ),
    0
)
+
IF(
    $N23 &lt; 0.875,
    MAX(0, MIN(($H23 / 1000) * BC$10 * $BN$4, BC$11 * 0.876) - (BC$11 * $N23)) * 0.25,
    0
)</f>
        <v>0</v>
      </c>
      <c r="BD23" s="36" cm="1">
        <f t="array" ref="BD23">IF(
    AND($H23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($H23 / 1000) * BD$10 * $BN$4 * 0.25
    ),
    0
)
+
IF(
    $N23 &lt; 0.875,
    MAX(0, MIN(($H23 / 1000) * BD$10 * $BN$4, BD$11 * 0.876) - (BD$11 * $N23)) * 0.25,
    0
)</f>
        <v>0</v>
      </c>
      <c r="BE23" s="36" cm="1">
        <f t="array" ref="BE23">IF(
    AND($H23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($H23 / 1000) * BE$10 * $BN$4 * 0.25
    ),
    0
)
+
IF(
    $N23 &lt; 0.875,
    MAX(0, MIN(($H23 / 1000) * BE$10 * $BN$4, BE$11 * 0.876) - (BE$11 * $N23)) * 0.25,
    0
)</f>
        <v>0</v>
      </c>
      <c r="BF23" s="36" cm="1">
        <f t="array" ref="BF23">IF(
    AND($H23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($H23 / 1000) * BF$10 * $BN$4 * 0.25
    ),
    0
)
+
IF(
    $N23 &lt; 0.875,
    MAX(0, MIN(($H23 / 1000) * BF$10 * $BN$4, BF$11 * 0.876) - (BF$11 * $N23)) * 0.25,
    0
)</f>
        <v>0</v>
      </c>
      <c r="BG23" s="8">
        <f>AVERAGE(TabellaMar2026[[#This Row],[Colonna55]:[Colonna53]])</f>
        <v>0</v>
      </c>
      <c r="BH23" s="8">
        <f>MAX(TabellaMar2026[[#This Row],[Colonna55]:[Colonna53]])</f>
        <v>0</v>
      </c>
      <c r="BI23" s="35">
        <f>MIN(TabellaMar2026[[#This Row],[Colonna55]:[Colonna53]])</f>
        <v>0</v>
      </c>
      <c r="BJ23" s="48">
        <f>SUM(TabellaMar2026[[#This Row],[Colonna54]:[Colonna53]])</f>
        <v>0</v>
      </c>
      <c r="BK23" s="54">
        <f>(SUM(Tabella01MarzoInverter[[Active power TX1-INV-1]:[Active power TX3-INV-12]]) * 0.25) / (12625 * (SUM($G$15:$H$110) * 0.25 / 1000))</f>
        <v>1.014229628761051</v>
      </c>
      <c r="BL23" s="5"/>
      <c r="BM23" s="5"/>
      <c r="BN23" s="8"/>
      <c r="BO23" s="8"/>
      <c r="BP23" s="19"/>
    </row>
    <row r="24" spans="1:68" s="3" customFormat="1" x14ac:dyDescent="0.25">
      <c r="A24" s="18">
        <v>46147</v>
      </c>
      <c r="B24" t="s">
        <v>24</v>
      </c>
      <c r="C24" s="5">
        <v>-0.4</v>
      </c>
      <c r="D24" s="6">
        <v>-1E-4</v>
      </c>
      <c r="E24" s="6">
        <v>0</v>
      </c>
      <c r="F24" s="6">
        <v>0</v>
      </c>
      <c r="G24" s="6">
        <f>IFERROR((D24+F24)/2, 0)</f>
        <v>-5.0000000000000002E-5</v>
      </c>
      <c r="H24" s="7">
        <f>IFERROR(IF(AVERAGE(C24,E24)&gt;$BN$7,AVERAGE(C24,E24),0), 0)</f>
        <v>0</v>
      </c>
      <c r="I24" s="7">
        <f>IFERROR(IF(AND(D24=0,F24=0),0,IF(H24&gt;$BN$6,MAX(D24,F24),G24)), 0)</f>
        <v>-5.0000000000000002E-5</v>
      </c>
      <c r="J24" s="6">
        <f>IFERROR(IF(AND(D24&gt;0,F24&gt;0),ABS(D24-F24)/AVERAGE(D24,F24),0), 0)</f>
        <v>0</v>
      </c>
      <c r="K24" s="6">
        <v>30386.2</v>
      </c>
      <c r="L24" s="6">
        <v>30386.2</v>
      </c>
      <c r="M24" s="8">
        <f>IFERROR((L24-K24)*1000, 0)</f>
        <v>0</v>
      </c>
      <c r="N24" s="6">
        <v>0.87599999999999989</v>
      </c>
      <c r="O24" s="8" cm="1">
        <f t="array" ref="O24">IF(
    AND($H24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($H24 / 1000) * O$10 * $BN$4 * 0.25
    ),
    0
)
+
IF(
    $N24 &lt; 0.875,
    MAX(0, MIN(($H24 / 1000) * O$10 * $BN$4, O$11 * 0.876) - (O$11 * $N24)) * 0.25,
    0
)</f>
        <v>0</v>
      </c>
      <c r="P24" s="8" cm="1">
        <f t="array" ref="P24">IF(
    AND($H24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($H24 / 1000) * P$10 * $BN$4 * 0.25
    ),
    0
)
+
IF(
    $N24 &lt; 0.875,
    MAX(0, MIN(($H24 / 1000) * P$10 * $BN$4, P$11 * 0.876) - (P$11 * $N24)) * 0.25,
    0
)</f>
        <v>0</v>
      </c>
      <c r="Q24" s="8" cm="1">
        <f t="array" ref="Q24">IF(
    AND($H24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($H24 / 1000) * Q$10 * $BN$4 * 0.25
    ),
    0
)
+
IF(
    $N24 &lt; 0.875,
    MAX(0, MIN(($H24 / 1000) * Q$10 * $BN$4, Q$11 * 0.876) - (Q$11 * $N24)) * 0.25,
    0
)</f>
        <v>0</v>
      </c>
      <c r="R24" s="8" cm="1">
        <f t="array" ref="R24">IF(
    AND($H24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($H24 / 1000) * R$10 * $BN$4 * 0.25
    ),
    0
)
+
IF(
    $N24 &lt; 0.875,
    MAX(0, MIN(($H24 / 1000) * R$10 * $BN$4, R$11 * 0.876) - (R$11 * $N24)) * 0.25,
    0
)</f>
        <v>0</v>
      </c>
      <c r="S24" s="8" cm="1">
        <f t="array" ref="S24">IF(
    AND($H24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($H24 / 1000) * S$10 * $BN$4 * 0.25
    ),
    0
)
+
IF(
    $N24 &lt; 0.875,
    MAX(0, MIN(($H24 / 1000) * S$10 * $BN$4, S$11 * 0.876) - (S$11 * $N24)) * 0.25,
    0
)</f>
        <v>0</v>
      </c>
      <c r="T24" s="8" cm="1">
        <f t="array" ref="T24">IF(
    AND($H24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($H24 / 1000) * T$10 * $BN$4 * 0.25
    ),
    0
)
+
IF(
    $N24 &lt; 0.875,
    MAX(0, MIN(($H24 / 1000) * T$10 * $BN$4, T$11 * 0.876) - (T$11 * $N24)) * 0.25,
    0
)</f>
        <v>0</v>
      </c>
      <c r="U24" s="8" cm="1">
        <f t="array" ref="U24">IF(
    AND($H24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($H24 / 1000) * U$10 * $BN$4 * 0.25
    ),
    0
)
+
IF(
    $N24 &lt; 0.875,
    MAX(0, MIN(($H24 / 1000) * U$10 * $BN$4, U$11 * 0.876) - (U$11 * $N24)) * 0.25,
    0
)</f>
        <v>0</v>
      </c>
      <c r="V24" s="8" cm="1">
        <f t="array" ref="V24">IF(
    AND($H24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($H24 / 1000) * V$10 * $BN$4 * 0.25
    ),
    0
)
+
IF(
    $N24 &lt; 0.875,
    MAX(0, MIN(($H24 / 1000) * V$10 * $BN$4, V$11 * 0.876) - (V$11 * $N24)) * 0.25,
    0
)</f>
        <v>0</v>
      </c>
      <c r="W24" s="8" cm="1">
        <f t="array" ref="W24">IF(
    AND($H24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($H24 / 1000) * W$10 * $BN$4 * 0.25
    ),
    0
)
+
IF(
    $N24 &lt; 0.875,
    MAX(0, MIN(($H24 / 1000) * W$10 * $BN$4, W$11 * 0.876) - (W$11 * $N24)) * 0.25,
    0
)</f>
        <v>0</v>
      </c>
      <c r="X24" s="8" cm="1">
        <f t="array" ref="X24">IF(
    AND($H24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($H24 / 1000) * X$10 * $BN$4 * 0.25
    ),
    0
)
+
IF(
    $N24 &lt; 0.875,
    MAX(0, MIN(($H24 / 1000) * X$10 * $BN$4, X$11 * 0.876) - (X$11 * $N24)) * 0.25,
    0
)</f>
        <v>0</v>
      </c>
      <c r="Y24" s="8" cm="1">
        <f t="array" ref="Y24">IF(
    AND($H24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($H24 / 1000) * Y$10 * $BN$4 * 0.25
    ),
    0
)
+
IF(
    $N24 &lt; 0.875,
    MAX(0, MIN(($H24 / 1000) * Y$10 * $BN$4, Y$11 * 0.876) - (Y$11 * $N24)) * 0.25,
    0
)</f>
        <v>0</v>
      </c>
      <c r="Z24" s="8" cm="1">
        <f t="array" ref="Z24">IF(
    AND($H24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($H24 / 1000) * Z$10 * $BN$4 * 0.25
    ),
    0
)
+
IF(
    $N24 &lt; 0.875,
    MAX(0, MIN(($H24 / 1000) * Z$10 * $BN$4, Z$11 * 0.876) - (Z$11 * $N24)) * 0.25,
    0
)</f>
        <v>0</v>
      </c>
      <c r="AA24" s="8">
        <f>AVERAGE(TabellaMar2026[[#This Row],[Colonna24]:[Colonna20]])</f>
        <v>0</v>
      </c>
      <c r="AB24" s="8">
        <f>MAX(TabellaMar2026[[#This Row],[Colonna24]:[Colonna20]])</f>
        <v>0</v>
      </c>
      <c r="AC24" s="35">
        <f>MIN(TabellaMar2026[[#This Row],[Colonna24]:[Colonna20]])</f>
        <v>0</v>
      </c>
      <c r="AD24" s="44">
        <f>SUM(TabellaMar2026[[#This Row],[Colonna24]:[Colonna20]])</f>
        <v>0</v>
      </c>
      <c r="AE24" s="36">
        <f>IF(
    AND($H24 &gt; $BN$7, Tabella01MarzoInverter[[#This Row],[Active power TX2-INV-1]] &lt;= 0, Tabella01MarzoInverter[[#This Row],[TX2 - Average Power]] &lt;= 0),
    MIN(($H24 / 1000) * AE$10 * $BN$4, AE$11 * 0.876) * 0.25,
    IF(
        AND($H24 &gt; $BN$7, Tabella01MarzoInverter[[#This Row],[Active power TX2-INV-1]] &lt;= 0),
        Tabella01MarzoInverter[[#This Row],[TX2 - Average Power]] * 0.25,
        0
    )
    +
    IF(
        $N24 &lt; 0.875,
        MAX(0, MIN(($H24 / 1000) * AE$10 * $BN$4, AE$11 * 0.876) - (AE$11 * $N24)) * 0.25,
        0
    )
)</f>
        <v>0</v>
      </c>
      <c r="AF24" s="36">
        <f>IF(
    AND($H24 &gt; $BN$7, Tabella01MarzoInverter[[#This Row],[Active power TX2-INV-2]] &lt;= 0, Tabella01MarzoInverter[[#This Row],[TX2 - Max Power]] &lt;= 0),
    MIN(($H24 / 1000) * AF$10 * $BN$4, AF$11 * 0.876) * 0.25,
    IF(
        AND($H24 &gt; $BN$7, Tabella01MarzoInverter[[#This Row],[Active power TX2-INV-2]] &lt;= 0),
        Tabella01MarzoInverter[[#This Row],[TX2 - Max Power]] * 0.25,
        0
    )
    +
    IF(
        $N24 &lt; 0.875,
        MAX(0, MIN(($H24 / 1000) * AF$10 * $BN$4, AF$11 * 0.876) - (AF$11 * $N24)) * 0.25,
        0
    )
)</f>
        <v>0</v>
      </c>
      <c r="AG24" s="36">
        <f>IF(
    AND($H24 &gt; $BN$7, Tabella01MarzoInverter[[#This Row],[Active power TX2-INV-3]] &lt;= 0, Tabella01MarzoInverter[[#This Row],[TX2 - Min Power]] &lt;= 0),
    MIN(($H24 / 1000) * AG$10 * $BN$4, AG$11 * 0.876) * 0.25,
    IF(
        AND($H24 &gt; $BN$7, Tabella01MarzoInverter[[#This Row],[Active power TX2-INV-3]] &lt;= 0),
        Tabella01MarzoInverter[[#This Row],[TX2 - Min Power]] * 0.25,
        0
    )
    +
    IF(
        $N24 &lt; 0.875,
        MAX(0, MIN(($H24 / 1000) * AG$10 * $BN$4, AG$11 * 0.876) - (AG$11 * $N24)) * 0.25,
        0
    )
)</f>
        <v>0</v>
      </c>
      <c r="AH24" s="36">
        <f>IF(
    AND($H24 &gt; $BN$7, Tabella01MarzoInverter[[#This Row],[Active power TX2-INV-4]] &lt;= 0, Tabella01MarzoInverter[[#This Row],[Active power TX3-INV-1]] &lt;= 0),
    MIN(($H24 / 1000) * AH$10 * $BN$4, AH$11 * 0.876) * 0.25,
    IF(
        AND($H24 &gt; $BN$7, Tabella01MarzoInverter[[#This Row],[Active power TX2-INV-4]] &lt;= 0),
        Tabella01MarzoInverter[[#This Row],[Active power TX3-INV-1]] * 0.25,
        0
    )
    +
    IF(
        $N24 &lt; 0.875,
        MAX(0, MIN(($H24 / 1000) * AH$10 * $BN$4, AH$11 * 0.876) - (AH$11 * $N24)) * 0.25,
        0
    )
)</f>
        <v>0</v>
      </c>
      <c r="AI24" s="36">
        <f>IF(
    AND($H24 &gt; $BN$7, Tabella01MarzoInverter[[#This Row],[Active power TX2-INV-5]] &lt;= 0, Tabella01MarzoInverter[[#This Row],[Active power TX3-INV-2]] &lt;= 0),
    MIN(($H24 / 1000) * AI$10 * $BN$4, AI$11 * 0.876) * 0.25,
    IF(
        AND($H24 &gt; $BN$7, Tabella01MarzoInverter[[#This Row],[Active power TX2-INV-5]] &lt;= 0),
        Tabella01MarzoInverter[[#This Row],[Active power TX3-INV-2]] * 0.25,
        0
    )
    +
    IF(
        $N24 &lt; 0.875,
        MAX(0, MIN(($H24 / 1000) * AI$10 * $BN$4, AI$11 * 0.876) - (AI$11 * $N24)) * 0.25,
        0
    )
)</f>
        <v>0</v>
      </c>
      <c r="AJ24" s="36">
        <f>IF(
    AND($H24 &gt; $BN$7, Tabella01MarzoInverter[[#This Row],[Active power TX2-INV-6]] &lt;= 0, Tabella01MarzoInverter[[#This Row],[Active power TX3-INV-3]] &lt;= 0),
    MIN(($H24 / 1000) * AJ$10 * $BN$4, AJ$11 * 0.876) * 0.25,
    IF(
        AND($H24 &gt; $BN$7, Tabella01MarzoInverter[[#This Row],[Active power TX2-INV-6]] &lt;= 0),
        Tabella01MarzoInverter[[#This Row],[Active power TX3-INV-3]] * 0.25,
        0
    )
    +
    IF(
        $N24 &lt; 0.875,
        MAX(0, MIN(($H24 / 1000) * AJ$10 * $BN$4, AJ$11 * 0.876) - (AJ$11 * $N24)) * 0.25,
        0
    )
)</f>
        <v>0</v>
      </c>
      <c r="AK24" s="36">
        <f>IF(
    AND($H24 &gt; $BN$7, Tabella01MarzoInverter[[#This Row],[Active power TX2-INV-7]] &lt;= 0, Tabella01MarzoInverter[[#This Row],[Active power TX3-INV-4]] &lt;= 0),
    MIN(($H24 / 1000) * AK$10 * $BN$4, AK$11 * 0.876) * 0.25,
    IF(
        AND($H24 &gt; $BN$7, Tabella01MarzoInverter[[#This Row],[Active power TX2-INV-7]] &lt;= 0),
        Tabella01MarzoInverter[[#This Row],[Active power TX3-INV-4]] * 0.25,
        0
    )
    +
    IF(
        $N24 &lt; 0.875,
        MAX(0, MIN(($H24 / 1000) * AK$10 * $BN$4, AK$11 * 0.876) - (AK$11 * $N24)) * 0.25,
        0
    )
)</f>
        <v>0</v>
      </c>
      <c r="AL24" s="36">
        <f>IF(
    AND($H24 &gt; $BN$7, Tabella01MarzoInverter[[#This Row],[Active power TX2-INV-8]] &lt;= 0, Tabella01MarzoInverter[[#This Row],[Active power TX3-INV-5]] &lt;= 0),
    MIN(($H24 / 1000) * AL$10 * $BN$4, AL$11 * 0.876) * 0.25,
    IF(
        AND($H24 &gt; $BN$7, Tabella01MarzoInverter[[#This Row],[Active power TX2-INV-8]] &lt;= 0),
        Tabella01MarzoInverter[[#This Row],[Active power TX3-INV-5]] * 0.25,
        0
    )
    +
    IF(
        $N24 &lt; 0.875,
        MAX(0, MIN(($H24 / 1000) * AL$10 * $BN$4, AL$11 * 0.876) - (AL$11 * $N24)) * 0.25,
        0
    )
)</f>
        <v>0</v>
      </c>
      <c r="AM24" s="36">
        <f>IF(
    AND($H24 &gt; $BN$7, Tabella01MarzoInverter[[#This Row],[Active power TX2-INV-9]] &lt;= 0, Tabella01MarzoInverter[[#This Row],[Active power TX3-INV-6]] &lt;= 0),
    MIN(($H24 / 1000) * AM$10 * $BN$4, AM$11 * 0.876) * 0.25,
    IF(
        AND($H24 &gt; $BN$7, Tabella01MarzoInverter[[#This Row],[Active power TX2-INV-9]] &lt;= 0),
        Tabella01MarzoInverter[[#This Row],[Active power TX3-INV-6]] * 0.25,
        0
    )
    +
    IF(
        $N24 &lt; 0.875,
        MAX(0, MIN(($H24 / 1000) * AM$10 * $BN$4, AM$11 * 0.876) - (AM$11 * $N24)) * 0.25,
        0
    )
)</f>
        <v>0</v>
      </c>
      <c r="AN24" s="36">
        <f>IF(
    AND($H24 &gt; $BN$7, Tabella01MarzoInverter[[#This Row],[Active power TX2-INV-10]] &lt;= 0, Tabella01MarzoInverter[[#This Row],[Active power TX3-INV-7]] &lt;= 0),
    MIN(($H24 / 1000) * AN$10 * $BN$4, AN$11 * 0.876) * 0.25,
    IF(
        AND($H24 &gt; $BN$7, Tabella01MarzoInverter[[#This Row],[Active power TX2-INV-10]] &lt;= 0),
        Tabella01MarzoInverter[[#This Row],[Active power TX3-INV-7]] * 0.25,
        0
    )
    +
    IF(
        $N24 &lt; 0.875,
        MAX(0, MIN(($H24 / 1000) * AN$10 * $BN$4, AN$11 * 0.876) - (AN$11 * $N24)) * 0.25,
        0
    )
)</f>
        <v>0</v>
      </c>
      <c r="AO24" s="36">
        <f>IF(
    AND($H24 &gt; $BN$7, Tabella01MarzoInverter[[#This Row],[Active power TX2-INV-11]] &lt;= 0, Tabella01MarzoInverter[[#This Row],[Active power TX3-INV-8]] &lt;= 0),
    MIN(($H24 / 1000) * AO$10 * $BN$4, AO$11 * 0.876) * 0.25,
    IF(
        AND($H24 &gt; $BN$7, Tabella01MarzoInverter[[#This Row],[Active power TX2-INV-11]] &lt;= 0),
        Tabella01MarzoInverter[[#This Row],[Active power TX3-INV-8]] * 0.25,
        0
    )
    +
    IF(
        $N24 &lt; 0.875,
        MAX(0, MIN(($H24 / 1000) * AO$10 * $BN$4, AO$11 * 0.876) - (AO$11 * $N24)) * 0.25,
        0
    )
)</f>
        <v>0</v>
      </c>
      <c r="AP24" s="36">
        <f>IF(
    AND($H24 &gt; $BN$7, Tabella01MarzoInverter[[#This Row],[Active power TX2-INV-12]] &lt;= 0, Tabella01MarzoInverter[[#This Row],[Active power TX3-INV-9]] &lt;= 0),
    MIN(($H24 / 1000) * AP$10 * $BN$4, AP$11 * 0.876) * 0.25,
    IF(
        AND($H24 &gt; $BN$7, Tabella01MarzoInverter[[#This Row],[Active power TX2-INV-12]] &lt;= 0),
        Tabella01MarzoInverter[[#This Row],[Active power TX3-INV-9]] * 0.25,
        0
    )
    +
    IF(
        $N24 &lt; 0.875,
        MAX(0, MIN(($H24 / 1000) * AP$10 * $BN$4, AP$11 * 0.876) - (AP$11 * $N24)) * 0.25,
        0
    )
)</f>
        <v>0</v>
      </c>
      <c r="AQ24" s="8">
        <f>AVERAGE(TabellaMar2026[[#This Row],[Colonna39]:[Colonna6]])</f>
        <v>0</v>
      </c>
      <c r="AR24" s="8">
        <f>MAX(TabellaMar2026[[#This Row],[Colonna39]:[Colonna6]])</f>
        <v>0</v>
      </c>
      <c r="AS24" s="35">
        <f>MIN(TabellaMar2026[[#This Row],[Colonna39]:[Colonna6]])</f>
        <v>0</v>
      </c>
      <c r="AT24" s="48">
        <f>SUM(TabellaMar2026[[#This Row],[Colonna39]:[Colonna6]])</f>
        <v>0</v>
      </c>
      <c r="AU24" s="36" cm="1">
        <f t="array" ref="AU24">IF(
    AND($H24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($H24 / 1000) * AU$10 * $BN$4 * 0.25
    ),
    0
)
+
IF(
    $N24 &lt; 0.875,
    MAX(0, MIN(($H24 / 1000) * AU$10 * $BN$4, AU$11 * 0.876) - (AU$11 * $N24)) * 0.25,
    0
)</f>
        <v>0</v>
      </c>
      <c r="AV24" s="36" cm="1">
        <f t="array" ref="AV24">IF(
    AND($H24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($H24 / 1000) * AV$10 * $BN$4 * 0.25
    ),
    0
)
+
IF(
    $N24 &lt; 0.875,
    MAX(0, MIN(($H24 / 1000) * AV$10 * $BN$4, AV$11 * 0.876) - (AV$11 * $N24)) * 0.25,
    0
)</f>
        <v>0</v>
      </c>
      <c r="AW24" s="36" cm="1">
        <f t="array" ref="AW24">IF(
    AND($H24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($H24 / 1000) * AW$10 * $BN$4 * 0.25
    ),
    0
)
+
IF(
    $N24 &lt; 0.875,
    MAX(0, MIN(($H24 / 1000) * AW$10 * $BN$4, AW$11 * 0.876) - (AW$11 * $N24)) * 0.25,
    0
)</f>
        <v>0</v>
      </c>
      <c r="AX24" s="36" cm="1">
        <f t="array" ref="AX24">IF(
    AND($H24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($H24 / 1000) * AX$10 * $BN$4 * 0.25
    ),
    0
)
+
IF(
    $N24 &lt; 0.875,
    MAX(0, MIN(($H24 / 1000) * AX$10 * $BN$4, AX$11 * 0.876) - (AX$11 * $N24)) * 0.25,
    0
)</f>
        <v>0</v>
      </c>
      <c r="AY24" s="36" cm="1">
        <f t="array" ref="AY24">IF(
    AND($H24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($H24 / 1000) * AY$10 * $BN$4 * 0.25
    ),
    0
)
+
IF(
    $N24 &lt; 0.875,
    MAX(0, MIN(($H24 / 1000) * AY$10 * $BN$4, AY$11 * 0.876) - (AY$11 * $N24)) * 0.25,
    0
)</f>
        <v>0</v>
      </c>
      <c r="AZ24" s="36" cm="1">
        <f t="array" ref="AZ24">IF(
    AND($H24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($H24 / 1000) * AZ$10 * $BN$4 * 0.25
    ),
    0
)
+
IF(
    $N24 &lt; 0.875,
    MAX(0, MIN(($H24 / 1000) * AZ$10 * $BN$4, AZ$11 * 0.876) - (AZ$11 * $N24)) * 0.25,
    0
)</f>
        <v>0</v>
      </c>
      <c r="BA24" s="36" cm="1">
        <f t="array" ref="BA24">IF(
    AND($H24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($H24 / 1000) * BA$10 * $BN$4 * 0.25
    ),
    0
)
+
IF(
    $N24 &lt; 0.875,
    MAX(0, MIN(($H24 / 1000) * BA$10 * $BN$4, BA$11 * 0.876) - (BA$11 * $N24)) * 0.25,
    0
)</f>
        <v>0</v>
      </c>
      <c r="BB24" s="36" cm="1">
        <f t="array" ref="BB24">IF(
    AND($H24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($H24 / 1000) * BB$10 * $BN$4 * 0.25
    ),
    0
)
+
IF(
    $N24 &lt; 0.875,
    MAX(0, MIN(($H24 / 1000) * BB$10 * $BN$4, BB$11 * 0.876) - (BB$11 * $N24)) * 0.25,
    0
)</f>
        <v>0</v>
      </c>
      <c r="BC24" s="36" cm="1">
        <f t="array" ref="BC24">IF(
    AND($H24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($H24 / 1000) * BC$10 * $BN$4 * 0.25
    ),
    0
)
+
IF(
    $N24 &lt; 0.875,
    MAX(0, MIN(($H24 / 1000) * BC$10 * $BN$4, BC$11 * 0.876) - (BC$11 * $N24)) * 0.25,
    0
)</f>
        <v>0</v>
      </c>
      <c r="BD24" s="36" cm="1">
        <f t="array" ref="BD24">IF(
    AND($H24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($H24 / 1000) * BD$10 * $BN$4 * 0.25
    ),
    0
)
+
IF(
    $N24 &lt; 0.875,
    MAX(0, MIN(($H24 / 1000) * BD$10 * $BN$4, BD$11 * 0.876) - (BD$11 * $N24)) * 0.25,
    0
)</f>
        <v>0</v>
      </c>
      <c r="BE24" s="36" cm="1">
        <f t="array" ref="BE24">IF(
    AND($H24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($H24 / 1000) * BE$10 * $BN$4 * 0.25
    ),
    0
)
+
IF(
    $N24 &lt; 0.875,
    MAX(0, MIN(($H24 / 1000) * BE$10 * $BN$4, BE$11 * 0.876) - (BE$11 * $N24)) * 0.25,
    0
)</f>
        <v>0</v>
      </c>
      <c r="BF24" s="36" cm="1">
        <f t="array" ref="BF24">IF(
    AND($H24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($H24 / 1000) * BF$10 * $BN$4 * 0.25
    ),
    0
)
+
IF(
    $N24 &lt; 0.875,
    MAX(0, MIN(($H24 / 1000) * BF$10 * $BN$4, BF$11 * 0.876) - (BF$11 * $N24)) * 0.25,
    0
)</f>
        <v>0</v>
      </c>
      <c r="BG24" s="8">
        <f>AVERAGE(TabellaMar2026[[#This Row],[Colonna55]:[Colonna53]])</f>
        <v>0</v>
      </c>
      <c r="BH24" s="8">
        <f>MAX(TabellaMar2026[[#This Row],[Colonna55]:[Colonna53]])</f>
        <v>0</v>
      </c>
      <c r="BI24" s="35">
        <f>MIN(TabellaMar2026[[#This Row],[Colonna55]:[Colonna53]])</f>
        <v>0</v>
      </c>
      <c r="BJ24" s="48">
        <f>SUM(TabellaMar2026[[#This Row],[Colonna54]:[Colonna53]])</f>
        <v>0</v>
      </c>
      <c r="BK24" s="54">
        <f>(SUM(Tabella01MarzoInverter[[Active power TX1-INV-1]:[Active power TX3-INV-12]]) * 0.25) / (12625 * (SUM($G$15:$H$110) * 0.25 / 1000))</f>
        <v>1.014229628761051</v>
      </c>
      <c r="BL24" s="5"/>
      <c r="BM24" s="5"/>
      <c r="BN24" s="8"/>
      <c r="BO24" s="8"/>
      <c r="BP24" s="19"/>
    </row>
    <row r="25" spans="1:68" s="3" customFormat="1" x14ac:dyDescent="0.25">
      <c r="A25" s="18">
        <v>46147</v>
      </c>
      <c r="B25" t="s">
        <v>25</v>
      </c>
      <c r="C25" s="5">
        <v>-0.6</v>
      </c>
      <c r="D25" s="6">
        <v>-1.4999999999999999E-4</v>
      </c>
      <c r="E25" s="6">
        <v>0</v>
      </c>
      <c r="F25" s="6">
        <v>0</v>
      </c>
      <c r="G25" s="6">
        <f>IFERROR((D25+F25)/2, 0)</f>
        <v>-7.4999999999999993E-5</v>
      </c>
      <c r="H25" s="7">
        <f>IFERROR(IF(AVERAGE(C25,E25)&gt;$BN$7,AVERAGE(C25,E25),0), 0)</f>
        <v>0</v>
      </c>
      <c r="I25" s="7">
        <f>IFERROR(IF(AND(D25=0,F25=0),0,IF(H25&gt;$BN$6,MAX(D25,F25),G25)), 0)</f>
        <v>-7.4999999999999993E-5</v>
      </c>
      <c r="J25" s="6">
        <f>IFERROR(IF(AND(D25&gt;0,F25&gt;0),ABS(D25-F25)/AVERAGE(D25,F25),0), 0)</f>
        <v>0</v>
      </c>
      <c r="K25" s="6">
        <v>30386.2</v>
      </c>
      <c r="L25" s="6">
        <v>30386.2</v>
      </c>
      <c r="M25" s="8">
        <f>IFERROR((L25-K25)*1000, 0)</f>
        <v>0</v>
      </c>
      <c r="N25" s="6">
        <v>0.87599999999999989</v>
      </c>
      <c r="O25" s="8" cm="1">
        <f t="array" ref="O25">IF(
    AND($H25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($H25 / 1000) * O$10 * $BN$4 * 0.25
    ),
    0
)
+
IF(
    $N25 &lt; 0.875,
    MAX(0, MIN(($H25 / 1000) * O$10 * $BN$4, O$11 * 0.876) - (O$11 * $N25)) * 0.25,
    0
)</f>
        <v>0</v>
      </c>
      <c r="P25" s="8" cm="1">
        <f t="array" ref="P25">IF(
    AND($H25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($H25 / 1000) * P$10 * $BN$4 * 0.25
    ),
    0
)
+
IF(
    $N25 &lt; 0.875,
    MAX(0, MIN(($H25 / 1000) * P$10 * $BN$4, P$11 * 0.876) - (P$11 * $N25)) * 0.25,
    0
)</f>
        <v>0</v>
      </c>
      <c r="Q25" s="8" cm="1">
        <f t="array" ref="Q25">IF(
    AND($H25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($H25 / 1000) * Q$10 * $BN$4 * 0.25
    ),
    0
)
+
IF(
    $N25 &lt; 0.875,
    MAX(0, MIN(($H25 / 1000) * Q$10 * $BN$4, Q$11 * 0.876) - (Q$11 * $N25)) * 0.25,
    0
)</f>
        <v>0</v>
      </c>
      <c r="R25" s="8" cm="1">
        <f t="array" ref="R25">IF(
    AND($H25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($H25 / 1000) * R$10 * $BN$4 * 0.25
    ),
    0
)
+
IF(
    $N25 &lt; 0.875,
    MAX(0, MIN(($H25 / 1000) * R$10 * $BN$4, R$11 * 0.876) - (R$11 * $N25)) * 0.25,
    0
)</f>
        <v>0</v>
      </c>
      <c r="S25" s="8" cm="1">
        <f t="array" ref="S25">IF(
    AND($H25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($H25 / 1000) * S$10 * $BN$4 * 0.25
    ),
    0
)
+
IF(
    $N25 &lt; 0.875,
    MAX(0, MIN(($H25 / 1000) * S$10 * $BN$4, S$11 * 0.876) - (S$11 * $N25)) * 0.25,
    0
)</f>
        <v>0</v>
      </c>
      <c r="T25" s="8" cm="1">
        <f t="array" ref="T25">IF(
    AND($H25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($H25 / 1000) * T$10 * $BN$4 * 0.25
    ),
    0
)
+
IF(
    $N25 &lt; 0.875,
    MAX(0, MIN(($H25 / 1000) * T$10 * $BN$4, T$11 * 0.876) - (T$11 * $N25)) * 0.25,
    0
)</f>
        <v>0</v>
      </c>
      <c r="U25" s="8" cm="1">
        <f t="array" ref="U25">IF(
    AND($H25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($H25 / 1000) * U$10 * $BN$4 * 0.25
    ),
    0
)
+
IF(
    $N25 &lt; 0.875,
    MAX(0, MIN(($H25 / 1000) * U$10 * $BN$4, U$11 * 0.876) - (U$11 * $N25)) * 0.25,
    0
)</f>
        <v>0</v>
      </c>
      <c r="V25" s="8" cm="1">
        <f t="array" ref="V25">IF(
    AND($H25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($H25 / 1000) * V$10 * $BN$4 * 0.25
    ),
    0
)
+
IF(
    $N25 &lt; 0.875,
    MAX(0, MIN(($H25 / 1000) * V$10 * $BN$4, V$11 * 0.876) - (V$11 * $N25)) * 0.25,
    0
)</f>
        <v>0</v>
      </c>
      <c r="W25" s="8" cm="1">
        <f t="array" ref="W25">IF(
    AND($H25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($H25 / 1000) * W$10 * $BN$4 * 0.25
    ),
    0
)
+
IF(
    $N25 &lt; 0.875,
    MAX(0, MIN(($H25 / 1000) * W$10 * $BN$4, W$11 * 0.876) - (W$11 * $N25)) * 0.25,
    0
)</f>
        <v>0</v>
      </c>
      <c r="X25" s="8" cm="1">
        <f t="array" ref="X25">IF(
    AND($H25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($H25 / 1000) * X$10 * $BN$4 * 0.25
    ),
    0
)
+
IF(
    $N25 &lt; 0.875,
    MAX(0, MIN(($H25 / 1000) * X$10 * $BN$4, X$11 * 0.876) - (X$11 * $N25)) * 0.25,
    0
)</f>
        <v>0</v>
      </c>
      <c r="Y25" s="8" cm="1">
        <f t="array" ref="Y25">IF(
    AND($H25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($H25 / 1000) * Y$10 * $BN$4 * 0.25
    ),
    0
)
+
IF(
    $N25 &lt; 0.875,
    MAX(0, MIN(($H25 / 1000) * Y$10 * $BN$4, Y$11 * 0.876) - (Y$11 * $N25)) * 0.25,
    0
)</f>
        <v>0</v>
      </c>
      <c r="Z25" s="8" cm="1">
        <f t="array" ref="Z25">IF(
    AND($H25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($H25 / 1000) * Z$10 * $BN$4 * 0.25
    ),
    0
)
+
IF(
    $N25 &lt; 0.875,
    MAX(0, MIN(($H25 / 1000) * Z$10 * $BN$4, Z$11 * 0.876) - (Z$11 * $N25)) * 0.25,
    0
)</f>
        <v>0</v>
      </c>
      <c r="AA25" s="8">
        <f>AVERAGE(TabellaMar2026[[#This Row],[Colonna24]:[Colonna20]])</f>
        <v>0</v>
      </c>
      <c r="AB25" s="8">
        <f>MAX(TabellaMar2026[[#This Row],[Colonna24]:[Colonna20]])</f>
        <v>0</v>
      </c>
      <c r="AC25" s="35">
        <f>MIN(TabellaMar2026[[#This Row],[Colonna24]:[Colonna20]])</f>
        <v>0</v>
      </c>
      <c r="AD25" s="44">
        <f>SUM(TabellaMar2026[[#This Row],[Colonna24]:[Colonna20]])</f>
        <v>0</v>
      </c>
      <c r="AE25" s="36">
        <f>IF(
    AND($H25 &gt; $BN$7, Tabella01MarzoInverter[[#This Row],[Active power TX2-INV-1]] &lt;= 0, Tabella01MarzoInverter[[#This Row],[TX2 - Average Power]] &lt;= 0),
    MIN(($H25 / 1000) * AE$10 * $BN$4, AE$11 * 0.876) * 0.25,
    IF(
        AND($H25 &gt; $BN$7, Tabella01MarzoInverter[[#This Row],[Active power TX2-INV-1]] &lt;= 0),
        Tabella01MarzoInverter[[#This Row],[TX2 - Average Power]] * 0.25,
        0
    )
    +
    IF(
        $N25 &lt; 0.875,
        MAX(0, MIN(($H25 / 1000) * AE$10 * $BN$4, AE$11 * 0.876) - (AE$11 * $N25)) * 0.25,
        0
    )
)</f>
        <v>0</v>
      </c>
      <c r="AF25" s="36">
        <f>IF(
    AND($H25 &gt; $BN$7, Tabella01MarzoInverter[[#This Row],[Active power TX2-INV-2]] &lt;= 0, Tabella01MarzoInverter[[#This Row],[TX2 - Max Power]] &lt;= 0),
    MIN(($H25 / 1000) * AF$10 * $BN$4, AF$11 * 0.876) * 0.25,
    IF(
        AND($H25 &gt; $BN$7, Tabella01MarzoInverter[[#This Row],[Active power TX2-INV-2]] &lt;= 0),
        Tabella01MarzoInverter[[#This Row],[TX2 - Max Power]] * 0.25,
        0
    )
    +
    IF(
        $N25 &lt; 0.875,
        MAX(0, MIN(($H25 / 1000) * AF$10 * $BN$4, AF$11 * 0.876) - (AF$11 * $N25)) * 0.25,
        0
    )
)</f>
        <v>0</v>
      </c>
      <c r="AG25" s="36">
        <f>IF(
    AND($H25 &gt; $BN$7, Tabella01MarzoInverter[[#This Row],[Active power TX2-INV-3]] &lt;= 0, Tabella01MarzoInverter[[#This Row],[TX2 - Min Power]] &lt;= 0),
    MIN(($H25 / 1000) * AG$10 * $BN$4, AG$11 * 0.876) * 0.25,
    IF(
        AND($H25 &gt; $BN$7, Tabella01MarzoInverter[[#This Row],[Active power TX2-INV-3]] &lt;= 0),
        Tabella01MarzoInverter[[#This Row],[TX2 - Min Power]] * 0.25,
        0
    )
    +
    IF(
        $N25 &lt; 0.875,
        MAX(0, MIN(($H25 / 1000) * AG$10 * $BN$4, AG$11 * 0.876) - (AG$11 * $N25)) * 0.25,
        0
    )
)</f>
        <v>0</v>
      </c>
      <c r="AH25" s="36">
        <f>IF(
    AND($H25 &gt; $BN$7, Tabella01MarzoInverter[[#This Row],[Active power TX2-INV-4]] &lt;= 0, Tabella01MarzoInverter[[#This Row],[Active power TX3-INV-1]] &lt;= 0),
    MIN(($H25 / 1000) * AH$10 * $BN$4, AH$11 * 0.876) * 0.25,
    IF(
        AND($H25 &gt; $BN$7, Tabella01MarzoInverter[[#This Row],[Active power TX2-INV-4]] &lt;= 0),
        Tabella01MarzoInverter[[#This Row],[Active power TX3-INV-1]] * 0.25,
        0
    )
    +
    IF(
        $N25 &lt; 0.875,
        MAX(0, MIN(($H25 / 1000) * AH$10 * $BN$4, AH$11 * 0.876) - (AH$11 * $N25)) * 0.25,
        0
    )
)</f>
        <v>0</v>
      </c>
      <c r="AI25" s="36">
        <f>IF(
    AND($H25 &gt; $BN$7, Tabella01MarzoInverter[[#This Row],[Active power TX2-INV-5]] &lt;= 0, Tabella01MarzoInverter[[#This Row],[Active power TX3-INV-2]] &lt;= 0),
    MIN(($H25 / 1000) * AI$10 * $BN$4, AI$11 * 0.876) * 0.25,
    IF(
        AND($H25 &gt; $BN$7, Tabella01MarzoInverter[[#This Row],[Active power TX2-INV-5]] &lt;= 0),
        Tabella01MarzoInverter[[#This Row],[Active power TX3-INV-2]] * 0.25,
        0
    )
    +
    IF(
        $N25 &lt; 0.875,
        MAX(0, MIN(($H25 / 1000) * AI$10 * $BN$4, AI$11 * 0.876) - (AI$11 * $N25)) * 0.25,
        0
    )
)</f>
        <v>0</v>
      </c>
      <c r="AJ25" s="36">
        <f>IF(
    AND($H25 &gt; $BN$7, Tabella01MarzoInverter[[#This Row],[Active power TX2-INV-6]] &lt;= 0, Tabella01MarzoInverter[[#This Row],[Active power TX3-INV-3]] &lt;= 0),
    MIN(($H25 / 1000) * AJ$10 * $BN$4, AJ$11 * 0.876) * 0.25,
    IF(
        AND($H25 &gt; $BN$7, Tabella01MarzoInverter[[#This Row],[Active power TX2-INV-6]] &lt;= 0),
        Tabella01MarzoInverter[[#This Row],[Active power TX3-INV-3]] * 0.25,
        0
    )
    +
    IF(
        $N25 &lt; 0.875,
        MAX(0, MIN(($H25 / 1000) * AJ$10 * $BN$4, AJ$11 * 0.876) - (AJ$11 * $N25)) * 0.25,
        0
    )
)</f>
        <v>0</v>
      </c>
      <c r="AK25" s="36">
        <f>IF(
    AND($H25 &gt; $BN$7, Tabella01MarzoInverter[[#This Row],[Active power TX2-INV-7]] &lt;= 0, Tabella01MarzoInverter[[#This Row],[Active power TX3-INV-4]] &lt;= 0),
    MIN(($H25 / 1000) * AK$10 * $BN$4, AK$11 * 0.876) * 0.25,
    IF(
        AND($H25 &gt; $BN$7, Tabella01MarzoInverter[[#This Row],[Active power TX2-INV-7]] &lt;= 0),
        Tabella01MarzoInverter[[#This Row],[Active power TX3-INV-4]] * 0.25,
        0
    )
    +
    IF(
        $N25 &lt; 0.875,
        MAX(0, MIN(($H25 / 1000) * AK$10 * $BN$4, AK$11 * 0.876) - (AK$11 * $N25)) * 0.25,
        0
    )
)</f>
        <v>0</v>
      </c>
      <c r="AL25" s="36">
        <f>IF(
    AND($H25 &gt; $BN$7, Tabella01MarzoInverter[[#This Row],[Active power TX2-INV-8]] &lt;= 0, Tabella01MarzoInverter[[#This Row],[Active power TX3-INV-5]] &lt;= 0),
    MIN(($H25 / 1000) * AL$10 * $BN$4, AL$11 * 0.876) * 0.25,
    IF(
        AND($H25 &gt; $BN$7, Tabella01MarzoInverter[[#This Row],[Active power TX2-INV-8]] &lt;= 0),
        Tabella01MarzoInverter[[#This Row],[Active power TX3-INV-5]] * 0.25,
        0
    )
    +
    IF(
        $N25 &lt; 0.875,
        MAX(0, MIN(($H25 / 1000) * AL$10 * $BN$4, AL$11 * 0.876) - (AL$11 * $N25)) * 0.25,
        0
    )
)</f>
        <v>0</v>
      </c>
      <c r="AM25" s="36">
        <f>IF(
    AND($H25 &gt; $BN$7, Tabella01MarzoInverter[[#This Row],[Active power TX2-INV-9]] &lt;= 0, Tabella01MarzoInverter[[#This Row],[Active power TX3-INV-6]] &lt;= 0),
    MIN(($H25 / 1000) * AM$10 * $BN$4, AM$11 * 0.876) * 0.25,
    IF(
        AND($H25 &gt; $BN$7, Tabella01MarzoInverter[[#This Row],[Active power TX2-INV-9]] &lt;= 0),
        Tabella01MarzoInverter[[#This Row],[Active power TX3-INV-6]] * 0.25,
        0
    )
    +
    IF(
        $N25 &lt; 0.875,
        MAX(0, MIN(($H25 / 1000) * AM$10 * $BN$4, AM$11 * 0.876) - (AM$11 * $N25)) * 0.25,
        0
    )
)</f>
        <v>0</v>
      </c>
      <c r="AN25" s="36">
        <f>IF(
    AND($H25 &gt; $BN$7, Tabella01MarzoInverter[[#This Row],[Active power TX2-INV-10]] &lt;= 0, Tabella01MarzoInverter[[#This Row],[Active power TX3-INV-7]] &lt;= 0),
    MIN(($H25 / 1000) * AN$10 * $BN$4, AN$11 * 0.876) * 0.25,
    IF(
        AND($H25 &gt; $BN$7, Tabella01MarzoInverter[[#This Row],[Active power TX2-INV-10]] &lt;= 0),
        Tabella01MarzoInverter[[#This Row],[Active power TX3-INV-7]] * 0.25,
        0
    )
    +
    IF(
        $N25 &lt; 0.875,
        MAX(0, MIN(($H25 / 1000) * AN$10 * $BN$4, AN$11 * 0.876) - (AN$11 * $N25)) * 0.25,
        0
    )
)</f>
        <v>0</v>
      </c>
      <c r="AO25" s="36">
        <f>IF(
    AND($H25 &gt; $BN$7, Tabella01MarzoInverter[[#This Row],[Active power TX2-INV-11]] &lt;= 0, Tabella01MarzoInverter[[#This Row],[Active power TX3-INV-8]] &lt;= 0),
    MIN(($H25 / 1000) * AO$10 * $BN$4, AO$11 * 0.876) * 0.25,
    IF(
        AND($H25 &gt; $BN$7, Tabella01MarzoInverter[[#This Row],[Active power TX2-INV-11]] &lt;= 0),
        Tabella01MarzoInverter[[#This Row],[Active power TX3-INV-8]] * 0.25,
        0
    )
    +
    IF(
        $N25 &lt; 0.875,
        MAX(0, MIN(($H25 / 1000) * AO$10 * $BN$4, AO$11 * 0.876) - (AO$11 * $N25)) * 0.25,
        0
    )
)</f>
        <v>0</v>
      </c>
      <c r="AP25" s="36">
        <f>IF(
    AND($H25 &gt; $BN$7, Tabella01MarzoInverter[[#This Row],[Active power TX2-INV-12]] &lt;= 0, Tabella01MarzoInverter[[#This Row],[Active power TX3-INV-9]] &lt;= 0),
    MIN(($H25 / 1000) * AP$10 * $BN$4, AP$11 * 0.876) * 0.25,
    IF(
        AND($H25 &gt; $BN$7, Tabella01MarzoInverter[[#This Row],[Active power TX2-INV-12]] &lt;= 0),
        Tabella01MarzoInverter[[#This Row],[Active power TX3-INV-9]] * 0.25,
        0
    )
    +
    IF(
        $N25 &lt; 0.875,
        MAX(0, MIN(($H25 / 1000) * AP$10 * $BN$4, AP$11 * 0.876) - (AP$11 * $N25)) * 0.25,
        0
    )
)</f>
        <v>0</v>
      </c>
      <c r="AQ25" s="8">
        <f>AVERAGE(TabellaMar2026[[#This Row],[Colonna39]:[Colonna6]])</f>
        <v>0</v>
      </c>
      <c r="AR25" s="8">
        <f>MAX(TabellaMar2026[[#This Row],[Colonna39]:[Colonna6]])</f>
        <v>0</v>
      </c>
      <c r="AS25" s="35">
        <f>MIN(TabellaMar2026[[#This Row],[Colonna39]:[Colonna6]])</f>
        <v>0</v>
      </c>
      <c r="AT25" s="48">
        <f>SUM(TabellaMar2026[[#This Row],[Colonna39]:[Colonna6]])</f>
        <v>0</v>
      </c>
      <c r="AU25" s="36" cm="1">
        <f t="array" ref="AU25">IF(
    AND($H25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($H25 / 1000) * AU$10 * $BN$4 * 0.25
    ),
    0
)
+
IF(
    $N25 &lt; 0.875,
    MAX(0, MIN(($H25 / 1000) * AU$10 * $BN$4, AU$11 * 0.876) - (AU$11 * $N25)) * 0.25,
    0
)</f>
        <v>0</v>
      </c>
      <c r="AV25" s="36" cm="1">
        <f t="array" ref="AV25">IF(
    AND($H25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($H25 / 1000) * AV$10 * $BN$4 * 0.25
    ),
    0
)
+
IF(
    $N25 &lt; 0.875,
    MAX(0, MIN(($H25 / 1000) * AV$10 * $BN$4, AV$11 * 0.876) - (AV$11 * $N25)) * 0.25,
    0
)</f>
        <v>0</v>
      </c>
      <c r="AW25" s="36" cm="1">
        <f t="array" ref="AW25">IF(
    AND($H25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($H25 / 1000) * AW$10 * $BN$4 * 0.25
    ),
    0
)
+
IF(
    $N25 &lt; 0.875,
    MAX(0, MIN(($H25 / 1000) * AW$10 * $BN$4, AW$11 * 0.876) - (AW$11 * $N25)) * 0.25,
    0
)</f>
        <v>0</v>
      </c>
      <c r="AX25" s="36" cm="1">
        <f t="array" ref="AX25">IF(
    AND($H25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($H25 / 1000) * AX$10 * $BN$4 * 0.25
    ),
    0
)
+
IF(
    $N25 &lt; 0.875,
    MAX(0, MIN(($H25 / 1000) * AX$10 * $BN$4, AX$11 * 0.876) - (AX$11 * $N25)) * 0.25,
    0
)</f>
        <v>0</v>
      </c>
      <c r="AY25" s="36" cm="1">
        <f t="array" ref="AY25">IF(
    AND($H25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($H25 / 1000) * AY$10 * $BN$4 * 0.25
    ),
    0
)
+
IF(
    $N25 &lt; 0.875,
    MAX(0, MIN(($H25 / 1000) * AY$10 * $BN$4, AY$11 * 0.876) - (AY$11 * $N25)) * 0.25,
    0
)</f>
        <v>0</v>
      </c>
      <c r="AZ25" s="36" cm="1">
        <f t="array" ref="AZ25">IF(
    AND($H25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($H25 / 1000) * AZ$10 * $BN$4 * 0.25
    ),
    0
)
+
IF(
    $N25 &lt; 0.875,
    MAX(0, MIN(($H25 / 1000) * AZ$10 * $BN$4, AZ$11 * 0.876) - (AZ$11 * $N25)) * 0.25,
    0
)</f>
        <v>0</v>
      </c>
      <c r="BA25" s="36" cm="1">
        <f t="array" ref="BA25">IF(
    AND($H25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($H25 / 1000) * BA$10 * $BN$4 * 0.25
    ),
    0
)
+
IF(
    $N25 &lt; 0.875,
    MAX(0, MIN(($H25 / 1000) * BA$10 * $BN$4, BA$11 * 0.876) - (BA$11 * $N25)) * 0.25,
    0
)</f>
        <v>0</v>
      </c>
      <c r="BB25" s="36" cm="1">
        <f t="array" ref="BB25">IF(
    AND($H25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($H25 / 1000) * BB$10 * $BN$4 * 0.25
    ),
    0
)
+
IF(
    $N25 &lt; 0.875,
    MAX(0, MIN(($H25 / 1000) * BB$10 * $BN$4, BB$11 * 0.876) - (BB$11 * $N25)) * 0.25,
    0
)</f>
        <v>0</v>
      </c>
      <c r="BC25" s="36" cm="1">
        <f t="array" ref="BC25">IF(
    AND($H25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($H25 / 1000) * BC$10 * $BN$4 * 0.25
    ),
    0
)
+
IF(
    $N25 &lt; 0.875,
    MAX(0, MIN(($H25 / 1000) * BC$10 * $BN$4, BC$11 * 0.876) - (BC$11 * $N25)) * 0.25,
    0
)</f>
        <v>0</v>
      </c>
      <c r="BD25" s="36" cm="1">
        <f t="array" ref="BD25">IF(
    AND($H25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($H25 / 1000) * BD$10 * $BN$4 * 0.25
    ),
    0
)
+
IF(
    $N25 &lt; 0.875,
    MAX(0, MIN(($H25 / 1000) * BD$10 * $BN$4, BD$11 * 0.876) - (BD$11 * $N25)) * 0.25,
    0
)</f>
        <v>0</v>
      </c>
      <c r="BE25" s="36" cm="1">
        <f t="array" ref="BE25">IF(
    AND($H25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($H25 / 1000) * BE$10 * $BN$4 * 0.25
    ),
    0
)
+
IF(
    $N25 &lt; 0.875,
    MAX(0, MIN(($H25 / 1000) * BE$10 * $BN$4, BE$11 * 0.876) - (BE$11 * $N25)) * 0.25,
    0
)</f>
        <v>0</v>
      </c>
      <c r="BF25" s="36" cm="1">
        <f t="array" ref="BF25">IF(
    AND($H25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($H25 / 1000) * BF$10 * $BN$4 * 0.25
    ),
    0
)
+
IF(
    $N25 &lt; 0.875,
    MAX(0, MIN(($H25 / 1000) * BF$10 * $BN$4, BF$11 * 0.876) - (BF$11 * $N25)) * 0.25,
    0
)</f>
        <v>0</v>
      </c>
      <c r="BG25" s="8">
        <f>AVERAGE(TabellaMar2026[[#This Row],[Colonna55]:[Colonna53]])</f>
        <v>0</v>
      </c>
      <c r="BH25" s="8">
        <f>MAX(TabellaMar2026[[#This Row],[Colonna55]:[Colonna53]])</f>
        <v>0</v>
      </c>
      <c r="BI25" s="35">
        <f>MIN(TabellaMar2026[[#This Row],[Colonna55]:[Colonna53]])</f>
        <v>0</v>
      </c>
      <c r="BJ25" s="48">
        <f>SUM(TabellaMar2026[[#This Row],[Colonna54]:[Colonna53]])</f>
        <v>0</v>
      </c>
      <c r="BK25" s="54">
        <f>(SUM(Tabella01MarzoInverter[[Active power TX1-INV-1]:[Active power TX3-INV-12]]) * 0.25) / (12625 * (SUM($G$15:$H$110) * 0.25 / 1000))</f>
        <v>1.014229628761051</v>
      </c>
      <c r="BL25" s="5"/>
      <c r="BM25" s="5"/>
      <c r="BN25" s="8"/>
      <c r="BO25" s="8"/>
      <c r="BP25" s="19"/>
    </row>
    <row r="26" spans="1:68" s="3" customFormat="1" x14ac:dyDescent="0.25">
      <c r="A26" s="18">
        <v>46147</v>
      </c>
      <c r="B26" t="s">
        <v>26</v>
      </c>
      <c r="C26" s="5">
        <v>0</v>
      </c>
      <c r="D26" s="6">
        <v>0</v>
      </c>
      <c r="E26" s="6">
        <v>0</v>
      </c>
      <c r="F26" s="6">
        <v>0</v>
      </c>
      <c r="G26" s="6">
        <f>IFERROR((D26+F26)/2, 0)</f>
        <v>0</v>
      </c>
      <c r="H26" s="7">
        <f>IFERROR(IF(AVERAGE(C26,E26)&gt;$BN$7,AVERAGE(C26,E26),0), 0)</f>
        <v>0</v>
      </c>
      <c r="I26" s="7">
        <f>IFERROR(IF(AND(D26=0,F26=0),0,IF(H26&gt;$BN$6,MAX(D26,F26),G26)), 0)</f>
        <v>0</v>
      </c>
      <c r="J26" s="6">
        <f>IFERROR(IF(AND(D26&gt;0,F26&gt;0),ABS(D26-F26)/AVERAGE(D26,F26),0), 0)</f>
        <v>0</v>
      </c>
      <c r="K26" s="6">
        <v>30386.2</v>
      </c>
      <c r="L26" s="6">
        <v>30386.2</v>
      </c>
      <c r="M26" s="8">
        <f>IFERROR((L26-K26)*1000, 0)</f>
        <v>0</v>
      </c>
      <c r="N26" s="6">
        <v>0.87599999999999989</v>
      </c>
      <c r="O26" s="8" cm="1">
        <f t="array" ref="O26">IF(
    AND($H26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($H26 / 1000) * O$10 * $BN$4 * 0.25
    ),
    0
)
+
IF(
    $N26 &lt; 0.875,
    MAX(0, MIN(($H26 / 1000) * O$10 * $BN$4, O$11 * 0.876) - (O$11 * $N26)) * 0.25,
    0
)</f>
        <v>0</v>
      </c>
      <c r="P26" s="8" cm="1">
        <f t="array" ref="P26">IF(
    AND($H26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($H26 / 1000) * P$10 * $BN$4 * 0.25
    ),
    0
)
+
IF(
    $N26 &lt; 0.875,
    MAX(0, MIN(($H26 / 1000) * P$10 * $BN$4, P$11 * 0.876) - (P$11 * $N26)) * 0.25,
    0
)</f>
        <v>0</v>
      </c>
      <c r="Q26" s="8" cm="1">
        <f t="array" ref="Q26">IF(
    AND($H26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($H26 / 1000) * Q$10 * $BN$4 * 0.25
    ),
    0
)
+
IF(
    $N26 &lt; 0.875,
    MAX(0, MIN(($H26 / 1000) * Q$10 * $BN$4, Q$11 * 0.876) - (Q$11 * $N26)) * 0.25,
    0
)</f>
        <v>0</v>
      </c>
      <c r="R26" s="8" cm="1">
        <f t="array" ref="R26">IF(
    AND($H26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($H26 / 1000) * R$10 * $BN$4 * 0.25
    ),
    0
)
+
IF(
    $N26 &lt; 0.875,
    MAX(0, MIN(($H26 / 1000) * R$10 * $BN$4, R$11 * 0.876) - (R$11 * $N26)) * 0.25,
    0
)</f>
        <v>0</v>
      </c>
      <c r="S26" s="8" cm="1">
        <f t="array" ref="S26">IF(
    AND($H26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($H26 / 1000) * S$10 * $BN$4 * 0.25
    ),
    0
)
+
IF(
    $N26 &lt; 0.875,
    MAX(0, MIN(($H26 / 1000) * S$10 * $BN$4, S$11 * 0.876) - (S$11 * $N26)) * 0.25,
    0
)</f>
        <v>0</v>
      </c>
      <c r="T26" s="8" cm="1">
        <f t="array" ref="T26">IF(
    AND($H26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($H26 / 1000) * T$10 * $BN$4 * 0.25
    ),
    0
)
+
IF(
    $N26 &lt; 0.875,
    MAX(0, MIN(($H26 / 1000) * T$10 * $BN$4, T$11 * 0.876) - (T$11 * $N26)) * 0.25,
    0
)</f>
        <v>0</v>
      </c>
      <c r="U26" s="8" cm="1">
        <f t="array" ref="U26">IF(
    AND($H26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($H26 / 1000) * U$10 * $BN$4 * 0.25
    ),
    0
)
+
IF(
    $N26 &lt; 0.875,
    MAX(0, MIN(($H26 / 1000) * U$10 * $BN$4, U$11 * 0.876) - (U$11 * $N26)) * 0.25,
    0
)</f>
        <v>0</v>
      </c>
      <c r="V26" s="8" cm="1">
        <f t="array" ref="V26">IF(
    AND($H26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($H26 / 1000) * V$10 * $BN$4 * 0.25
    ),
    0
)
+
IF(
    $N26 &lt; 0.875,
    MAX(0, MIN(($H26 / 1000) * V$10 * $BN$4, V$11 * 0.876) - (V$11 * $N26)) * 0.25,
    0
)</f>
        <v>0</v>
      </c>
      <c r="W26" s="8" cm="1">
        <f t="array" ref="W26">IF(
    AND($H26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($H26 / 1000) * W$10 * $BN$4 * 0.25
    ),
    0
)
+
IF(
    $N26 &lt; 0.875,
    MAX(0, MIN(($H26 / 1000) * W$10 * $BN$4, W$11 * 0.876) - (W$11 * $N26)) * 0.25,
    0
)</f>
        <v>0</v>
      </c>
      <c r="X26" s="8" cm="1">
        <f t="array" ref="X26">IF(
    AND($H26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($H26 / 1000) * X$10 * $BN$4 * 0.25
    ),
    0
)
+
IF(
    $N26 &lt; 0.875,
    MAX(0, MIN(($H26 / 1000) * X$10 * $BN$4, X$11 * 0.876) - (X$11 * $N26)) * 0.25,
    0
)</f>
        <v>0</v>
      </c>
      <c r="Y26" s="8" cm="1">
        <f t="array" ref="Y26">IF(
    AND($H26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($H26 / 1000) * Y$10 * $BN$4 * 0.25
    ),
    0
)
+
IF(
    $N26 &lt; 0.875,
    MAX(0, MIN(($H26 / 1000) * Y$10 * $BN$4, Y$11 * 0.876) - (Y$11 * $N26)) * 0.25,
    0
)</f>
        <v>0</v>
      </c>
      <c r="Z26" s="8" cm="1">
        <f t="array" ref="Z26">IF(
    AND($H26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($H26 / 1000) * Z$10 * $BN$4 * 0.25
    ),
    0
)
+
IF(
    $N26 &lt; 0.875,
    MAX(0, MIN(($H26 / 1000) * Z$10 * $BN$4, Z$11 * 0.876) - (Z$11 * $N26)) * 0.25,
    0
)</f>
        <v>0</v>
      </c>
      <c r="AA26" s="8">
        <f>AVERAGE(TabellaMar2026[[#This Row],[Colonna24]:[Colonna20]])</f>
        <v>0</v>
      </c>
      <c r="AB26" s="8">
        <f>MAX(TabellaMar2026[[#This Row],[Colonna24]:[Colonna20]])</f>
        <v>0</v>
      </c>
      <c r="AC26" s="35">
        <f>MIN(TabellaMar2026[[#This Row],[Colonna24]:[Colonna20]])</f>
        <v>0</v>
      </c>
      <c r="AD26" s="44">
        <f>SUM(TabellaMar2026[[#This Row],[Colonna24]:[Colonna20]])</f>
        <v>0</v>
      </c>
      <c r="AE26" s="36">
        <f>IF(
    AND($H26 &gt; $BN$7, Tabella01MarzoInverter[[#This Row],[Active power TX2-INV-1]] &lt;= 0, Tabella01MarzoInverter[[#This Row],[TX2 - Average Power]] &lt;= 0),
    MIN(($H26 / 1000) * AE$10 * $BN$4, AE$11 * 0.876) * 0.25,
    IF(
        AND($H26 &gt; $BN$7, Tabella01MarzoInverter[[#This Row],[Active power TX2-INV-1]] &lt;= 0),
        Tabella01MarzoInverter[[#This Row],[TX2 - Average Power]] * 0.25,
        0
    )
    +
    IF(
        $N26 &lt; 0.875,
        MAX(0, MIN(($H26 / 1000) * AE$10 * $BN$4, AE$11 * 0.876) - (AE$11 * $N26)) * 0.25,
        0
    )
)</f>
        <v>0</v>
      </c>
      <c r="AF26" s="36">
        <f>IF(
    AND($H26 &gt; $BN$7, Tabella01MarzoInverter[[#This Row],[Active power TX2-INV-2]] &lt;= 0, Tabella01MarzoInverter[[#This Row],[TX2 - Max Power]] &lt;= 0),
    MIN(($H26 / 1000) * AF$10 * $BN$4, AF$11 * 0.876) * 0.25,
    IF(
        AND($H26 &gt; $BN$7, Tabella01MarzoInverter[[#This Row],[Active power TX2-INV-2]] &lt;= 0),
        Tabella01MarzoInverter[[#This Row],[TX2 - Max Power]] * 0.25,
        0
    )
    +
    IF(
        $N26 &lt; 0.875,
        MAX(0, MIN(($H26 / 1000) * AF$10 * $BN$4, AF$11 * 0.876) - (AF$11 * $N26)) * 0.25,
        0
    )
)</f>
        <v>0</v>
      </c>
      <c r="AG26" s="36">
        <f>IF(
    AND($H26 &gt; $BN$7, Tabella01MarzoInverter[[#This Row],[Active power TX2-INV-3]] &lt;= 0, Tabella01MarzoInverter[[#This Row],[TX2 - Min Power]] &lt;= 0),
    MIN(($H26 / 1000) * AG$10 * $BN$4, AG$11 * 0.876) * 0.25,
    IF(
        AND($H26 &gt; $BN$7, Tabella01MarzoInverter[[#This Row],[Active power TX2-INV-3]] &lt;= 0),
        Tabella01MarzoInverter[[#This Row],[TX2 - Min Power]] * 0.25,
        0
    )
    +
    IF(
        $N26 &lt; 0.875,
        MAX(0, MIN(($H26 / 1000) * AG$10 * $BN$4, AG$11 * 0.876) - (AG$11 * $N26)) * 0.25,
        0
    )
)</f>
        <v>0</v>
      </c>
      <c r="AH26" s="36">
        <f>IF(
    AND($H26 &gt; $BN$7, Tabella01MarzoInverter[[#This Row],[Active power TX2-INV-4]] &lt;= 0, Tabella01MarzoInverter[[#This Row],[Active power TX3-INV-1]] &lt;= 0),
    MIN(($H26 / 1000) * AH$10 * $BN$4, AH$11 * 0.876) * 0.25,
    IF(
        AND($H26 &gt; $BN$7, Tabella01MarzoInverter[[#This Row],[Active power TX2-INV-4]] &lt;= 0),
        Tabella01MarzoInverter[[#This Row],[Active power TX3-INV-1]] * 0.25,
        0
    )
    +
    IF(
        $N26 &lt; 0.875,
        MAX(0, MIN(($H26 / 1000) * AH$10 * $BN$4, AH$11 * 0.876) - (AH$11 * $N26)) * 0.25,
        0
    )
)</f>
        <v>0</v>
      </c>
      <c r="AI26" s="36">
        <f>IF(
    AND($H26 &gt; $BN$7, Tabella01MarzoInverter[[#This Row],[Active power TX2-INV-5]] &lt;= 0, Tabella01MarzoInverter[[#This Row],[Active power TX3-INV-2]] &lt;= 0),
    MIN(($H26 / 1000) * AI$10 * $BN$4, AI$11 * 0.876) * 0.25,
    IF(
        AND($H26 &gt; $BN$7, Tabella01MarzoInverter[[#This Row],[Active power TX2-INV-5]] &lt;= 0),
        Tabella01MarzoInverter[[#This Row],[Active power TX3-INV-2]] * 0.25,
        0
    )
    +
    IF(
        $N26 &lt; 0.875,
        MAX(0, MIN(($H26 / 1000) * AI$10 * $BN$4, AI$11 * 0.876) - (AI$11 * $N26)) * 0.25,
        0
    )
)</f>
        <v>0</v>
      </c>
      <c r="AJ26" s="36">
        <f>IF(
    AND($H26 &gt; $BN$7, Tabella01MarzoInverter[[#This Row],[Active power TX2-INV-6]] &lt;= 0, Tabella01MarzoInverter[[#This Row],[Active power TX3-INV-3]] &lt;= 0),
    MIN(($H26 / 1000) * AJ$10 * $BN$4, AJ$11 * 0.876) * 0.25,
    IF(
        AND($H26 &gt; $BN$7, Tabella01MarzoInverter[[#This Row],[Active power TX2-INV-6]] &lt;= 0),
        Tabella01MarzoInverter[[#This Row],[Active power TX3-INV-3]] * 0.25,
        0
    )
    +
    IF(
        $N26 &lt; 0.875,
        MAX(0, MIN(($H26 / 1000) * AJ$10 * $BN$4, AJ$11 * 0.876) - (AJ$11 * $N26)) * 0.25,
        0
    )
)</f>
        <v>0</v>
      </c>
      <c r="AK26" s="36">
        <f>IF(
    AND($H26 &gt; $BN$7, Tabella01MarzoInverter[[#This Row],[Active power TX2-INV-7]] &lt;= 0, Tabella01MarzoInverter[[#This Row],[Active power TX3-INV-4]] &lt;= 0),
    MIN(($H26 / 1000) * AK$10 * $BN$4, AK$11 * 0.876) * 0.25,
    IF(
        AND($H26 &gt; $BN$7, Tabella01MarzoInverter[[#This Row],[Active power TX2-INV-7]] &lt;= 0),
        Tabella01MarzoInverter[[#This Row],[Active power TX3-INV-4]] * 0.25,
        0
    )
    +
    IF(
        $N26 &lt; 0.875,
        MAX(0, MIN(($H26 / 1000) * AK$10 * $BN$4, AK$11 * 0.876) - (AK$11 * $N26)) * 0.25,
        0
    )
)</f>
        <v>0</v>
      </c>
      <c r="AL26" s="36">
        <f>IF(
    AND($H26 &gt; $BN$7, Tabella01MarzoInverter[[#This Row],[Active power TX2-INV-8]] &lt;= 0, Tabella01MarzoInverter[[#This Row],[Active power TX3-INV-5]] &lt;= 0),
    MIN(($H26 / 1000) * AL$10 * $BN$4, AL$11 * 0.876) * 0.25,
    IF(
        AND($H26 &gt; $BN$7, Tabella01MarzoInverter[[#This Row],[Active power TX2-INV-8]] &lt;= 0),
        Tabella01MarzoInverter[[#This Row],[Active power TX3-INV-5]] * 0.25,
        0
    )
    +
    IF(
        $N26 &lt; 0.875,
        MAX(0, MIN(($H26 / 1000) * AL$10 * $BN$4, AL$11 * 0.876) - (AL$11 * $N26)) * 0.25,
        0
    )
)</f>
        <v>0</v>
      </c>
      <c r="AM26" s="36">
        <f>IF(
    AND($H26 &gt; $BN$7, Tabella01MarzoInverter[[#This Row],[Active power TX2-INV-9]] &lt;= 0, Tabella01MarzoInverter[[#This Row],[Active power TX3-INV-6]] &lt;= 0),
    MIN(($H26 / 1000) * AM$10 * $BN$4, AM$11 * 0.876) * 0.25,
    IF(
        AND($H26 &gt; $BN$7, Tabella01MarzoInverter[[#This Row],[Active power TX2-INV-9]] &lt;= 0),
        Tabella01MarzoInverter[[#This Row],[Active power TX3-INV-6]] * 0.25,
        0
    )
    +
    IF(
        $N26 &lt; 0.875,
        MAX(0, MIN(($H26 / 1000) * AM$10 * $BN$4, AM$11 * 0.876) - (AM$11 * $N26)) * 0.25,
        0
    )
)</f>
        <v>0</v>
      </c>
      <c r="AN26" s="36">
        <f>IF(
    AND($H26 &gt; $BN$7, Tabella01MarzoInverter[[#This Row],[Active power TX2-INV-10]] &lt;= 0, Tabella01MarzoInverter[[#This Row],[Active power TX3-INV-7]] &lt;= 0),
    MIN(($H26 / 1000) * AN$10 * $BN$4, AN$11 * 0.876) * 0.25,
    IF(
        AND($H26 &gt; $BN$7, Tabella01MarzoInverter[[#This Row],[Active power TX2-INV-10]] &lt;= 0),
        Tabella01MarzoInverter[[#This Row],[Active power TX3-INV-7]] * 0.25,
        0
    )
    +
    IF(
        $N26 &lt; 0.875,
        MAX(0, MIN(($H26 / 1000) * AN$10 * $BN$4, AN$11 * 0.876) - (AN$11 * $N26)) * 0.25,
        0
    )
)</f>
        <v>0</v>
      </c>
      <c r="AO26" s="36">
        <f>IF(
    AND($H26 &gt; $BN$7, Tabella01MarzoInverter[[#This Row],[Active power TX2-INV-11]] &lt;= 0, Tabella01MarzoInverter[[#This Row],[Active power TX3-INV-8]] &lt;= 0),
    MIN(($H26 / 1000) * AO$10 * $BN$4, AO$11 * 0.876) * 0.25,
    IF(
        AND($H26 &gt; $BN$7, Tabella01MarzoInverter[[#This Row],[Active power TX2-INV-11]] &lt;= 0),
        Tabella01MarzoInverter[[#This Row],[Active power TX3-INV-8]] * 0.25,
        0
    )
    +
    IF(
        $N26 &lt; 0.875,
        MAX(0, MIN(($H26 / 1000) * AO$10 * $BN$4, AO$11 * 0.876) - (AO$11 * $N26)) * 0.25,
        0
    )
)</f>
        <v>0</v>
      </c>
      <c r="AP26" s="36">
        <f>IF(
    AND($H26 &gt; $BN$7, Tabella01MarzoInverter[[#This Row],[Active power TX2-INV-12]] &lt;= 0, Tabella01MarzoInverter[[#This Row],[Active power TX3-INV-9]] &lt;= 0),
    MIN(($H26 / 1000) * AP$10 * $BN$4, AP$11 * 0.876) * 0.25,
    IF(
        AND($H26 &gt; $BN$7, Tabella01MarzoInverter[[#This Row],[Active power TX2-INV-12]] &lt;= 0),
        Tabella01MarzoInverter[[#This Row],[Active power TX3-INV-9]] * 0.25,
        0
    )
    +
    IF(
        $N26 &lt; 0.875,
        MAX(0, MIN(($H26 / 1000) * AP$10 * $BN$4, AP$11 * 0.876) - (AP$11 * $N26)) * 0.25,
        0
    )
)</f>
        <v>0</v>
      </c>
      <c r="AQ26" s="8">
        <f>AVERAGE(TabellaMar2026[[#This Row],[Colonna39]:[Colonna6]])</f>
        <v>0</v>
      </c>
      <c r="AR26" s="8">
        <f>MAX(TabellaMar2026[[#This Row],[Colonna39]:[Colonna6]])</f>
        <v>0</v>
      </c>
      <c r="AS26" s="35">
        <f>MIN(TabellaMar2026[[#This Row],[Colonna39]:[Colonna6]])</f>
        <v>0</v>
      </c>
      <c r="AT26" s="48">
        <f>SUM(TabellaMar2026[[#This Row],[Colonna39]:[Colonna6]])</f>
        <v>0</v>
      </c>
      <c r="AU26" s="36" cm="1">
        <f t="array" ref="AU26">IF(
    AND($H26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($H26 / 1000) * AU$10 * $BN$4 * 0.25
    ),
    0
)
+
IF(
    $N26 &lt; 0.875,
    MAX(0, MIN(($H26 / 1000) * AU$10 * $BN$4, AU$11 * 0.876) - (AU$11 * $N26)) * 0.25,
    0
)</f>
        <v>0</v>
      </c>
      <c r="AV26" s="36" cm="1">
        <f t="array" ref="AV26">IF(
    AND($H26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($H26 / 1000) * AV$10 * $BN$4 * 0.25
    ),
    0
)
+
IF(
    $N26 &lt; 0.875,
    MAX(0, MIN(($H26 / 1000) * AV$10 * $BN$4, AV$11 * 0.876) - (AV$11 * $N26)) * 0.25,
    0
)</f>
        <v>0</v>
      </c>
      <c r="AW26" s="36" cm="1">
        <f t="array" ref="AW26">IF(
    AND($H26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($H26 / 1000) * AW$10 * $BN$4 * 0.25
    ),
    0
)
+
IF(
    $N26 &lt; 0.875,
    MAX(0, MIN(($H26 / 1000) * AW$10 * $BN$4, AW$11 * 0.876) - (AW$11 * $N26)) * 0.25,
    0
)</f>
        <v>0</v>
      </c>
      <c r="AX26" s="36" cm="1">
        <f t="array" ref="AX26">IF(
    AND($H26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($H26 / 1000) * AX$10 * $BN$4 * 0.25
    ),
    0
)
+
IF(
    $N26 &lt; 0.875,
    MAX(0, MIN(($H26 / 1000) * AX$10 * $BN$4, AX$11 * 0.876) - (AX$11 * $N26)) * 0.25,
    0
)</f>
        <v>0</v>
      </c>
      <c r="AY26" s="36" cm="1">
        <f t="array" ref="AY26">IF(
    AND($H26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($H26 / 1000) * AY$10 * $BN$4 * 0.25
    ),
    0
)
+
IF(
    $N26 &lt; 0.875,
    MAX(0, MIN(($H26 / 1000) * AY$10 * $BN$4, AY$11 * 0.876) - (AY$11 * $N26)) * 0.25,
    0
)</f>
        <v>0</v>
      </c>
      <c r="AZ26" s="36" cm="1">
        <f t="array" ref="AZ26">IF(
    AND($H26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($H26 / 1000) * AZ$10 * $BN$4 * 0.25
    ),
    0
)
+
IF(
    $N26 &lt; 0.875,
    MAX(0, MIN(($H26 / 1000) * AZ$10 * $BN$4, AZ$11 * 0.876) - (AZ$11 * $N26)) * 0.25,
    0
)</f>
        <v>0</v>
      </c>
      <c r="BA26" s="36" cm="1">
        <f t="array" ref="BA26">IF(
    AND($H26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($H26 / 1000) * BA$10 * $BN$4 * 0.25
    ),
    0
)
+
IF(
    $N26 &lt; 0.875,
    MAX(0, MIN(($H26 / 1000) * BA$10 * $BN$4, BA$11 * 0.876) - (BA$11 * $N26)) * 0.25,
    0
)</f>
        <v>0</v>
      </c>
      <c r="BB26" s="36" cm="1">
        <f t="array" ref="BB26">IF(
    AND($H26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($H26 / 1000) * BB$10 * $BN$4 * 0.25
    ),
    0
)
+
IF(
    $N26 &lt; 0.875,
    MAX(0, MIN(($H26 / 1000) * BB$10 * $BN$4, BB$11 * 0.876) - (BB$11 * $N26)) * 0.25,
    0
)</f>
        <v>0</v>
      </c>
      <c r="BC26" s="36" cm="1">
        <f t="array" ref="BC26">IF(
    AND($H26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($H26 / 1000) * BC$10 * $BN$4 * 0.25
    ),
    0
)
+
IF(
    $N26 &lt; 0.875,
    MAX(0, MIN(($H26 / 1000) * BC$10 * $BN$4, BC$11 * 0.876) - (BC$11 * $N26)) * 0.25,
    0
)</f>
        <v>0</v>
      </c>
      <c r="BD26" s="36" cm="1">
        <f t="array" ref="BD26">IF(
    AND($H26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($H26 / 1000) * BD$10 * $BN$4 * 0.25
    ),
    0
)
+
IF(
    $N26 &lt; 0.875,
    MAX(0, MIN(($H26 / 1000) * BD$10 * $BN$4, BD$11 * 0.876) - (BD$11 * $N26)) * 0.25,
    0
)</f>
        <v>0</v>
      </c>
      <c r="BE26" s="36" cm="1">
        <f t="array" ref="BE26">IF(
    AND($H26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($H26 / 1000) * BE$10 * $BN$4 * 0.25
    ),
    0
)
+
IF(
    $N26 &lt; 0.875,
    MAX(0, MIN(($H26 / 1000) * BE$10 * $BN$4, BE$11 * 0.876) - (BE$11 * $N26)) * 0.25,
    0
)</f>
        <v>0</v>
      </c>
      <c r="BF26" s="36" cm="1">
        <f t="array" ref="BF26">IF(
    AND($H26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($H26 / 1000) * BF$10 * $BN$4 * 0.25
    ),
    0
)
+
IF(
    $N26 &lt; 0.875,
    MAX(0, MIN(($H26 / 1000) * BF$10 * $BN$4, BF$11 * 0.876) - (BF$11 * $N26)) * 0.25,
    0
)</f>
        <v>0</v>
      </c>
      <c r="BG26" s="8">
        <f>AVERAGE(TabellaMar2026[[#This Row],[Colonna55]:[Colonna53]])</f>
        <v>0</v>
      </c>
      <c r="BH26" s="8">
        <f>MAX(TabellaMar2026[[#This Row],[Colonna55]:[Colonna53]])</f>
        <v>0</v>
      </c>
      <c r="BI26" s="35">
        <f>MIN(TabellaMar2026[[#This Row],[Colonna55]:[Colonna53]])</f>
        <v>0</v>
      </c>
      <c r="BJ26" s="48">
        <f>SUM(TabellaMar2026[[#This Row],[Colonna54]:[Colonna53]])</f>
        <v>0</v>
      </c>
      <c r="BK26" s="54">
        <f>(SUM(Tabella01MarzoInverter[[Active power TX1-INV-1]:[Active power TX3-INV-12]]) * 0.25) / (12625 * (SUM($G$15:$H$110) * 0.25 / 1000))</f>
        <v>1.014229628761051</v>
      </c>
      <c r="BL26" s="5"/>
      <c r="BM26" s="5"/>
      <c r="BN26" s="8"/>
      <c r="BO26" s="8"/>
      <c r="BP26" s="19"/>
    </row>
    <row r="27" spans="1:68" s="3" customFormat="1" x14ac:dyDescent="0.25">
      <c r="A27" s="18">
        <v>46147</v>
      </c>
      <c r="B27" t="s">
        <v>27</v>
      </c>
      <c r="C27" s="5">
        <v>0</v>
      </c>
      <c r="D27" s="6">
        <v>0</v>
      </c>
      <c r="E27" s="6">
        <v>0</v>
      </c>
      <c r="F27" s="6">
        <v>0</v>
      </c>
      <c r="G27" s="6">
        <f>IFERROR((D27+F27)/2, 0)</f>
        <v>0</v>
      </c>
      <c r="H27" s="7">
        <f>IFERROR(IF(AVERAGE(C27,E27)&gt;$BN$7,AVERAGE(C27,E27),0), 0)</f>
        <v>0</v>
      </c>
      <c r="I27" s="7">
        <f>IFERROR(IF(AND(D27=0,F27=0),0,IF(H27&gt;$BN$6,MAX(D27,F27),G27)), 0)</f>
        <v>0</v>
      </c>
      <c r="J27" s="6">
        <f>IFERROR(IF(AND(D27&gt;0,F27&gt;0),ABS(D27-F27)/AVERAGE(D27,F27),0), 0)</f>
        <v>0</v>
      </c>
      <c r="K27" s="6">
        <v>30386.2</v>
      </c>
      <c r="L27" s="6">
        <v>30386.2</v>
      </c>
      <c r="M27" s="8">
        <f>IFERROR((L27-K27)*1000, 0)</f>
        <v>0</v>
      </c>
      <c r="N27" s="6">
        <v>0.87599999999999989</v>
      </c>
      <c r="O27" s="8" cm="1">
        <f t="array" ref="O27">IF(
    AND($H27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($H27 / 1000) * O$10 * $BN$4 * 0.25
    ),
    0
)
+
IF(
    $N27 &lt; 0.875,
    MAX(0, MIN(($H27 / 1000) * O$10 * $BN$4, O$11 * 0.876) - (O$11 * $N27)) * 0.25,
    0
)</f>
        <v>0</v>
      </c>
      <c r="P27" s="8" cm="1">
        <f t="array" ref="P27">IF(
    AND($H27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($H27 / 1000) * P$10 * $BN$4 * 0.25
    ),
    0
)
+
IF(
    $N27 &lt; 0.875,
    MAX(0, MIN(($H27 / 1000) * P$10 * $BN$4, P$11 * 0.876) - (P$11 * $N27)) * 0.25,
    0
)</f>
        <v>0</v>
      </c>
      <c r="Q27" s="8" cm="1">
        <f t="array" ref="Q27">IF(
    AND($H27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($H27 / 1000) * Q$10 * $BN$4 * 0.25
    ),
    0
)
+
IF(
    $N27 &lt; 0.875,
    MAX(0, MIN(($H27 / 1000) * Q$10 * $BN$4, Q$11 * 0.876) - (Q$11 * $N27)) * 0.25,
    0
)</f>
        <v>0</v>
      </c>
      <c r="R27" s="8" cm="1">
        <f t="array" ref="R27">IF(
    AND($H27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($H27 / 1000) * R$10 * $BN$4 * 0.25
    ),
    0
)
+
IF(
    $N27 &lt; 0.875,
    MAX(0, MIN(($H27 / 1000) * R$10 * $BN$4, R$11 * 0.876) - (R$11 * $N27)) * 0.25,
    0
)</f>
        <v>0</v>
      </c>
      <c r="S27" s="8" cm="1">
        <f t="array" ref="S27">IF(
    AND($H27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($H27 / 1000) * S$10 * $BN$4 * 0.25
    ),
    0
)
+
IF(
    $N27 &lt; 0.875,
    MAX(0, MIN(($H27 / 1000) * S$10 * $BN$4, S$11 * 0.876) - (S$11 * $N27)) * 0.25,
    0
)</f>
        <v>0</v>
      </c>
      <c r="T27" s="8" cm="1">
        <f t="array" ref="T27">IF(
    AND($H27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($H27 / 1000) * T$10 * $BN$4 * 0.25
    ),
    0
)
+
IF(
    $N27 &lt; 0.875,
    MAX(0, MIN(($H27 / 1000) * T$10 * $BN$4, T$11 * 0.876) - (T$11 * $N27)) * 0.25,
    0
)</f>
        <v>0</v>
      </c>
      <c r="U27" s="8" cm="1">
        <f t="array" ref="U27">IF(
    AND($H27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($H27 / 1000) * U$10 * $BN$4 * 0.25
    ),
    0
)
+
IF(
    $N27 &lt; 0.875,
    MAX(0, MIN(($H27 / 1000) * U$10 * $BN$4, U$11 * 0.876) - (U$11 * $N27)) * 0.25,
    0
)</f>
        <v>0</v>
      </c>
      <c r="V27" s="8" cm="1">
        <f t="array" ref="V27">IF(
    AND($H27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($H27 / 1000) * V$10 * $BN$4 * 0.25
    ),
    0
)
+
IF(
    $N27 &lt; 0.875,
    MAX(0, MIN(($H27 / 1000) * V$10 * $BN$4, V$11 * 0.876) - (V$11 * $N27)) * 0.25,
    0
)</f>
        <v>0</v>
      </c>
      <c r="W27" s="8" cm="1">
        <f t="array" ref="W27">IF(
    AND($H27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($H27 / 1000) * W$10 * $BN$4 * 0.25
    ),
    0
)
+
IF(
    $N27 &lt; 0.875,
    MAX(0, MIN(($H27 / 1000) * W$10 * $BN$4, W$11 * 0.876) - (W$11 * $N27)) * 0.25,
    0
)</f>
        <v>0</v>
      </c>
      <c r="X27" s="8" cm="1">
        <f t="array" ref="X27">IF(
    AND($H27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($H27 / 1000) * X$10 * $BN$4 * 0.25
    ),
    0
)
+
IF(
    $N27 &lt; 0.875,
    MAX(0, MIN(($H27 / 1000) * X$10 * $BN$4, X$11 * 0.876) - (X$11 * $N27)) * 0.25,
    0
)</f>
        <v>0</v>
      </c>
      <c r="Y27" s="8" cm="1">
        <f t="array" ref="Y27">IF(
    AND($H27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($H27 / 1000) * Y$10 * $BN$4 * 0.25
    ),
    0
)
+
IF(
    $N27 &lt; 0.875,
    MAX(0, MIN(($H27 / 1000) * Y$10 * $BN$4, Y$11 * 0.876) - (Y$11 * $N27)) * 0.25,
    0
)</f>
        <v>0</v>
      </c>
      <c r="Z27" s="8" cm="1">
        <f t="array" ref="Z27">IF(
    AND($H27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($H27 / 1000) * Z$10 * $BN$4 * 0.25
    ),
    0
)
+
IF(
    $N27 &lt; 0.875,
    MAX(0, MIN(($H27 / 1000) * Z$10 * $BN$4, Z$11 * 0.876) - (Z$11 * $N27)) * 0.25,
    0
)</f>
        <v>0</v>
      </c>
      <c r="AA27" s="8">
        <f>AVERAGE(TabellaMar2026[[#This Row],[Colonna24]:[Colonna20]])</f>
        <v>0</v>
      </c>
      <c r="AB27" s="8">
        <f>MAX(TabellaMar2026[[#This Row],[Colonna24]:[Colonna20]])</f>
        <v>0</v>
      </c>
      <c r="AC27" s="35">
        <f>MIN(TabellaMar2026[[#This Row],[Colonna24]:[Colonna20]])</f>
        <v>0</v>
      </c>
      <c r="AD27" s="44">
        <f>SUM(TabellaMar2026[[#This Row],[Colonna24]:[Colonna20]])</f>
        <v>0</v>
      </c>
      <c r="AE27" s="36">
        <f>IF(
    AND($H27 &gt; $BN$7, Tabella01MarzoInverter[[#This Row],[Active power TX2-INV-1]] &lt;= 0, Tabella01MarzoInverter[[#This Row],[TX2 - Average Power]] &lt;= 0),
    MIN(($H27 / 1000) * AE$10 * $BN$4, AE$11 * 0.876) * 0.25,
    IF(
        AND($H27 &gt; $BN$7, Tabella01MarzoInverter[[#This Row],[Active power TX2-INV-1]] &lt;= 0),
        Tabella01MarzoInverter[[#This Row],[TX2 - Average Power]] * 0.25,
        0
    )
    +
    IF(
        $N27 &lt; 0.875,
        MAX(0, MIN(($H27 / 1000) * AE$10 * $BN$4, AE$11 * 0.876) - (AE$11 * $N27)) * 0.25,
        0
    )
)</f>
        <v>0</v>
      </c>
      <c r="AF27" s="36">
        <f>IF(
    AND($H27 &gt; $BN$7, Tabella01MarzoInverter[[#This Row],[Active power TX2-INV-2]] &lt;= 0, Tabella01MarzoInverter[[#This Row],[TX2 - Max Power]] &lt;= 0),
    MIN(($H27 / 1000) * AF$10 * $BN$4, AF$11 * 0.876) * 0.25,
    IF(
        AND($H27 &gt; $BN$7, Tabella01MarzoInverter[[#This Row],[Active power TX2-INV-2]] &lt;= 0),
        Tabella01MarzoInverter[[#This Row],[TX2 - Max Power]] * 0.25,
        0
    )
    +
    IF(
        $N27 &lt; 0.875,
        MAX(0, MIN(($H27 / 1000) * AF$10 * $BN$4, AF$11 * 0.876) - (AF$11 * $N27)) * 0.25,
        0
    )
)</f>
        <v>0</v>
      </c>
      <c r="AG27" s="36">
        <f>IF(
    AND($H27 &gt; $BN$7, Tabella01MarzoInverter[[#This Row],[Active power TX2-INV-3]] &lt;= 0, Tabella01MarzoInverter[[#This Row],[TX2 - Min Power]] &lt;= 0),
    MIN(($H27 / 1000) * AG$10 * $BN$4, AG$11 * 0.876) * 0.25,
    IF(
        AND($H27 &gt; $BN$7, Tabella01MarzoInverter[[#This Row],[Active power TX2-INV-3]] &lt;= 0),
        Tabella01MarzoInverter[[#This Row],[TX2 - Min Power]] * 0.25,
        0
    )
    +
    IF(
        $N27 &lt; 0.875,
        MAX(0, MIN(($H27 / 1000) * AG$10 * $BN$4, AG$11 * 0.876) - (AG$11 * $N27)) * 0.25,
        0
    )
)</f>
        <v>0</v>
      </c>
      <c r="AH27" s="36">
        <f>IF(
    AND($H27 &gt; $BN$7, Tabella01MarzoInverter[[#This Row],[Active power TX2-INV-4]] &lt;= 0, Tabella01MarzoInverter[[#This Row],[Active power TX3-INV-1]] &lt;= 0),
    MIN(($H27 / 1000) * AH$10 * $BN$4, AH$11 * 0.876) * 0.25,
    IF(
        AND($H27 &gt; $BN$7, Tabella01MarzoInverter[[#This Row],[Active power TX2-INV-4]] &lt;= 0),
        Tabella01MarzoInverter[[#This Row],[Active power TX3-INV-1]] * 0.25,
        0
    )
    +
    IF(
        $N27 &lt; 0.875,
        MAX(0, MIN(($H27 / 1000) * AH$10 * $BN$4, AH$11 * 0.876) - (AH$11 * $N27)) * 0.25,
        0
    )
)</f>
        <v>0</v>
      </c>
      <c r="AI27" s="36">
        <f>IF(
    AND($H27 &gt; $BN$7, Tabella01MarzoInverter[[#This Row],[Active power TX2-INV-5]] &lt;= 0, Tabella01MarzoInverter[[#This Row],[Active power TX3-INV-2]] &lt;= 0),
    MIN(($H27 / 1000) * AI$10 * $BN$4, AI$11 * 0.876) * 0.25,
    IF(
        AND($H27 &gt; $BN$7, Tabella01MarzoInverter[[#This Row],[Active power TX2-INV-5]] &lt;= 0),
        Tabella01MarzoInverter[[#This Row],[Active power TX3-INV-2]] * 0.25,
        0
    )
    +
    IF(
        $N27 &lt; 0.875,
        MAX(0, MIN(($H27 / 1000) * AI$10 * $BN$4, AI$11 * 0.876) - (AI$11 * $N27)) * 0.25,
        0
    )
)</f>
        <v>0</v>
      </c>
      <c r="AJ27" s="36">
        <f>IF(
    AND($H27 &gt; $BN$7, Tabella01MarzoInverter[[#This Row],[Active power TX2-INV-6]] &lt;= 0, Tabella01MarzoInverter[[#This Row],[Active power TX3-INV-3]] &lt;= 0),
    MIN(($H27 / 1000) * AJ$10 * $BN$4, AJ$11 * 0.876) * 0.25,
    IF(
        AND($H27 &gt; $BN$7, Tabella01MarzoInverter[[#This Row],[Active power TX2-INV-6]] &lt;= 0),
        Tabella01MarzoInverter[[#This Row],[Active power TX3-INV-3]] * 0.25,
        0
    )
    +
    IF(
        $N27 &lt; 0.875,
        MAX(0, MIN(($H27 / 1000) * AJ$10 * $BN$4, AJ$11 * 0.876) - (AJ$11 * $N27)) * 0.25,
        0
    )
)</f>
        <v>0</v>
      </c>
      <c r="AK27" s="36">
        <f>IF(
    AND($H27 &gt; $BN$7, Tabella01MarzoInverter[[#This Row],[Active power TX2-INV-7]] &lt;= 0, Tabella01MarzoInverter[[#This Row],[Active power TX3-INV-4]] &lt;= 0),
    MIN(($H27 / 1000) * AK$10 * $BN$4, AK$11 * 0.876) * 0.25,
    IF(
        AND($H27 &gt; $BN$7, Tabella01MarzoInverter[[#This Row],[Active power TX2-INV-7]] &lt;= 0),
        Tabella01MarzoInverter[[#This Row],[Active power TX3-INV-4]] * 0.25,
        0
    )
    +
    IF(
        $N27 &lt; 0.875,
        MAX(0, MIN(($H27 / 1000) * AK$10 * $BN$4, AK$11 * 0.876) - (AK$11 * $N27)) * 0.25,
        0
    )
)</f>
        <v>0</v>
      </c>
      <c r="AL27" s="36">
        <f>IF(
    AND($H27 &gt; $BN$7, Tabella01MarzoInverter[[#This Row],[Active power TX2-INV-8]] &lt;= 0, Tabella01MarzoInverter[[#This Row],[Active power TX3-INV-5]] &lt;= 0),
    MIN(($H27 / 1000) * AL$10 * $BN$4, AL$11 * 0.876) * 0.25,
    IF(
        AND($H27 &gt; $BN$7, Tabella01MarzoInverter[[#This Row],[Active power TX2-INV-8]] &lt;= 0),
        Tabella01MarzoInverter[[#This Row],[Active power TX3-INV-5]] * 0.25,
        0
    )
    +
    IF(
        $N27 &lt; 0.875,
        MAX(0, MIN(($H27 / 1000) * AL$10 * $BN$4, AL$11 * 0.876) - (AL$11 * $N27)) * 0.25,
        0
    )
)</f>
        <v>0</v>
      </c>
      <c r="AM27" s="36">
        <f>IF(
    AND($H27 &gt; $BN$7, Tabella01MarzoInverter[[#This Row],[Active power TX2-INV-9]] &lt;= 0, Tabella01MarzoInverter[[#This Row],[Active power TX3-INV-6]] &lt;= 0),
    MIN(($H27 / 1000) * AM$10 * $BN$4, AM$11 * 0.876) * 0.25,
    IF(
        AND($H27 &gt; $BN$7, Tabella01MarzoInverter[[#This Row],[Active power TX2-INV-9]] &lt;= 0),
        Tabella01MarzoInverter[[#This Row],[Active power TX3-INV-6]] * 0.25,
        0
    )
    +
    IF(
        $N27 &lt; 0.875,
        MAX(0, MIN(($H27 / 1000) * AM$10 * $BN$4, AM$11 * 0.876) - (AM$11 * $N27)) * 0.25,
        0
    )
)</f>
        <v>0</v>
      </c>
      <c r="AN27" s="36">
        <f>IF(
    AND($H27 &gt; $BN$7, Tabella01MarzoInverter[[#This Row],[Active power TX2-INV-10]] &lt;= 0, Tabella01MarzoInverter[[#This Row],[Active power TX3-INV-7]] &lt;= 0),
    MIN(($H27 / 1000) * AN$10 * $BN$4, AN$11 * 0.876) * 0.25,
    IF(
        AND($H27 &gt; $BN$7, Tabella01MarzoInverter[[#This Row],[Active power TX2-INV-10]] &lt;= 0),
        Tabella01MarzoInverter[[#This Row],[Active power TX3-INV-7]] * 0.25,
        0
    )
    +
    IF(
        $N27 &lt; 0.875,
        MAX(0, MIN(($H27 / 1000) * AN$10 * $BN$4, AN$11 * 0.876) - (AN$11 * $N27)) * 0.25,
        0
    )
)</f>
        <v>0</v>
      </c>
      <c r="AO27" s="36">
        <f>IF(
    AND($H27 &gt; $BN$7, Tabella01MarzoInverter[[#This Row],[Active power TX2-INV-11]] &lt;= 0, Tabella01MarzoInverter[[#This Row],[Active power TX3-INV-8]] &lt;= 0),
    MIN(($H27 / 1000) * AO$10 * $BN$4, AO$11 * 0.876) * 0.25,
    IF(
        AND($H27 &gt; $BN$7, Tabella01MarzoInverter[[#This Row],[Active power TX2-INV-11]] &lt;= 0),
        Tabella01MarzoInverter[[#This Row],[Active power TX3-INV-8]] * 0.25,
        0
    )
    +
    IF(
        $N27 &lt; 0.875,
        MAX(0, MIN(($H27 / 1000) * AO$10 * $BN$4, AO$11 * 0.876) - (AO$11 * $N27)) * 0.25,
        0
    )
)</f>
        <v>0</v>
      </c>
      <c r="AP27" s="36">
        <f>IF(
    AND($H27 &gt; $BN$7, Tabella01MarzoInverter[[#This Row],[Active power TX2-INV-12]] &lt;= 0, Tabella01MarzoInverter[[#This Row],[Active power TX3-INV-9]] &lt;= 0),
    MIN(($H27 / 1000) * AP$10 * $BN$4, AP$11 * 0.876) * 0.25,
    IF(
        AND($H27 &gt; $BN$7, Tabella01MarzoInverter[[#This Row],[Active power TX2-INV-12]] &lt;= 0),
        Tabella01MarzoInverter[[#This Row],[Active power TX3-INV-9]] * 0.25,
        0
    )
    +
    IF(
        $N27 &lt; 0.875,
        MAX(0, MIN(($H27 / 1000) * AP$10 * $BN$4, AP$11 * 0.876) - (AP$11 * $N27)) * 0.25,
        0
    )
)</f>
        <v>0</v>
      </c>
      <c r="AQ27" s="8">
        <f>AVERAGE(TabellaMar2026[[#This Row],[Colonna39]:[Colonna6]])</f>
        <v>0</v>
      </c>
      <c r="AR27" s="8">
        <f>MAX(TabellaMar2026[[#This Row],[Colonna39]:[Colonna6]])</f>
        <v>0</v>
      </c>
      <c r="AS27" s="35">
        <f>MIN(TabellaMar2026[[#This Row],[Colonna39]:[Colonna6]])</f>
        <v>0</v>
      </c>
      <c r="AT27" s="48">
        <f>SUM(TabellaMar2026[[#This Row],[Colonna39]:[Colonna6]])</f>
        <v>0</v>
      </c>
      <c r="AU27" s="36" cm="1">
        <f t="array" ref="AU27">IF(
    AND($H27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($H27 / 1000) * AU$10 * $BN$4 * 0.25
    ),
    0
)
+
IF(
    $N27 &lt; 0.875,
    MAX(0, MIN(($H27 / 1000) * AU$10 * $BN$4, AU$11 * 0.876) - (AU$11 * $N27)) * 0.25,
    0
)</f>
        <v>0</v>
      </c>
      <c r="AV27" s="36" cm="1">
        <f t="array" ref="AV27">IF(
    AND($H27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($H27 / 1000) * AV$10 * $BN$4 * 0.25
    ),
    0
)
+
IF(
    $N27 &lt; 0.875,
    MAX(0, MIN(($H27 / 1000) * AV$10 * $BN$4, AV$11 * 0.876) - (AV$11 * $N27)) * 0.25,
    0
)</f>
        <v>0</v>
      </c>
      <c r="AW27" s="36" cm="1">
        <f t="array" ref="AW27">IF(
    AND($H27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($H27 / 1000) * AW$10 * $BN$4 * 0.25
    ),
    0
)
+
IF(
    $N27 &lt; 0.875,
    MAX(0, MIN(($H27 / 1000) * AW$10 * $BN$4, AW$11 * 0.876) - (AW$11 * $N27)) * 0.25,
    0
)</f>
        <v>0</v>
      </c>
      <c r="AX27" s="36" cm="1">
        <f t="array" ref="AX27">IF(
    AND($H27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($H27 / 1000) * AX$10 * $BN$4 * 0.25
    ),
    0
)
+
IF(
    $N27 &lt; 0.875,
    MAX(0, MIN(($H27 / 1000) * AX$10 * $BN$4, AX$11 * 0.876) - (AX$11 * $N27)) * 0.25,
    0
)</f>
        <v>0</v>
      </c>
      <c r="AY27" s="36" cm="1">
        <f t="array" ref="AY27">IF(
    AND($H27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($H27 / 1000) * AY$10 * $BN$4 * 0.25
    ),
    0
)
+
IF(
    $N27 &lt; 0.875,
    MAX(0, MIN(($H27 / 1000) * AY$10 * $BN$4, AY$11 * 0.876) - (AY$11 * $N27)) * 0.25,
    0
)</f>
        <v>0</v>
      </c>
      <c r="AZ27" s="36" cm="1">
        <f t="array" ref="AZ27">IF(
    AND($H27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($H27 / 1000) * AZ$10 * $BN$4 * 0.25
    ),
    0
)
+
IF(
    $N27 &lt; 0.875,
    MAX(0, MIN(($H27 / 1000) * AZ$10 * $BN$4, AZ$11 * 0.876) - (AZ$11 * $N27)) * 0.25,
    0
)</f>
        <v>0</v>
      </c>
      <c r="BA27" s="36" cm="1">
        <f t="array" ref="BA27">IF(
    AND($H27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($H27 / 1000) * BA$10 * $BN$4 * 0.25
    ),
    0
)
+
IF(
    $N27 &lt; 0.875,
    MAX(0, MIN(($H27 / 1000) * BA$10 * $BN$4, BA$11 * 0.876) - (BA$11 * $N27)) * 0.25,
    0
)</f>
        <v>0</v>
      </c>
      <c r="BB27" s="36" cm="1">
        <f t="array" ref="BB27">IF(
    AND($H27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($H27 / 1000) * BB$10 * $BN$4 * 0.25
    ),
    0
)
+
IF(
    $N27 &lt; 0.875,
    MAX(0, MIN(($H27 / 1000) * BB$10 * $BN$4, BB$11 * 0.876) - (BB$11 * $N27)) * 0.25,
    0
)</f>
        <v>0</v>
      </c>
      <c r="BC27" s="36" cm="1">
        <f t="array" ref="BC27">IF(
    AND($H27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($H27 / 1000) * BC$10 * $BN$4 * 0.25
    ),
    0
)
+
IF(
    $N27 &lt; 0.875,
    MAX(0, MIN(($H27 / 1000) * BC$10 * $BN$4, BC$11 * 0.876) - (BC$11 * $N27)) * 0.25,
    0
)</f>
        <v>0</v>
      </c>
      <c r="BD27" s="36" cm="1">
        <f t="array" ref="BD27">IF(
    AND($H27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($H27 / 1000) * BD$10 * $BN$4 * 0.25
    ),
    0
)
+
IF(
    $N27 &lt; 0.875,
    MAX(0, MIN(($H27 / 1000) * BD$10 * $BN$4, BD$11 * 0.876) - (BD$11 * $N27)) * 0.25,
    0
)</f>
        <v>0</v>
      </c>
      <c r="BE27" s="36" cm="1">
        <f t="array" ref="BE27">IF(
    AND($H27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($H27 / 1000) * BE$10 * $BN$4 * 0.25
    ),
    0
)
+
IF(
    $N27 &lt; 0.875,
    MAX(0, MIN(($H27 / 1000) * BE$10 * $BN$4, BE$11 * 0.876) - (BE$11 * $N27)) * 0.25,
    0
)</f>
        <v>0</v>
      </c>
      <c r="BF27" s="36" cm="1">
        <f t="array" ref="BF27">IF(
    AND($H27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($H27 / 1000) * BF$10 * $BN$4 * 0.25
    ),
    0
)
+
IF(
    $N27 &lt; 0.875,
    MAX(0, MIN(($H27 / 1000) * BF$10 * $BN$4, BF$11 * 0.876) - (BF$11 * $N27)) * 0.25,
    0
)</f>
        <v>0</v>
      </c>
      <c r="BG27" s="8">
        <f>AVERAGE(TabellaMar2026[[#This Row],[Colonna55]:[Colonna53]])</f>
        <v>0</v>
      </c>
      <c r="BH27" s="8">
        <f>MAX(TabellaMar2026[[#This Row],[Colonna55]:[Colonna53]])</f>
        <v>0</v>
      </c>
      <c r="BI27" s="35">
        <f>MIN(TabellaMar2026[[#This Row],[Colonna55]:[Colonna53]])</f>
        <v>0</v>
      </c>
      <c r="BJ27" s="48">
        <f>SUM(TabellaMar2026[[#This Row],[Colonna54]:[Colonna53]])</f>
        <v>0</v>
      </c>
      <c r="BK27" s="54">
        <f>(SUM(Tabella01MarzoInverter[[Active power TX1-INV-1]:[Active power TX3-INV-12]]) * 0.25) / (12625 * (SUM($G$15:$H$110) * 0.25 / 1000))</f>
        <v>1.014229628761051</v>
      </c>
      <c r="BL27" s="5"/>
      <c r="BM27" s="5"/>
      <c r="BN27" s="8"/>
      <c r="BO27" s="8"/>
      <c r="BP27" s="19"/>
    </row>
    <row r="28" spans="1:68" s="3" customFormat="1" x14ac:dyDescent="0.25">
      <c r="A28" s="18">
        <v>46147</v>
      </c>
      <c r="B28" t="s">
        <v>28</v>
      </c>
      <c r="C28" s="5">
        <v>-0.5</v>
      </c>
      <c r="D28" s="6">
        <v>-1.25E-4</v>
      </c>
      <c r="E28" s="6">
        <v>0</v>
      </c>
      <c r="F28" s="6">
        <v>0</v>
      </c>
      <c r="G28" s="6">
        <f>IFERROR((D28+F28)/2, 0)</f>
        <v>-6.2500000000000001E-5</v>
      </c>
      <c r="H28" s="7">
        <f>IFERROR(IF(AVERAGE(C28,E28)&gt;$BN$7,AVERAGE(C28,E28),0), 0)</f>
        <v>0</v>
      </c>
      <c r="I28" s="7">
        <f>IFERROR(IF(AND(D28=0,F28=0),0,IF(H28&gt;$BN$6,MAX(D28,F28),G28)), 0)</f>
        <v>-6.2500000000000001E-5</v>
      </c>
      <c r="J28" s="6">
        <f>IFERROR(IF(AND(D28&gt;0,F28&gt;0),ABS(D28-F28)/AVERAGE(D28,F28),0), 0)</f>
        <v>0</v>
      </c>
      <c r="K28" s="6">
        <v>30386.2</v>
      </c>
      <c r="L28" s="6">
        <v>30386.2</v>
      </c>
      <c r="M28" s="8">
        <f>IFERROR((L28-K28)*1000, 0)</f>
        <v>0</v>
      </c>
      <c r="N28" s="6">
        <v>0.87599999999999989</v>
      </c>
      <c r="O28" s="8" cm="1">
        <f t="array" ref="O28">IF(
    AND($H28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($H28 / 1000) * O$10 * $BN$4 * 0.25
    ),
    0
)
+
IF(
    $N28 &lt; 0.875,
    MAX(0, MIN(($H28 / 1000) * O$10 * $BN$4, O$11 * 0.876) - (O$11 * $N28)) * 0.25,
    0
)</f>
        <v>0</v>
      </c>
      <c r="P28" s="8" cm="1">
        <f t="array" ref="P28">IF(
    AND($H28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($H28 / 1000) * P$10 * $BN$4 * 0.25
    ),
    0
)
+
IF(
    $N28 &lt; 0.875,
    MAX(0, MIN(($H28 / 1000) * P$10 * $BN$4, P$11 * 0.876) - (P$11 * $N28)) * 0.25,
    0
)</f>
        <v>0</v>
      </c>
      <c r="Q28" s="8" cm="1">
        <f t="array" ref="Q28">IF(
    AND($H28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($H28 / 1000) * Q$10 * $BN$4 * 0.25
    ),
    0
)
+
IF(
    $N28 &lt; 0.875,
    MAX(0, MIN(($H28 / 1000) * Q$10 * $BN$4, Q$11 * 0.876) - (Q$11 * $N28)) * 0.25,
    0
)</f>
        <v>0</v>
      </c>
      <c r="R28" s="8" cm="1">
        <f t="array" ref="R28">IF(
    AND($H28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($H28 / 1000) * R$10 * $BN$4 * 0.25
    ),
    0
)
+
IF(
    $N28 &lt; 0.875,
    MAX(0, MIN(($H28 / 1000) * R$10 * $BN$4, R$11 * 0.876) - (R$11 * $N28)) * 0.25,
    0
)</f>
        <v>0</v>
      </c>
      <c r="S28" s="8" cm="1">
        <f t="array" ref="S28">IF(
    AND($H28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($H28 / 1000) * S$10 * $BN$4 * 0.25
    ),
    0
)
+
IF(
    $N28 &lt; 0.875,
    MAX(0, MIN(($H28 / 1000) * S$10 * $BN$4, S$11 * 0.876) - (S$11 * $N28)) * 0.25,
    0
)</f>
        <v>0</v>
      </c>
      <c r="T28" s="8" cm="1">
        <f t="array" ref="T28">IF(
    AND($H28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($H28 / 1000) * T$10 * $BN$4 * 0.25
    ),
    0
)
+
IF(
    $N28 &lt; 0.875,
    MAX(0, MIN(($H28 / 1000) * T$10 * $BN$4, T$11 * 0.876) - (T$11 * $N28)) * 0.25,
    0
)</f>
        <v>0</v>
      </c>
      <c r="U28" s="8" cm="1">
        <f t="array" ref="U28">IF(
    AND($H28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($H28 / 1000) * U$10 * $BN$4 * 0.25
    ),
    0
)
+
IF(
    $N28 &lt; 0.875,
    MAX(0, MIN(($H28 / 1000) * U$10 * $BN$4, U$11 * 0.876) - (U$11 * $N28)) * 0.25,
    0
)</f>
        <v>0</v>
      </c>
      <c r="V28" s="8" cm="1">
        <f t="array" ref="V28">IF(
    AND($H28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($H28 / 1000) * V$10 * $BN$4 * 0.25
    ),
    0
)
+
IF(
    $N28 &lt; 0.875,
    MAX(0, MIN(($H28 / 1000) * V$10 * $BN$4, V$11 * 0.876) - (V$11 * $N28)) * 0.25,
    0
)</f>
        <v>0</v>
      </c>
      <c r="W28" s="8" cm="1">
        <f t="array" ref="W28">IF(
    AND($H28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($H28 / 1000) * W$10 * $BN$4 * 0.25
    ),
    0
)
+
IF(
    $N28 &lt; 0.875,
    MAX(0, MIN(($H28 / 1000) * W$10 * $BN$4, W$11 * 0.876) - (W$11 * $N28)) * 0.25,
    0
)</f>
        <v>0</v>
      </c>
      <c r="X28" s="8" cm="1">
        <f t="array" ref="X28">IF(
    AND($H28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($H28 / 1000) * X$10 * $BN$4 * 0.25
    ),
    0
)
+
IF(
    $N28 &lt; 0.875,
    MAX(0, MIN(($H28 / 1000) * X$10 * $BN$4, X$11 * 0.876) - (X$11 * $N28)) * 0.25,
    0
)</f>
        <v>0</v>
      </c>
      <c r="Y28" s="8" cm="1">
        <f t="array" ref="Y28">IF(
    AND($H28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($H28 / 1000) * Y$10 * $BN$4 * 0.25
    ),
    0
)
+
IF(
    $N28 &lt; 0.875,
    MAX(0, MIN(($H28 / 1000) * Y$10 * $BN$4, Y$11 * 0.876) - (Y$11 * $N28)) * 0.25,
    0
)</f>
        <v>0</v>
      </c>
      <c r="Z28" s="8" cm="1">
        <f t="array" ref="Z28">IF(
    AND($H28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($H28 / 1000) * Z$10 * $BN$4 * 0.25
    ),
    0
)
+
IF(
    $N28 &lt; 0.875,
    MAX(0, MIN(($H28 / 1000) * Z$10 * $BN$4, Z$11 * 0.876) - (Z$11 * $N28)) * 0.25,
    0
)</f>
        <v>0</v>
      </c>
      <c r="AA28" s="8">
        <f>AVERAGE(TabellaMar2026[[#This Row],[Colonna24]:[Colonna20]])</f>
        <v>0</v>
      </c>
      <c r="AB28" s="8">
        <f>MAX(TabellaMar2026[[#This Row],[Colonna24]:[Colonna20]])</f>
        <v>0</v>
      </c>
      <c r="AC28" s="35">
        <f>MIN(TabellaMar2026[[#This Row],[Colonna24]:[Colonna20]])</f>
        <v>0</v>
      </c>
      <c r="AD28" s="44">
        <f>SUM(TabellaMar2026[[#This Row],[Colonna24]:[Colonna20]])</f>
        <v>0</v>
      </c>
      <c r="AE28" s="36">
        <f>IF(
    AND($H28 &gt; $BN$7, Tabella01MarzoInverter[[#This Row],[Active power TX2-INV-1]] &lt;= 0, Tabella01MarzoInverter[[#This Row],[TX2 - Average Power]] &lt;= 0),
    MIN(($H28 / 1000) * AE$10 * $BN$4, AE$11 * 0.876) * 0.25,
    IF(
        AND($H28 &gt; $BN$7, Tabella01MarzoInverter[[#This Row],[Active power TX2-INV-1]] &lt;= 0),
        Tabella01MarzoInverter[[#This Row],[TX2 - Average Power]] * 0.25,
        0
    )
    +
    IF(
        $N28 &lt; 0.875,
        MAX(0, MIN(($H28 / 1000) * AE$10 * $BN$4, AE$11 * 0.876) - (AE$11 * $N28)) * 0.25,
        0
    )
)</f>
        <v>0</v>
      </c>
      <c r="AF28" s="36">
        <f>IF(
    AND($H28 &gt; $BN$7, Tabella01MarzoInverter[[#This Row],[Active power TX2-INV-2]] &lt;= 0, Tabella01MarzoInverter[[#This Row],[TX2 - Max Power]] &lt;= 0),
    MIN(($H28 / 1000) * AF$10 * $BN$4, AF$11 * 0.876) * 0.25,
    IF(
        AND($H28 &gt; $BN$7, Tabella01MarzoInverter[[#This Row],[Active power TX2-INV-2]] &lt;= 0),
        Tabella01MarzoInverter[[#This Row],[TX2 - Max Power]] * 0.25,
        0
    )
    +
    IF(
        $N28 &lt; 0.875,
        MAX(0, MIN(($H28 / 1000) * AF$10 * $BN$4, AF$11 * 0.876) - (AF$11 * $N28)) * 0.25,
        0
    )
)</f>
        <v>0</v>
      </c>
      <c r="AG28" s="36">
        <f>IF(
    AND($H28 &gt; $BN$7, Tabella01MarzoInverter[[#This Row],[Active power TX2-INV-3]] &lt;= 0, Tabella01MarzoInverter[[#This Row],[TX2 - Min Power]] &lt;= 0),
    MIN(($H28 / 1000) * AG$10 * $BN$4, AG$11 * 0.876) * 0.25,
    IF(
        AND($H28 &gt; $BN$7, Tabella01MarzoInverter[[#This Row],[Active power TX2-INV-3]] &lt;= 0),
        Tabella01MarzoInverter[[#This Row],[TX2 - Min Power]] * 0.25,
        0
    )
    +
    IF(
        $N28 &lt; 0.875,
        MAX(0, MIN(($H28 / 1000) * AG$10 * $BN$4, AG$11 * 0.876) - (AG$11 * $N28)) * 0.25,
        0
    )
)</f>
        <v>0</v>
      </c>
      <c r="AH28" s="36">
        <f>IF(
    AND($H28 &gt; $BN$7, Tabella01MarzoInverter[[#This Row],[Active power TX2-INV-4]] &lt;= 0, Tabella01MarzoInverter[[#This Row],[Active power TX3-INV-1]] &lt;= 0),
    MIN(($H28 / 1000) * AH$10 * $BN$4, AH$11 * 0.876) * 0.25,
    IF(
        AND($H28 &gt; $BN$7, Tabella01MarzoInverter[[#This Row],[Active power TX2-INV-4]] &lt;= 0),
        Tabella01MarzoInverter[[#This Row],[Active power TX3-INV-1]] * 0.25,
        0
    )
    +
    IF(
        $N28 &lt; 0.875,
        MAX(0, MIN(($H28 / 1000) * AH$10 * $BN$4, AH$11 * 0.876) - (AH$11 * $N28)) * 0.25,
        0
    )
)</f>
        <v>0</v>
      </c>
      <c r="AI28" s="36">
        <f>IF(
    AND($H28 &gt; $BN$7, Tabella01MarzoInverter[[#This Row],[Active power TX2-INV-5]] &lt;= 0, Tabella01MarzoInverter[[#This Row],[Active power TX3-INV-2]] &lt;= 0),
    MIN(($H28 / 1000) * AI$10 * $BN$4, AI$11 * 0.876) * 0.25,
    IF(
        AND($H28 &gt; $BN$7, Tabella01MarzoInverter[[#This Row],[Active power TX2-INV-5]] &lt;= 0),
        Tabella01MarzoInverter[[#This Row],[Active power TX3-INV-2]] * 0.25,
        0
    )
    +
    IF(
        $N28 &lt; 0.875,
        MAX(0, MIN(($H28 / 1000) * AI$10 * $BN$4, AI$11 * 0.876) - (AI$11 * $N28)) * 0.25,
        0
    )
)</f>
        <v>0</v>
      </c>
      <c r="AJ28" s="36">
        <f>IF(
    AND($H28 &gt; $BN$7, Tabella01MarzoInverter[[#This Row],[Active power TX2-INV-6]] &lt;= 0, Tabella01MarzoInverter[[#This Row],[Active power TX3-INV-3]] &lt;= 0),
    MIN(($H28 / 1000) * AJ$10 * $BN$4, AJ$11 * 0.876) * 0.25,
    IF(
        AND($H28 &gt; $BN$7, Tabella01MarzoInverter[[#This Row],[Active power TX2-INV-6]] &lt;= 0),
        Tabella01MarzoInverter[[#This Row],[Active power TX3-INV-3]] * 0.25,
        0
    )
    +
    IF(
        $N28 &lt; 0.875,
        MAX(0, MIN(($H28 / 1000) * AJ$10 * $BN$4, AJ$11 * 0.876) - (AJ$11 * $N28)) * 0.25,
        0
    )
)</f>
        <v>0</v>
      </c>
      <c r="AK28" s="36">
        <f>IF(
    AND($H28 &gt; $BN$7, Tabella01MarzoInverter[[#This Row],[Active power TX2-INV-7]] &lt;= 0, Tabella01MarzoInverter[[#This Row],[Active power TX3-INV-4]] &lt;= 0),
    MIN(($H28 / 1000) * AK$10 * $BN$4, AK$11 * 0.876) * 0.25,
    IF(
        AND($H28 &gt; $BN$7, Tabella01MarzoInverter[[#This Row],[Active power TX2-INV-7]] &lt;= 0),
        Tabella01MarzoInverter[[#This Row],[Active power TX3-INV-4]] * 0.25,
        0
    )
    +
    IF(
        $N28 &lt; 0.875,
        MAX(0, MIN(($H28 / 1000) * AK$10 * $BN$4, AK$11 * 0.876) - (AK$11 * $N28)) * 0.25,
        0
    )
)</f>
        <v>0</v>
      </c>
      <c r="AL28" s="36">
        <f>IF(
    AND($H28 &gt; $BN$7, Tabella01MarzoInverter[[#This Row],[Active power TX2-INV-8]] &lt;= 0, Tabella01MarzoInverter[[#This Row],[Active power TX3-INV-5]] &lt;= 0),
    MIN(($H28 / 1000) * AL$10 * $BN$4, AL$11 * 0.876) * 0.25,
    IF(
        AND($H28 &gt; $BN$7, Tabella01MarzoInverter[[#This Row],[Active power TX2-INV-8]] &lt;= 0),
        Tabella01MarzoInverter[[#This Row],[Active power TX3-INV-5]] * 0.25,
        0
    )
    +
    IF(
        $N28 &lt; 0.875,
        MAX(0, MIN(($H28 / 1000) * AL$10 * $BN$4, AL$11 * 0.876) - (AL$11 * $N28)) * 0.25,
        0
    )
)</f>
        <v>0</v>
      </c>
      <c r="AM28" s="36">
        <f>IF(
    AND($H28 &gt; $BN$7, Tabella01MarzoInverter[[#This Row],[Active power TX2-INV-9]] &lt;= 0, Tabella01MarzoInverter[[#This Row],[Active power TX3-INV-6]] &lt;= 0),
    MIN(($H28 / 1000) * AM$10 * $BN$4, AM$11 * 0.876) * 0.25,
    IF(
        AND($H28 &gt; $BN$7, Tabella01MarzoInverter[[#This Row],[Active power TX2-INV-9]] &lt;= 0),
        Tabella01MarzoInverter[[#This Row],[Active power TX3-INV-6]] * 0.25,
        0
    )
    +
    IF(
        $N28 &lt; 0.875,
        MAX(0, MIN(($H28 / 1000) * AM$10 * $BN$4, AM$11 * 0.876) - (AM$11 * $N28)) * 0.25,
        0
    )
)</f>
        <v>0</v>
      </c>
      <c r="AN28" s="36">
        <f>IF(
    AND($H28 &gt; $BN$7, Tabella01MarzoInverter[[#This Row],[Active power TX2-INV-10]] &lt;= 0, Tabella01MarzoInverter[[#This Row],[Active power TX3-INV-7]] &lt;= 0),
    MIN(($H28 / 1000) * AN$10 * $BN$4, AN$11 * 0.876) * 0.25,
    IF(
        AND($H28 &gt; $BN$7, Tabella01MarzoInverter[[#This Row],[Active power TX2-INV-10]] &lt;= 0),
        Tabella01MarzoInverter[[#This Row],[Active power TX3-INV-7]] * 0.25,
        0
    )
    +
    IF(
        $N28 &lt; 0.875,
        MAX(0, MIN(($H28 / 1000) * AN$10 * $BN$4, AN$11 * 0.876) - (AN$11 * $N28)) * 0.25,
        0
    )
)</f>
        <v>0</v>
      </c>
      <c r="AO28" s="36">
        <f>IF(
    AND($H28 &gt; $BN$7, Tabella01MarzoInverter[[#This Row],[Active power TX2-INV-11]] &lt;= 0, Tabella01MarzoInverter[[#This Row],[Active power TX3-INV-8]] &lt;= 0),
    MIN(($H28 / 1000) * AO$10 * $BN$4, AO$11 * 0.876) * 0.25,
    IF(
        AND($H28 &gt; $BN$7, Tabella01MarzoInverter[[#This Row],[Active power TX2-INV-11]] &lt;= 0),
        Tabella01MarzoInverter[[#This Row],[Active power TX3-INV-8]] * 0.25,
        0
    )
    +
    IF(
        $N28 &lt; 0.875,
        MAX(0, MIN(($H28 / 1000) * AO$10 * $BN$4, AO$11 * 0.876) - (AO$11 * $N28)) * 0.25,
        0
    )
)</f>
        <v>0</v>
      </c>
      <c r="AP28" s="36">
        <f>IF(
    AND($H28 &gt; $BN$7, Tabella01MarzoInverter[[#This Row],[Active power TX2-INV-12]] &lt;= 0, Tabella01MarzoInverter[[#This Row],[Active power TX3-INV-9]] &lt;= 0),
    MIN(($H28 / 1000) * AP$10 * $BN$4, AP$11 * 0.876) * 0.25,
    IF(
        AND($H28 &gt; $BN$7, Tabella01MarzoInverter[[#This Row],[Active power TX2-INV-12]] &lt;= 0),
        Tabella01MarzoInverter[[#This Row],[Active power TX3-INV-9]] * 0.25,
        0
    )
    +
    IF(
        $N28 &lt; 0.875,
        MAX(0, MIN(($H28 / 1000) * AP$10 * $BN$4, AP$11 * 0.876) - (AP$11 * $N28)) * 0.25,
        0
    )
)</f>
        <v>0</v>
      </c>
      <c r="AQ28" s="8">
        <f>AVERAGE(TabellaMar2026[[#This Row],[Colonna39]:[Colonna6]])</f>
        <v>0</v>
      </c>
      <c r="AR28" s="8">
        <f>MAX(TabellaMar2026[[#This Row],[Colonna39]:[Colonna6]])</f>
        <v>0</v>
      </c>
      <c r="AS28" s="35">
        <f>MIN(TabellaMar2026[[#This Row],[Colonna39]:[Colonna6]])</f>
        <v>0</v>
      </c>
      <c r="AT28" s="48">
        <f>SUM(TabellaMar2026[[#This Row],[Colonna39]:[Colonna6]])</f>
        <v>0</v>
      </c>
      <c r="AU28" s="36" cm="1">
        <f t="array" ref="AU28">IF(
    AND($H28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($H28 / 1000) * AU$10 * $BN$4 * 0.25
    ),
    0
)
+
IF(
    $N28 &lt; 0.875,
    MAX(0, MIN(($H28 / 1000) * AU$10 * $BN$4, AU$11 * 0.876) - (AU$11 * $N28)) * 0.25,
    0
)</f>
        <v>0</v>
      </c>
      <c r="AV28" s="36" cm="1">
        <f t="array" ref="AV28">IF(
    AND($H28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($H28 / 1000) * AV$10 * $BN$4 * 0.25
    ),
    0
)
+
IF(
    $N28 &lt; 0.875,
    MAX(0, MIN(($H28 / 1000) * AV$10 * $BN$4, AV$11 * 0.876) - (AV$11 * $N28)) * 0.25,
    0
)</f>
        <v>0</v>
      </c>
      <c r="AW28" s="36" cm="1">
        <f t="array" ref="AW28">IF(
    AND($H28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($H28 / 1000) * AW$10 * $BN$4 * 0.25
    ),
    0
)
+
IF(
    $N28 &lt; 0.875,
    MAX(0, MIN(($H28 / 1000) * AW$10 * $BN$4, AW$11 * 0.876) - (AW$11 * $N28)) * 0.25,
    0
)</f>
        <v>0</v>
      </c>
      <c r="AX28" s="36" cm="1">
        <f t="array" ref="AX28">IF(
    AND($H28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($H28 / 1000) * AX$10 * $BN$4 * 0.25
    ),
    0
)
+
IF(
    $N28 &lt; 0.875,
    MAX(0, MIN(($H28 / 1000) * AX$10 * $BN$4, AX$11 * 0.876) - (AX$11 * $N28)) * 0.25,
    0
)</f>
        <v>0</v>
      </c>
      <c r="AY28" s="36" cm="1">
        <f t="array" ref="AY28">IF(
    AND($H28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($H28 / 1000) * AY$10 * $BN$4 * 0.25
    ),
    0
)
+
IF(
    $N28 &lt; 0.875,
    MAX(0, MIN(($H28 / 1000) * AY$10 * $BN$4, AY$11 * 0.876) - (AY$11 * $N28)) * 0.25,
    0
)</f>
        <v>0</v>
      </c>
      <c r="AZ28" s="36" cm="1">
        <f t="array" ref="AZ28">IF(
    AND($H28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($H28 / 1000) * AZ$10 * $BN$4 * 0.25
    ),
    0
)
+
IF(
    $N28 &lt; 0.875,
    MAX(0, MIN(($H28 / 1000) * AZ$10 * $BN$4, AZ$11 * 0.876) - (AZ$11 * $N28)) * 0.25,
    0
)</f>
        <v>0</v>
      </c>
      <c r="BA28" s="36" cm="1">
        <f t="array" ref="BA28">IF(
    AND($H28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($H28 / 1000) * BA$10 * $BN$4 * 0.25
    ),
    0
)
+
IF(
    $N28 &lt; 0.875,
    MAX(0, MIN(($H28 / 1000) * BA$10 * $BN$4, BA$11 * 0.876) - (BA$11 * $N28)) * 0.25,
    0
)</f>
        <v>0</v>
      </c>
      <c r="BB28" s="36" cm="1">
        <f t="array" ref="BB28">IF(
    AND($H28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($H28 / 1000) * BB$10 * $BN$4 * 0.25
    ),
    0
)
+
IF(
    $N28 &lt; 0.875,
    MAX(0, MIN(($H28 / 1000) * BB$10 * $BN$4, BB$11 * 0.876) - (BB$11 * $N28)) * 0.25,
    0
)</f>
        <v>0</v>
      </c>
      <c r="BC28" s="36" cm="1">
        <f t="array" ref="BC28">IF(
    AND($H28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($H28 / 1000) * BC$10 * $BN$4 * 0.25
    ),
    0
)
+
IF(
    $N28 &lt; 0.875,
    MAX(0, MIN(($H28 / 1000) * BC$10 * $BN$4, BC$11 * 0.876) - (BC$11 * $N28)) * 0.25,
    0
)</f>
        <v>0</v>
      </c>
      <c r="BD28" s="36" cm="1">
        <f t="array" ref="BD28">IF(
    AND($H28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($H28 / 1000) * BD$10 * $BN$4 * 0.25
    ),
    0
)
+
IF(
    $N28 &lt; 0.875,
    MAX(0, MIN(($H28 / 1000) * BD$10 * $BN$4, BD$11 * 0.876) - (BD$11 * $N28)) * 0.25,
    0
)</f>
        <v>0</v>
      </c>
      <c r="BE28" s="36" cm="1">
        <f t="array" ref="BE28">IF(
    AND($H28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($H28 / 1000) * BE$10 * $BN$4 * 0.25
    ),
    0
)
+
IF(
    $N28 &lt; 0.875,
    MAX(0, MIN(($H28 / 1000) * BE$10 * $BN$4, BE$11 * 0.876) - (BE$11 * $N28)) * 0.25,
    0
)</f>
        <v>0</v>
      </c>
      <c r="BF28" s="36" cm="1">
        <f t="array" ref="BF28">IF(
    AND($H28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($H28 / 1000) * BF$10 * $BN$4 * 0.25
    ),
    0
)
+
IF(
    $N28 &lt; 0.875,
    MAX(0, MIN(($H28 / 1000) * BF$10 * $BN$4, BF$11 * 0.876) - (BF$11 * $N28)) * 0.25,
    0
)</f>
        <v>0</v>
      </c>
      <c r="BG28" s="8">
        <f>AVERAGE(TabellaMar2026[[#This Row],[Colonna55]:[Colonna53]])</f>
        <v>0</v>
      </c>
      <c r="BH28" s="8">
        <f>MAX(TabellaMar2026[[#This Row],[Colonna55]:[Colonna53]])</f>
        <v>0</v>
      </c>
      <c r="BI28" s="35">
        <f>MIN(TabellaMar2026[[#This Row],[Colonna55]:[Colonna53]])</f>
        <v>0</v>
      </c>
      <c r="BJ28" s="48">
        <f>SUM(TabellaMar2026[[#This Row],[Colonna54]:[Colonna53]])</f>
        <v>0</v>
      </c>
      <c r="BK28" s="54">
        <f>(SUM(Tabella01MarzoInverter[[Active power TX1-INV-1]:[Active power TX3-INV-12]]) * 0.25) / (12625 * (SUM($G$15:$H$110) * 0.25 / 1000))</f>
        <v>1.014229628761051</v>
      </c>
      <c r="BL28" s="5"/>
      <c r="BM28" s="5"/>
      <c r="BN28" s="8"/>
      <c r="BO28" s="8"/>
      <c r="BP28" s="19"/>
    </row>
    <row r="29" spans="1:68" s="3" customFormat="1" x14ac:dyDescent="0.25">
      <c r="A29" s="18">
        <v>46147</v>
      </c>
      <c r="B29" t="s">
        <v>29</v>
      </c>
      <c r="C29" s="5">
        <v>-1</v>
      </c>
      <c r="D29" s="6">
        <v>-2.5000000000000001E-4</v>
      </c>
      <c r="E29" s="6">
        <v>-0.6</v>
      </c>
      <c r="F29" s="6">
        <v>-1.4999999999999999E-4</v>
      </c>
      <c r="G29" s="6">
        <f>IFERROR((D29+F29)/2, 0)</f>
        <v>-1.9999999999999998E-4</v>
      </c>
      <c r="H29" s="7">
        <f>IFERROR(IF(AVERAGE(C29,E29)&gt;$BN$7,AVERAGE(C29,E29),0), 0)</f>
        <v>0</v>
      </c>
      <c r="I29" s="7">
        <f>IFERROR(IF(AND(D29=0,F29=0),0,IF(H29&gt;$BN$6,MAX(D29,F29),G29)), 0)</f>
        <v>-1.9999999999999998E-4</v>
      </c>
      <c r="J29" s="6">
        <f>IFERROR(IF(AND(D29&gt;0,F29&gt;0),ABS(D29-F29)/AVERAGE(D29,F29),0), 0)</f>
        <v>0</v>
      </c>
      <c r="K29" s="6">
        <v>30386.2</v>
      </c>
      <c r="L29" s="6">
        <v>30386.2</v>
      </c>
      <c r="M29" s="8">
        <f>IFERROR((L29-K29)*1000, 0)</f>
        <v>0</v>
      </c>
      <c r="N29" s="6">
        <v>0.87599999999999989</v>
      </c>
      <c r="O29" s="8" cm="1">
        <f t="array" ref="O29">IF(
    AND($H29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($H29 / 1000) * O$10 * $BN$4 * 0.25
    ),
    0
)
+
IF(
    $N29 &lt; 0.875,
    MAX(0, MIN(($H29 / 1000) * O$10 * $BN$4, O$11 * 0.876) - (O$11 * $N29)) * 0.25,
    0
)</f>
        <v>0</v>
      </c>
      <c r="P29" s="8" cm="1">
        <f t="array" ref="P29">IF(
    AND($H29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($H29 / 1000) * P$10 * $BN$4 * 0.25
    ),
    0
)
+
IF(
    $N29 &lt; 0.875,
    MAX(0, MIN(($H29 / 1000) * P$10 * $BN$4, P$11 * 0.876) - (P$11 * $N29)) * 0.25,
    0
)</f>
        <v>0</v>
      </c>
      <c r="Q29" s="8" cm="1">
        <f t="array" ref="Q29">IF(
    AND($H29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($H29 / 1000) * Q$10 * $BN$4 * 0.25
    ),
    0
)
+
IF(
    $N29 &lt; 0.875,
    MAX(0, MIN(($H29 / 1000) * Q$10 * $BN$4, Q$11 * 0.876) - (Q$11 * $N29)) * 0.25,
    0
)</f>
        <v>0</v>
      </c>
      <c r="R29" s="8" cm="1">
        <f t="array" ref="R29">IF(
    AND($H29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($H29 / 1000) * R$10 * $BN$4 * 0.25
    ),
    0
)
+
IF(
    $N29 &lt; 0.875,
    MAX(0, MIN(($H29 / 1000) * R$10 * $BN$4, R$11 * 0.876) - (R$11 * $N29)) * 0.25,
    0
)</f>
        <v>0</v>
      </c>
      <c r="S29" s="8" cm="1">
        <f t="array" ref="S29">IF(
    AND($H29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($H29 / 1000) * S$10 * $BN$4 * 0.25
    ),
    0
)
+
IF(
    $N29 &lt; 0.875,
    MAX(0, MIN(($H29 / 1000) * S$10 * $BN$4, S$11 * 0.876) - (S$11 * $N29)) * 0.25,
    0
)</f>
        <v>0</v>
      </c>
      <c r="T29" s="8" cm="1">
        <f t="array" ref="T29">IF(
    AND($H29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($H29 / 1000) * T$10 * $BN$4 * 0.25
    ),
    0
)
+
IF(
    $N29 &lt; 0.875,
    MAX(0, MIN(($H29 / 1000) * T$10 * $BN$4, T$11 * 0.876) - (T$11 * $N29)) * 0.25,
    0
)</f>
        <v>0</v>
      </c>
      <c r="U29" s="8" cm="1">
        <f t="array" ref="U29">IF(
    AND($H29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($H29 / 1000) * U$10 * $BN$4 * 0.25
    ),
    0
)
+
IF(
    $N29 &lt; 0.875,
    MAX(0, MIN(($H29 / 1000) * U$10 * $BN$4, U$11 * 0.876) - (U$11 * $N29)) * 0.25,
    0
)</f>
        <v>0</v>
      </c>
      <c r="V29" s="8" cm="1">
        <f t="array" ref="V29">IF(
    AND($H29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($H29 / 1000) * V$10 * $BN$4 * 0.25
    ),
    0
)
+
IF(
    $N29 &lt; 0.875,
    MAX(0, MIN(($H29 / 1000) * V$10 * $BN$4, V$11 * 0.876) - (V$11 * $N29)) * 0.25,
    0
)</f>
        <v>0</v>
      </c>
      <c r="W29" s="8" cm="1">
        <f t="array" ref="W29">IF(
    AND($H29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($H29 / 1000) * W$10 * $BN$4 * 0.25
    ),
    0
)
+
IF(
    $N29 &lt; 0.875,
    MAX(0, MIN(($H29 / 1000) * W$10 * $BN$4, W$11 * 0.876) - (W$11 * $N29)) * 0.25,
    0
)</f>
        <v>0</v>
      </c>
      <c r="X29" s="8" cm="1">
        <f t="array" ref="X29">IF(
    AND($H29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($H29 / 1000) * X$10 * $BN$4 * 0.25
    ),
    0
)
+
IF(
    $N29 &lt; 0.875,
    MAX(0, MIN(($H29 / 1000) * X$10 * $BN$4, X$11 * 0.876) - (X$11 * $N29)) * 0.25,
    0
)</f>
        <v>0</v>
      </c>
      <c r="Y29" s="8" cm="1">
        <f t="array" ref="Y29">IF(
    AND($H29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($H29 / 1000) * Y$10 * $BN$4 * 0.25
    ),
    0
)
+
IF(
    $N29 &lt; 0.875,
    MAX(0, MIN(($H29 / 1000) * Y$10 * $BN$4, Y$11 * 0.876) - (Y$11 * $N29)) * 0.25,
    0
)</f>
        <v>0</v>
      </c>
      <c r="Z29" s="8" cm="1">
        <f t="array" ref="Z29">IF(
    AND($H29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($H29 / 1000) * Z$10 * $BN$4 * 0.25
    ),
    0
)
+
IF(
    $N29 &lt; 0.875,
    MAX(0, MIN(($H29 / 1000) * Z$10 * $BN$4, Z$11 * 0.876) - (Z$11 * $N29)) * 0.25,
    0
)</f>
        <v>0</v>
      </c>
      <c r="AA29" s="8">
        <f>AVERAGE(TabellaMar2026[[#This Row],[Colonna24]:[Colonna20]])</f>
        <v>0</v>
      </c>
      <c r="AB29" s="8">
        <f>MAX(TabellaMar2026[[#This Row],[Colonna24]:[Colonna20]])</f>
        <v>0</v>
      </c>
      <c r="AC29" s="35">
        <f>MIN(TabellaMar2026[[#This Row],[Colonna24]:[Colonna20]])</f>
        <v>0</v>
      </c>
      <c r="AD29" s="44">
        <f>SUM(TabellaMar2026[[#This Row],[Colonna24]:[Colonna20]])</f>
        <v>0</v>
      </c>
      <c r="AE29" s="36">
        <f>IF(
    AND($H29 &gt; $BN$7, Tabella01MarzoInverter[[#This Row],[Active power TX2-INV-1]] &lt;= 0, Tabella01MarzoInverter[[#This Row],[TX2 - Average Power]] &lt;= 0),
    MIN(($H29 / 1000) * AE$10 * $BN$4, AE$11 * 0.876) * 0.25,
    IF(
        AND($H29 &gt; $BN$7, Tabella01MarzoInverter[[#This Row],[Active power TX2-INV-1]] &lt;= 0),
        Tabella01MarzoInverter[[#This Row],[TX2 - Average Power]] * 0.25,
        0
    )
    +
    IF(
        $N29 &lt; 0.875,
        MAX(0, MIN(($H29 / 1000) * AE$10 * $BN$4, AE$11 * 0.876) - (AE$11 * $N29)) * 0.25,
        0
    )
)</f>
        <v>0</v>
      </c>
      <c r="AF29" s="36">
        <f>IF(
    AND($H29 &gt; $BN$7, Tabella01MarzoInverter[[#This Row],[Active power TX2-INV-2]] &lt;= 0, Tabella01MarzoInverter[[#This Row],[TX2 - Max Power]] &lt;= 0),
    MIN(($H29 / 1000) * AF$10 * $BN$4, AF$11 * 0.876) * 0.25,
    IF(
        AND($H29 &gt; $BN$7, Tabella01MarzoInverter[[#This Row],[Active power TX2-INV-2]] &lt;= 0),
        Tabella01MarzoInverter[[#This Row],[TX2 - Max Power]] * 0.25,
        0
    )
    +
    IF(
        $N29 &lt; 0.875,
        MAX(0, MIN(($H29 / 1000) * AF$10 * $BN$4, AF$11 * 0.876) - (AF$11 * $N29)) * 0.25,
        0
    )
)</f>
        <v>0</v>
      </c>
      <c r="AG29" s="36">
        <f>IF(
    AND($H29 &gt; $BN$7, Tabella01MarzoInverter[[#This Row],[Active power TX2-INV-3]] &lt;= 0, Tabella01MarzoInverter[[#This Row],[TX2 - Min Power]] &lt;= 0),
    MIN(($H29 / 1000) * AG$10 * $BN$4, AG$11 * 0.876) * 0.25,
    IF(
        AND($H29 &gt; $BN$7, Tabella01MarzoInverter[[#This Row],[Active power TX2-INV-3]] &lt;= 0),
        Tabella01MarzoInverter[[#This Row],[TX2 - Min Power]] * 0.25,
        0
    )
    +
    IF(
        $N29 &lt; 0.875,
        MAX(0, MIN(($H29 / 1000) * AG$10 * $BN$4, AG$11 * 0.876) - (AG$11 * $N29)) * 0.25,
        0
    )
)</f>
        <v>0</v>
      </c>
      <c r="AH29" s="36">
        <f>IF(
    AND($H29 &gt; $BN$7, Tabella01MarzoInverter[[#This Row],[Active power TX2-INV-4]] &lt;= 0, Tabella01MarzoInverter[[#This Row],[Active power TX3-INV-1]] &lt;= 0),
    MIN(($H29 / 1000) * AH$10 * $BN$4, AH$11 * 0.876) * 0.25,
    IF(
        AND($H29 &gt; $BN$7, Tabella01MarzoInverter[[#This Row],[Active power TX2-INV-4]] &lt;= 0),
        Tabella01MarzoInverter[[#This Row],[Active power TX3-INV-1]] * 0.25,
        0
    )
    +
    IF(
        $N29 &lt; 0.875,
        MAX(0, MIN(($H29 / 1000) * AH$10 * $BN$4, AH$11 * 0.876) - (AH$11 * $N29)) * 0.25,
        0
    )
)</f>
        <v>0</v>
      </c>
      <c r="AI29" s="36">
        <f>IF(
    AND($H29 &gt; $BN$7, Tabella01MarzoInverter[[#This Row],[Active power TX2-INV-5]] &lt;= 0, Tabella01MarzoInverter[[#This Row],[Active power TX3-INV-2]] &lt;= 0),
    MIN(($H29 / 1000) * AI$10 * $BN$4, AI$11 * 0.876) * 0.25,
    IF(
        AND($H29 &gt; $BN$7, Tabella01MarzoInverter[[#This Row],[Active power TX2-INV-5]] &lt;= 0),
        Tabella01MarzoInverter[[#This Row],[Active power TX3-INV-2]] * 0.25,
        0
    )
    +
    IF(
        $N29 &lt; 0.875,
        MAX(0, MIN(($H29 / 1000) * AI$10 * $BN$4, AI$11 * 0.876) - (AI$11 * $N29)) * 0.25,
        0
    )
)</f>
        <v>0</v>
      </c>
      <c r="AJ29" s="36">
        <f>IF(
    AND($H29 &gt; $BN$7, Tabella01MarzoInverter[[#This Row],[Active power TX2-INV-6]] &lt;= 0, Tabella01MarzoInverter[[#This Row],[Active power TX3-INV-3]] &lt;= 0),
    MIN(($H29 / 1000) * AJ$10 * $BN$4, AJ$11 * 0.876) * 0.25,
    IF(
        AND($H29 &gt; $BN$7, Tabella01MarzoInverter[[#This Row],[Active power TX2-INV-6]] &lt;= 0),
        Tabella01MarzoInverter[[#This Row],[Active power TX3-INV-3]] * 0.25,
        0
    )
    +
    IF(
        $N29 &lt; 0.875,
        MAX(0, MIN(($H29 / 1000) * AJ$10 * $BN$4, AJ$11 * 0.876) - (AJ$11 * $N29)) * 0.25,
        0
    )
)</f>
        <v>0</v>
      </c>
      <c r="AK29" s="36">
        <f>IF(
    AND($H29 &gt; $BN$7, Tabella01MarzoInverter[[#This Row],[Active power TX2-INV-7]] &lt;= 0, Tabella01MarzoInverter[[#This Row],[Active power TX3-INV-4]] &lt;= 0),
    MIN(($H29 / 1000) * AK$10 * $BN$4, AK$11 * 0.876) * 0.25,
    IF(
        AND($H29 &gt; $BN$7, Tabella01MarzoInverter[[#This Row],[Active power TX2-INV-7]] &lt;= 0),
        Tabella01MarzoInverter[[#This Row],[Active power TX3-INV-4]] * 0.25,
        0
    )
    +
    IF(
        $N29 &lt; 0.875,
        MAX(0, MIN(($H29 / 1000) * AK$10 * $BN$4, AK$11 * 0.876) - (AK$11 * $N29)) * 0.25,
        0
    )
)</f>
        <v>0</v>
      </c>
      <c r="AL29" s="36">
        <f>IF(
    AND($H29 &gt; $BN$7, Tabella01MarzoInverter[[#This Row],[Active power TX2-INV-8]] &lt;= 0, Tabella01MarzoInverter[[#This Row],[Active power TX3-INV-5]] &lt;= 0),
    MIN(($H29 / 1000) * AL$10 * $BN$4, AL$11 * 0.876) * 0.25,
    IF(
        AND($H29 &gt; $BN$7, Tabella01MarzoInverter[[#This Row],[Active power TX2-INV-8]] &lt;= 0),
        Tabella01MarzoInverter[[#This Row],[Active power TX3-INV-5]] * 0.25,
        0
    )
    +
    IF(
        $N29 &lt; 0.875,
        MAX(0, MIN(($H29 / 1000) * AL$10 * $BN$4, AL$11 * 0.876) - (AL$11 * $N29)) * 0.25,
        0
    )
)</f>
        <v>0</v>
      </c>
      <c r="AM29" s="36">
        <f>IF(
    AND($H29 &gt; $BN$7, Tabella01MarzoInverter[[#This Row],[Active power TX2-INV-9]] &lt;= 0, Tabella01MarzoInverter[[#This Row],[Active power TX3-INV-6]] &lt;= 0),
    MIN(($H29 / 1000) * AM$10 * $BN$4, AM$11 * 0.876) * 0.25,
    IF(
        AND($H29 &gt; $BN$7, Tabella01MarzoInverter[[#This Row],[Active power TX2-INV-9]] &lt;= 0),
        Tabella01MarzoInverter[[#This Row],[Active power TX3-INV-6]] * 0.25,
        0
    )
    +
    IF(
        $N29 &lt; 0.875,
        MAX(0, MIN(($H29 / 1000) * AM$10 * $BN$4, AM$11 * 0.876) - (AM$11 * $N29)) * 0.25,
        0
    )
)</f>
        <v>0</v>
      </c>
      <c r="AN29" s="36">
        <f>IF(
    AND($H29 &gt; $BN$7, Tabella01MarzoInverter[[#This Row],[Active power TX2-INV-10]] &lt;= 0, Tabella01MarzoInverter[[#This Row],[Active power TX3-INV-7]] &lt;= 0),
    MIN(($H29 / 1000) * AN$10 * $BN$4, AN$11 * 0.876) * 0.25,
    IF(
        AND($H29 &gt; $BN$7, Tabella01MarzoInverter[[#This Row],[Active power TX2-INV-10]] &lt;= 0),
        Tabella01MarzoInverter[[#This Row],[Active power TX3-INV-7]] * 0.25,
        0
    )
    +
    IF(
        $N29 &lt; 0.875,
        MAX(0, MIN(($H29 / 1000) * AN$10 * $BN$4, AN$11 * 0.876) - (AN$11 * $N29)) * 0.25,
        0
    )
)</f>
        <v>0</v>
      </c>
      <c r="AO29" s="36">
        <f>IF(
    AND($H29 &gt; $BN$7, Tabella01MarzoInverter[[#This Row],[Active power TX2-INV-11]] &lt;= 0, Tabella01MarzoInverter[[#This Row],[Active power TX3-INV-8]] &lt;= 0),
    MIN(($H29 / 1000) * AO$10 * $BN$4, AO$11 * 0.876) * 0.25,
    IF(
        AND($H29 &gt; $BN$7, Tabella01MarzoInverter[[#This Row],[Active power TX2-INV-11]] &lt;= 0),
        Tabella01MarzoInverter[[#This Row],[Active power TX3-INV-8]] * 0.25,
        0
    )
    +
    IF(
        $N29 &lt; 0.875,
        MAX(0, MIN(($H29 / 1000) * AO$10 * $BN$4, AO$11 * 0.876) - (AO$11 * $N29)) * 0.25,
        0
    )
)</f>
        <v>0</v>
      </c>
      <c r="AP29" s="36">
        <f>IF(
    AND($H29 &gt; $BN$7, Tabella01MarzoInverter[[#This Row],[Active power TX2-INV-12]] &lt;= 0, Tabella01MarzoInverter[[#This Row],[Active power TX3-INV-9]] &lt;= 0),
    MIN(($H29 / 1000) * AP$10 * $BN$4, AP$11 * 0.876) * 0.25,
    IF(
        AND($H29 &gt; $BN$7, Tabella01MarzoInverter[[#This Row],[Active power TX2-INV-12]] &lt;= 0),
        Tabella01MarzoInverter[[#This Row],[Active power TX3-INV-9]] * 0.25,
        0
    )
    +
    IF(
        $N29 &lt; 0.875,
        MAX(0, MIN(($H29 / 1000) * AP$10 * $BN$4, AP$11 * 0.876) - (AP$11 * $N29)) * 0.25,
        0
    )
)</f>
        <v>0</v>
      </c>
      <c r="AQ29" s="8">
        <f>AVERAGE(TabellaMar2026[[#This Row],[Colonna39]:[Colonna6]])</f>
        <v>0</v>
      </c>
      <c r="AR29" s="8">
        <f>MAX(TabellaMar2026[[#This Row],[Colonna39]:[Colonna6]])</f>
        <v>0</v>
      </c>
      <c r="AS29" s="35">
        <f>MIN(TabellaMar2026[[#This Row],[Colonna39]:[Colonna6]])</f>
        <v>0</v>
      </c>
      <c r="AT29" s="48">
        <f>SUM(TabellaMar2026[[#This Row],[Colonna39]:[Colonna6]])</f>
        <v>0</v>
      </c>
      <c r="AU29" s="36" cm="1">
        <f t="array" ref="AU29">IF(
    AND($H29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($H29 / 1000) * AU$10 * $BN$4 * 0.25
    ),
    0
)
+
IF(
    $N29 &lt; 0.875,
    MAX(0, MIN(($H29 / 1000) * AU$10 * $BN$4, AU$11 * 0.876) - (AU$11 * $N29)) * 0.25,
    0
)</f>
        <v>0</v>
      </c>
      <c r="AV29" s="36" cm="1">
        <f t="array" ref="AV29">IF(
    AND($H29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($H29 / 1000) * AV$10 * $BN$4 * 0.25
    ),
    0
)
+
IF(
    $N29 &lt; 0.875,
    MAX(0, MIN(($H29 / 1000) * AV$10 * $BN$4, AV$11 * 0.876) - (AV$11 * $N29)) * 0.25,
    0
)</f>
        <v>0</v>
      </c>
      <c r="AW29" s="36" cm="1">
        <f t="array" ref="AW29">IF(
    AND($H29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($H29 / 1000) * AW$10 * $BN$4 * 0.25
    ),
    0
)
+
IF(
    $N29 &lt; 0.875,
    MAX(0, MIN(($H29 / 1000) * AW$10 * $BN$4, AW$11 * 0.876) - (AW$11 * $N29)) * 0.25,
    0
)</f>
        <v>0</v>
      </c>
      <c r="AX29" s="36" cm="1">
        <f t="array" ref="AX29">IF(
    AND($H29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($H29 / 1000) * AX$10 * $BN$4 * 0.25
    ),
    0
)
+
IF(
    $N29 &lt; 0.875,
    MAX(0, MIN(($H29 / 1000) * AX$10 * $BN$4, AX$11 * 0.876) - (AX$11 * $N29)) * 0.25,
    0
)</f>
        <v>0</v>
      </c>
      <c r="AY29" s="36" cm="1">
        <f t="array" ref="AY29">IF(
    AND($H29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($H29 / 1000) * AY$10 * $BN$4 * 0.25
    ),
    0
)
+
IF(
    $N29 &lt; 0.875,
    MAX(0, MIN(($H29 / 1000) * AY$10 * $BN$4, AY$11 * 0.876) - (AY$11 * $N29)) * 0.25,
    0
)</f>
        <v>0</v>
      </c>
      <c r="AZ29" s="36" cm="1">
        <f t="array" ref="AZ29">IF(
    AND($H29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($H29 / 1000) * AZ$10 * $BN$4 * 0.25
    ),
    0
)
+
IF(
    $N29 &lt; 0.875,
    MAX(0, MIN(($H29 / 1000) * AZ$10 * $BN$4, AZ$11 * 0.876) - (AZ$11 * $N29)) * 0.25,
    0
)</f>
        <v>0</v>
      </c>
      <c r="BA29" s="36" cm="1">
        <f t="array" ref="BA29">IF(
    AND($H29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($H29 / 1000) * BA$10 * $BN$4 * 0.25
    ),
    0
)
+
IF(
    $N29 &lt; 0.875,
    MAX(0, MIN(($H29 / 1000) * BA$10 * $BN$4, BA$11 * 0.876) - (BA$11 * $N29)) * 0.25,
    0
)</f>
        <v>0</v>
      </c>
      <c r="BB29" s="36" cm="1">
        <f t="array" ref="BB29">IF(
    AND($H29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($H29 / 1000) * BB$10 * $BN$4 * 0.25
    ),
    0
)
+
IF(
    $N29 &lt; 0.875,
    MAX(0, MIN(($H29 / 1000) * BB$10 * $BN$4, BB$11 * 0.876) - (BB$11 * $N29)) * 0.25,
    0
)</f>
        <v>0</v>
      </c>
      <c r="BC29" s="36" cm="1">
        <f t="array" ref="BC29">IF(
    AND($H29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($H29 / 1000) * BC$10 * $BN$4 * 0.25
    ),
    0
)
+
IF(
    $N29 &lt; 0.875,
    MAX(0, MIN(($H29 / 1000) * BC$10 * $BN$4, BC$11 * 0.876) - (BC$11 * $N29)) * 0.25,
    0
)</f>
        <v>0</v>
      </c>
      <c r="BD29" s="36" cm="1">
        <f t="array" ref="BD29">IF(
    AND($H29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($H29 / 1000) * BD$10 * $BN$4 * 0.25
    ),
    0
)
+
IF(
    $N29 &lt; 0.875,
    MAX(0, MIN(($H29 / 1000) * BD$10 * $BN$4, BD$11 * 0.876) - (BD$11 * $N29)) * 0.25,
    0
)</f>
        <v>0</v>
      </c>
      <c r="BE29" s="36" cm="1">
        <f t="array" ref="BE29">IF(
    AND($H29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($H29 / 1000) * BE$10 * $BN$4 * 0.25
    ),
    0
)
+
IF(
    $N29 &lt; 0.875,
    MAX(0, MIN(($H29 / 1000) * BE$10 * $BN$4, BE$11 * 0.876) - (BE$11 * $N29)) * 0.25,
    0
)</f>
        <v>0</v>
      </c>
      <c r="BF29" s="36" cm="1">
        <f t="array" ref="BF29">IF(
    AND($H29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($H29 / 1000) * BF$10 * $BN$4 * 0.25
    ),
    0
)
+
IF(
    $N29 &lt; 0.875,
    MAX(0, MIN(($H29 / 1000) * BF$10 * $BN$4, BF$11 * 0.876) - (BF$11 * $N29)) * 0.25,
    0
)</f>
        <v>0</v>
      </c>
      <c r="BG29" s="8">
        <f>AVERAGE(TabellaMar2026[[#This Row],[Colonna55]:[Colonna53]])</f>
        <v>0</v>
      </c>
      <c r="BH29" s="8">
        <f>MAX(TabellaMar2026[[#This Row],[Colonna55]:[Colonna53]])</f>
        <v>0</v>
      </c>
      <c r="BI29" s="35">
        <f>MIN(TabellaMar2026[[#This Row],[Colonna55]:[Colonna53]])</f>
        <v>0</v>
      </c>
      <c r="BJ29" s="48">
        <f>SUM(TabellaMar2026[[#This Row],[Colonna54]:[Colonna53]])</f>
        <v>0</v>
      </c>
      <c r="BK29" s="54">
        <f>(SUM(Tabella01MarzoInverter[[Active power TX1-INV-1]:[Active power TX3-INV-12]]) * 0.25) / (12625 * (SUM($G$15:$H$110) * 0.25 / 1000))</f>
        <v>1.014229628761051</v>
      </c>
      <c r="BL29" s="5"/>
      <c r="BM29" s="5"/>
      <c r="BN29" s="8"/>
      <c r="BO29" s="8"/>
      <c r="BP29" s="19"/>
    </row>
    <row r="30" spans="1:68" s="3" customFormat="1" x14ac:dyDescent="0.25">
      <c r="A30" s="18">
        <v>46147</v>
      </c>
      <c r="B30" t="s">
        <v>30</v>
      </c>
      <c r="C30" s="5">
        <v>-0.4</v>
      </c>
      <c r="D30" s="6">
        <v>-1E-4</v>
      </c>
      <c r="E30" s="6">
        <v>0</v>
      </c>
      <c r="F30" s="6">
        <v>0</v>
      </c>
      <c r="G30" s="6">
        <f>IFERROR((D30+F30)/2, 0)</f>
        <v>-5.0000000000000002E-5</v>
      </c>
      <c r="H30" s="7">
        <f>IFERROR(IF(AVERAGE(C30,E30)&gt;$BN$7,AVERAGE(C30,E30),0), 0)</f>
        <v>0</v>
      </c>
      <c r="I30" s="7">
        <f>IFERROR(IF(AND(D30=0,F30=0),0,IF(H30&gt;$BN$6,MAX(D30,F30),G30)), 0)</f>
        <v>-5.0000000000000002E-5</v>
      </c>
      <c r="J30" s="6">
        <f>IFERROR(IF(AND(D30&gt;0,F30&gt;0),ABS(D30-F30)/AVERAGE(D30,F30),0), 0)</f>
        <v>0</v>
      </c>
      <c r="K30" s="6">
        <v>30386.2</v>
      </c>
      <c r="L30" s="6">
        <v>30386.2</v>
      </c>
      <c r="M30" s="8">
        <f>IFERROR((L30-K30)*1000, 0)</f>
        <v>0</v>
      </c>
      <c r="N30" s="6">
        <v>0.87599999999999989</v>
      </c>
      <c r="O30" s="8" cm="1">
        <f t="array" ref="O30">IF(
    AND($H30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($H30 / 1000) * O$10 * $BN$4 * 0.25
    ),
    0
)
+
IF(
    $N30 &lt; 0.875,
    MAX(0, MIN(($H30 / 1000) * O$10 * $BN$4, O$11 * 0.876) - (O$11 * $N30)) * 0.25,
    0
)</f>
        <v>0</v>
      </c>
      <c r="P30" s="8" cm="1">
        <f t="array" ref="P30">IF(
    AND($H30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($H30 / 1000) * P$10 * $BN$4 * 0.25
    ),
    0
)
+
IF(
    $N30 &lt; 0.875,
    MAX(0, MIN(($H30 / 1000) * P$10 * $BN$4, P$11 * 0.876) - (P$11 * $N30)) * 0.25,
    0
)</f>
        <v>0</v>
      </c>
      <c r="Q30" s="8" cm="1">
        <f t="array" ref="Q30">IF(
    AND($H30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($H30 / 1000) * Q$10 * $BN$4 * 0.25
    ),
    0
)
+
IF(
    $N30 &lt; 0.875,
    MAX(0, MIN(($H30 / 1000) * Q$10 * $BN$4, Q$11 * 0.876) - (Q$11 * $N30)) * 0.25,
    0
)</f>
        <v>0</v>
      </c>
      <c r="R30" s="8" cm="1">
        <f t="array" ref="R30">IF(
    AND($H30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($H30 / 1000) * R$10 * $BN$4 * 0.25
    ),
    0
)
+
IF(
    $N30 &lt; 0.875,
    MAX(0, MIN(($H30 / 1000) * R$10 * $BN$4, R$11 * 0.876) - (R$11 * $N30)) * 0.25,
    0
)</f>
        <v>0</v>
      </c>
      <c r="S30" s="8" cm="1">
        <f t="array" ref="S30">IF(
    AND($H30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($H30 / 1000) * S$10 * $BN$4 * 0.25
    ),
    0
)
+
IF(
    $N30 &lt; 0.875,
    MAX(0, MIN(($H30 / 1000) * S$10 * $BN$4, S$11 * 0.876) - (S$11 * $N30)) * 0.25,
    0
)</f>
        <v>0</v>
      </c>
      <c r="T30" s="8" cm="1">
        <f t="array" ref="T30">IF(
    AND($H30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($H30 / 1000) * T$10 * $BN$4 * 0.25
    ),
    0
)
+
IF(
    $N30 &lt; 0.875,
    MAX(0, MIN(($H30 / 1000) * T$10 * $BN$4, T$11 * 0.876) - (T$11 * $N30)) * 0.25,
    0
)</f>
        <v>0</v>
      </c>
      <c r="U30" s="8" cm="1">
        <f t="array" ref="U30">IF(
    AND($H30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($H30 / 1000) * U$10 * $BN$4 * 0.25
    ),
    0
)
+
IF(
    $N30 &lt; 0.875,
    MAX(0, MIN(($H30 / 1000) * U$10 * $BN$4, U$11 * 0.876) - (U$11 * $N30)) * 0.25,
    0
)</f>
        <v>0</v>
      </c>
      <c r="V30" s="8" cm="1">
        <f t="array" ref="V30">IF(
    AND($H30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($H30 / 1000) * V$10 * $BN$4 * 0.25
    ),
    0
)
+
IF(
    $N30 &lt; 0.875,
    MAX(0, MIN(($H30 / 1000) * V$10 * $BN$4, V$11 * 0.876) - (V$11 * $N30)) * 0.25,
    0
)</f>
        <v>0</v>
      </c>
      <c r="W30" s="8" cm="1">
        <f t="array" ref="W30">IF(
    AND($H30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($H30 / 1000) * W$10 * $BN$4 * 0.25
    ),
    0
)
+
IF(
    $N30 &lt; 0.875,
    MAX(0, MIN(($H30 / 1000) * W$10 * $BN$4, W$11 * 0.876) - (W$11 * $N30)) * 0.25,
    0
)</f>
        <v>0</v>
      </c>
      <c r="X30" s="8" cm="1">
        <f t="array" ref="X30">IF(
    AND($H30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($H30 / 1000) * X$10 * $BN$4 * 0.25
    ),
    0
)
+
IF(
    $N30 &lt; 0.875,
    MAX(0, MIN(($H30 / 1000) * X$10 * $BN$4, X$11 * 0.876) - (X$11 * $N30)) * 0.25,
    0
)</f>
        <v>0</v>
      </c>
      <c r="Y30" s="8" cm="1">
        <f t="array" ref="Y30">IF(
    AND($H30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($H30 / 1000) * Y$10 * $BN$4 * 0.25
    ),
    0
)
+
IF(
    $N30 &lt; 0.875,
    MAX(0, MIN(($H30 / 1000) * Y$10 * $BN$4, Y$11 * 0.876) - (Y$11 * $N30)) * 0.25,
    0
)</f>
        <v>0</v>
      </c>
      <c r="Z30" s="8" cm="1">
        <f t="array" ref="Z30">IF(
    AND($H30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($H30 / 1000) * Z$10 * $BN$4 * 0.25
    ),
    0
)
+
IF(
    $N30 &lt; 0.875,
    MAX(0, MIN(($H30 / 1000) * Z$10 * $BN$4, Z$11 * 0.876) - (Z$11 * $N30)) * 0.25,
    0
)</f>
        <v>0</v>
      </c>
      <c r="AA30" s="8">
        <f>AVERAGE(TabellaMar2026[[#This Row],[Colonna24]:[Colonna20]])</f>
        <v>0</v>
      </c>
      <c r="AB30" s="8">
        <f>MAX(TabellaMar2026[[#This Row],[Colonna24]:[Colonna20]])</f>
        <v>0</v>
      </c>
      <c r="AC30" s="35">
        <f>MIN(TabellaMar2026[[#This Row],[Colonna24]:[Colonna20]])</f>
        <v>0</v>
      </c>
      <c r="AD30" s="44">
        <f>SUM(TabellaMar2026[[#This Row],[Colonna24]:[Colonna20]])</f>
        <v>0</v>
      </c>
      <c r="AE30" s="36">
        <f>IF(
    AND($H30 &gt; $BN$7, Tabella01MarzoInverter[[#This Row],[Active power TX2-INV-1]] &lt;= 0, Tabella01MarzoInverter[[#This Row],[TX2 - Average Power]] &lt;= 0),
    MIN(($H30 / 1000) * AE$10 * $BN$4, AE$11 * 0.876) * 0.25,
    IF(
        AND($H30 &gt; $BN$7, Tabella01MarzoInverter[[#This Row],[Active power TX2-INV-1]] &lt;= 0),
        Tabella01MarzoInverter[[#This Row],[TX2 - Average Power]] * 0.25,
        0
    )
    +
    IF(
        $N30 &lt; 0.875,
        MAX(0, MIN(($H30 / 1000) * AE$10 * $BN$4, AE$11 * 0.876) - (AE$11 * $N30)) * 0.25,
        0
    )
)</f>
        <v>0</v>
      </c>
      <c r="AF30" s="36">
        <f>IF(
    AND($H30 &gt; $BN$7, Tabella01MarzoInverter[[#This Row],[Active power TX2-INV-2]] &lt;= 0, Tabella01MarzoInverter[[#This Row],[TX2 - Max Power]] &lt;= 0),
    MIN(($H30 / 1000) * AF$10 * $BN$4, AF$11 * 0.876) * 0.25,
    IF(
        AND($H30 &gt; $BN$7, Tabella01MarzoInverter[[#This Row],[Active power TX2-INV-2]] &lt;= 0),
        Tabella01MarzoInverter[[#This Row],[TX2 - Max Power]] * 0.25,
        0
    )
    +
    IF(
        $N30 &lt; 0.875,
        MAX(0, MIN(($H30 / 1000) * AF$10 * $BN$4, AF$11 * 0.876) - (AF$11 * $N30)) * 0.25,
        0
    )
)</f>
        <v>0</v>
      </c>
      <c r="AG30" s="36">
        <f>IF(
    AND($H30 &gt; $BN$7, Tabella01MarzoInverter[[#This Row],[Active power TX2-INV-3]] &lt;= 0, Tabella01MarzoInverter[[#This Row],[TX2 - Min Power]] &lt;= 0),
    MIN(($H30 / 1000) * AG$10 * $BN$4, AG$11 * 0.876) * 0.25,
    IF(
        AND($H30 &gt; $BN$7, Tabella01MarzoInverter[[#This Row],[Active power TX2-INV-3]] &lt;= 0),
        Tabella01MarzoInverter[[#This Row],[TX2 - Min Power]] * 0.25,
        0
    )
    +
    IF(
        $N30 &lt; 0.875,
        MAX(0, MIN(($H30 / 1000) * AG$10 * $BN$4, AG$11 * 0.876) - (AG$11 * $N30)) * 0.25,
        0
    )
)</f>
        <v>0</v>
      </c>
      <c r="AH30" s="36">
        <f>IF(
    AND($H30 &gt; $BN$7, Tabella01MarzoInverter[[#This Row],[Active power TX2-INV-4]] &lt;= 0, Tabella01MarzoInverter[[#This Row],[Active power TX3-INV-1]] &lt;= 0),
    MIN(($H30 / 1000) * AH$10 * $BN$4, AH$11 * 0.876) * 0.25,
    IF(
        AND($H30 &gt; $BN$7, Tabella01MarzoInverter[[#This Row],[Active power TX2-INV-4]] &lt;= 0),
        Tabella01MarzoInverter[[#This Row],[Active power TX3-INV-1]] * 0.25,
        0
    )
    +
    IF(
        $N30 &lt; 0.875,
        MAX(0, MIN(($H30 / 1000) * AH$10 * $BN$4, AH$11 * 0.876) - (AH$11 * $N30)) * 0.25,
        0
    )
)</f>
        <v>0</v>
      </c>
      <c r="AI30" s="36">
        <f>IF(
    AND($H30 &gt; $BN$7, Tabella01MarzoInverter[[#This Row],[Active power TX2-INV-5]] &lt;= 0, Tabella01MarzoInverter[[#This Row],[Active power TX3-INV-2]] &lt;= 0),
    MIN(($H30 / 1000) * AI$10 * $BN$4, AI$11 * 0.876) * 0.25,
    IF(
        AND($H30 &gt; $BN$7, Tabella01MarzoInverter[[#This Row],[Active power TX2-INV-5]] &lt;= 0),
        Tabella01MarzoInverter[[#This Row],[Active power TX3-INV-2]] * 0.25,
        0
    )
    +
    IF(
        $N30 &lt; 0.875,
        MAX(0, MIN(($H30 / 1000) * AI$10 * $BN$4, AI$11 * 0.876) - (AI$11 * $N30)) * 0.25,
        0
    )
)</f>
        <v>0</v>
      </c>
      <c r="AJ30" s="36">
        <f>IF(
    AND($H30 &gt; $BN$7, Tabella01MarzoInverter[[#This Row],[Active power TX2-INV-6]] &lt;= 0, Tabella01MarzoInverter[[#This Row],[Active power TX3-INV-3]] &lt;= 0),
    MIN(($H30 / 1000) * AJ$10 * $BN$4, AJ$11 * 0.876) * 0.25,
    IF(
        AND($H30 &gt; $BN$7, Tabella01MarzoInverter[[#This Row],[Active power TX2-INV-6]] &lt;= 0),
        Tabella01MarzoInverter[[#This Row],[Active power TX3-INV-3]] * 0.25,
        0
    )
    +
    IF(
        $N30 &lt; 0.875,
        MAX(0, MIN(($H30 / 1000) * AJ$10 * $BN$4, AJ$11 * 0.876) - (AJ$11 * $N30)) * 0.25,
        0
    )
)</f>
        <v>0</v>
      </c>
      <c r="AK30" s="36">
        <f>IF(
    AND($H30 &gt; $BN$7, Tabella01MarzoInverter[[#This Row],[Active power TX2-INV-7]] &lt;= 0, Tabella01MarzoInverter[[#This Row],[Active power TX3-INV-4]] &lt;= 0),
    MIN(($H30 / 1000) * AK$10 * $BN$4, AK$11 * 0.876) * 0.25,
    IF(
        AND($H30 &gt; $BN$7, Tabella01MarzoInverter[[#This Row],[Active power TX2-INV-7]] &lt;= 0),
        Tabella01MarzoInverter[[#This Row],[Active power TX3-INV-4]] * 0.25,
        0
    )
    +
    IF(
        $N30 &lt; 0.875,
        MAX(0, MIN(($H30 / 1000) * AK$10 * $BN$4, AK$11 * 0.876) - (AK$11 * $N30)) * 0.25,
        0
    )
)</f>
        <v>0</v>
      </c>
      <c r="AL30" s="36">
        <f>IF(
    AND($H30 &gt; $BN$7, Tabella01MarzoInverter[[#This Row],[Active power TX2-INV-8]] &lt;= 0, Tabella01MarzoInverter[[#This Row],[Active power TX3-INV-5]] &lt;= 0),
    MIN(($H30 / 1000) * AL$10 * $BN$4, AL$11 * 0.876) * 0.25,
    IF(
        AND($H30 &gt; $BN$7, Tabella01MarzoInverter[[#This Row],[Active power TX2-INV-8]] &lt;= 0),
        Tabella01MarzoInverter[[#This Row],[Active power TX3-INV-5]] * 0.25,
        0
    )
    +
    IF(
        $N30 &lt; 0.875,
        MAX(0, MIN(($H30 / 1000) * AL$10 * $BN$4, AL$11 * 0.876) - (AL$11 * $N30)) * 0.25,
        0
    )
)</f>
        <v>0</v>
      </c>
      <c r="AM30" s="36">
        <f>IF(
    AND($H30 &gt; $BN$7, Tabella01MarzoInverter[[#This Row],[Active power TX2-INV-9]] &lt;= 0, Tabella01MarzoInverter[[#This Row],[Active power TX3-INV-6]] &lt;= 0),
    MIN(($H30 / 1000) * AM$10 * $BN$4, AM$11 * 0.876) * 0.25,
    IF(
        AND($H30 &gt; $BN$7, Tabella01MarzoInverter[[#This Row],[Active power TX2-INV-9]] &lt;= 0),
        Tabella01MarzoInverter[[#This Row],[Active power TX3-INV-6]] * 0.25,
        0
    )
    +
    IF(
        $N30 &lt; 0.875,
        MAX(0, MIN(($H30 / 1000) * AM$10 * $BN$4, AM$11 * 0.876) - (AM$11 * $N30)) * 0.25,
        0
    )
)</f>
        <v>0</v>
      </c>
      <c r="AN30" s="36">
        <f>IF(
    AND($H30 &gt; $BN$7, Tabella01MarzoInverter[[#This Row],[Active power TX2-INV-10]] &lt;= 0, Tabella01MarzoInverter[[#This Row],[Active power TX3-INV-7]] &lt;= 0),
    MIN(($H30 / 1000) * AN$10 * $BN$4, AN$11 * 0.876) * 0.25,
    IF(
        AND($H30 &gt; $BN$7, Tabella01MarzoInverter[[#This Row],[Active power TX2-INV-10]] &lt;= 0),
        Tabella01MarzoInverter[[#This Row],[Active power TX3-INV-7]] * 0.25,
        0
    )
    +
    IF(
        $N30 &lt; 0.875,
        MAX(0, MIN(($H30 / 1000) * AN$10 * $BN$4, AN$11 * 0.876) - (AN$11 * $N30)) * 0.25,
        0
    )
)</f>
        <v>0</v>
      </c>
      <c r="AO30" s="36">
        <f>IF(
    AND($H30 &gt; $BN$7, Tabella01MarzoInverter[[#This Row],[Active power TX2-INV-11]] &lt;= 0, Tabella01MarzoInverter[[#This Row],[Active power TX3-INV-8]] &lt;= 0),
    MIN(($H30 / 1000) * AO$10 * $BN$4, AO$11 * 0.876) * 0.25,
    IF(
        AND($H30 &gt; $BN$7, Tabella01MarzoInverter[[#This Row],[Active power TX2-INV-11]] &lt;= 0),
        Tabella01MarzoInverter[[#This Row],[Active power TX3-INV-8]] * 0.25,
        0
    )
    +
    IF(
        $N30 &lt; 0.875,
        MAX(0, MIN(($H30 / 1000) * AO$10 * $BN$4, AO$11 * 0.876) - (AO$11 * $N30)) * 0.25,
        0
    )
)</f>
        <v>0</v>
      </c>
      <c r="AP30" s="36">
        <f>IF(
    AND($H30 &gt; $BN$7, Tabella01MarzoInverter[[#This Row],[Active power TX2-INV-12]] &lt;= 0, Tabella01MarzoInverter[[#This Row],[Active power TX3-INV-9]] &lt;= 0),
    MIN(($H30 / 1000) * AP$10 * $BN$4, AP$11 * 0.876) * 0.25,
    IF(
        AND($H30 &gt; $BN$7, Tabella01MarzoInverter[[#This Row],[Active power TX2-INV-12]] &lt;= 0),
        Tabella01MarzoInverter[[#This Row],[Active power TX3-INV-9]] * 0.25,
        0
    )
    +
    IF(
        $N30 &lt; 0.875,
        MAX(0, MIN(($H30 / 1000) * AP$10 * $BN$4, AP$11 * 0.876) - (AP$11 * $N30)) * 0.25,
        0
    )
)</f>
        <v>0</v>
      </c>
      <c r="AQ30" s="8">
        <f>AVERAGE(TabellaMar2026[[#This Row],[Colonna39]:[Colonna6]])</f>
        <v>0</v>
      </c>
      <c r="AR30" s="8">
        <f>MAX(TabellaMar2026[[#This Row],[Colonna39]:[Colonna6]])</f>
        <v>0</v>
      </c>
      <c r="AS30" s="35">
        <f>MIN(TabellaMar2026[[#This Row],[Colonna39]:[Colonna6]])</f>
        <v>0</v>
      </c>
      <c r="AT30" s="48">
        <f>SUM(TabellaMar2026[[#This Row],[Colonna39]:[Colonna6]])</f>
        <v>0</v>
      </c>
      <c r="AU30" s="36" cm="1">
        <f t="array" ref="AU30">IF(
    AND($H30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($H30 / 1000) * AU$10 * $BN$4 * 0.25
    ),
    0
)
+
IF(
    $N30 &lt; 0.875,
    MAX(0, MIN(($H30 / 1000) * AU$10 * $BN$4, AU$11 * 0.876) - (AU$11 * $N30)) * 0.25,
    0
)</f>
        <v>0</v>
      </c>
      <c r="AV30" s="36" cm="1">
        <f t="array" ref="AV30">IF(
    AND($H30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($H30 / 1000) * AV$10 * $BN$4 * 0.25
    ),
    0
)
+
IF(
    $N30 &lt; 0.875,
    MAX(0, MIN(($H30 / 1000) * AV$10 * $BN$4, AV$11 * 0.876) - (AV$11 * $N30)) * 0.25,
    0
)</f>
        <v>0</v>
      </c>
      <c r="AW30" s="36" cm="1">
        <f t="array" ref="AW30">IF(
    AND($H30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($H30 / 1000) * AW$10 * $BN$4 * 0.25
    ),
    0
)
+
IF(
    $N30 &lt; 0.875,
    MAX(0, MIN(($H30 / 1000) * AW$10 * $BN$4, AW$11 * 0.876) - (AW$11 * $N30)) * 0.25,
    0
)</f>
        <v>0</v>
      </c>
      <c r="AX30" s="36" cm="1">
        <f t="array" ref="AX30">IF(
    AND($H30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($H30 / 1000) * AX$10 * $BN$4 * 0.25
    ),
    0
)
+
IF(
    $N30 &lt; 0.875,
    MAX(0, MIN(($H30 / 1000) * AX$10 * $BN$4, AX$11 * 0.876) - (AX$11 * $N30)) * 0.25,
    0
)</f>
        <v>0</v>
      </c>
      <c r="AY30" s="36" cm="1">
        <f t="array" ref="AY30">IF(
    AND($H30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($H30 / 1000) * AY$10 * $BN$4 * 0.25
    ),
    0
)
+
IF(
    $N30 &lt; 0.875,
    MAX(0, MIN(($H30 / 1000) * AY$10 * $BN$4, AY$11 * 0.876) - (AY$11 * $N30)) * 0.25,
    0
)</f>
        <v>0</v>
      </c>
      <c r="AZ30" s="36" cm="1">
        <f t="array" ref="AZ30">IF(
    AND($H30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($H30 / 1000) * AZ$10 * $BN$4 * 0.25
    ),
    0
)
+
IF(
    $N30 &lt; 0.875,
    MAX(0, MIN(($H30 / 1000) * AZ$10 * $BN$4, AZ$11 * 0.876) - (AZ$11 * $N30)) * 0.25,
    0
)</f>
        <v>0</v>
      </c>
      <c r="BA30" s="36" cm="1">
        <f t="array" ref="BA30">IF(
    AND($H30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($H30 / 1000) * BA$10 * $BN$4 * 0.25
    ),
    0
)
+
IF(
    $N30 &lt; 0.875,
    MAX(0, MIN(($H30 / 1000) * BA$10 * $BN$4, BA$11 * 0.876) - (BA$11 * $N30)) * 0.25,
    0
)</f>
        <v>0</v>
      </c>
      <c r="BB30" s="36" cm="1">
        <f t="array" ref="BB30">IF(
    AND($H30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($H30 / 1000) * BB$10 * $BN$4 * 0.25
    ),
    0
)
+
IF(
    $N30 &lt; 0.875,
    MAX(0, MIN(($H30 / 1000) * BB$10 * $BN$4, BB$11 * 0.876) - (BB$11 * $N30)) * 0.25,
    0
)</f>
        <v>0</v>
      </c>
      <c r="BC30" s="36" cm="1">
        <f t="array" ref="BC30">IF(
    AND($H30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($H30 / 1000) * BC$10 * $BN$4 * 0.25
    ),
    0
)
+
IF(
    $N30 &lt; 0.875,
    MAX(0, MIN(($H30 / 1000) * BC$10 * $BN$4, BC$11 * 0.876) - (BC$11 * $N30)) * 0.25,
    0
)</f>
        <v>0</v>
      </c>
      <c r="BD30" s="36" cm="1">
        <f t="array" ref="BD30">IF(
    AND($H30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($H30 / 1000) * BD$10 * $BN$4 * 0.25
    ),
    0
)
+
IF(
    $N30 &lt; 0.875,
    MAX(0, MIN(($H30 / 1000) * BD$10 * $BN$4, BD$11 * 0.876) - (BD$11 * $N30)) * 0.25,
    0
)</f>
        <v>0</v>
      </c>
      <c r="BE30" s="36" cm="1">
        <f t="array" ref="BE30">IF(
    AND($H30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($H30 / 1000) * BE$10 * $BN$4 * 0.25
    ),
    0
)
+
IF(
    $N30 &lt; 0.875,
    MAX(0, MIN(($H30 / 1000) * BE$10 * $BN$4, BE$11 * 0.876) - (BE$11 * $N30)) * 0.25,
    0
)</f>
        <v>0</v>
      </c>
      <c r="BF30" s="36" cm="1">
        <f t="array" ref="BF30">IF(
    AND($H30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($H30 / 1000) * BF$10 * $BN$4 * 0.25
    ),
    0
)
+
IF(
    $N30 &lt; 0.875,
    MAX(0, MIN(($H30 / 1000) * BF$10 * $BN$4, BF$11 * 0.876) - (BF$11 * $N30)) * 0.25,
    0
)</f>
        <v>0</v>
      </c>
      <c r="BG30" s="8">
        <f>AVERAGE(TabellaMar2026[[#This Row],[Colonna55]:[Colonna53]])</f>
        <v>0</v>
      </c>
      <c r="BH30" s="8">
        <f>MAX(TabellaMar2026[[#This Row],[Colonna55]:[Colonna53]])</f>
        <v>0</v>
      </c>
      <c r="BI30" s="35">
        <f>MIN(TabellaMar2026[[#This Row],[Colonna55]:[Colonna53]])</f>
        <v>0</v>
      </c>
      <c r="BJ30" s="48">
        <f>SUM(TabellaMar2026[[#This Row],[Colonna54]:[Colonna53]])</f>
        <v>0</v>
      </c>
      <c r="BK30" s="54">
        <f>(SUM(Tabella01MarzoInverter[[Active power TX1-INV-1]:[Active power TX3-INV-12]]) * 0.25) / (12625 * (SUM($G$15:$H$110) * 0.25 / 1000))</f>
        <v>1.014229628761051</v>
      </c>
      <c r="BL30" s="5"/>
      <c r="BM30" s="5"/>
      <c r="BN30" s="8"/>
      <c r="BO30" s="8"/>
      <c r="BP30" s="19"/>
    </row>
    <row r="31" spans="1:68" s="3" customFormat="1" x14ac:dyDescent="0.25">
      <c r="A31" s="18">
        <v>46147</v>
      </c>
      <c r="B31" t="s">
        <v>31</v>
      </c>
      <c r="C31" s="5">
        <v>-0.7</v>
      </c>
      <c r="D31" s="6">
        <v>-1.75E-4</v>
      </c>
      <c r="E31" s="6">
        <v>-0.3</v>
      </c>
      <c r="F31" s="6">
        <v>-7.4999999999999993E-5</v>
      </c>
      <c r="G31" s="6">
        <f>IFERROR((D31+F31)/2, 0)</f>
        <v>-1.25E-4</v>
      </c>
      <c r="H31" s="7">
        <f>IFERROR(IF(AVERAGE(C31,E31)&gt;$BN$7,AVERAGE(C31,E31),0), 0)</f>
        <v>0</v>
      </c>
      <c r="I31" s="7">
        <f>IFERROR(IF(AND(D31=0,F31=0),0,IF(H31&gt;$BN$6,MAX(D31,F31),G31)), 0)</f>
        <v>-1.25E-4</v>
      </c>
      <c r="J31" s="6">
        <f>IFERROR(IF(AND(D31&gt;0,F31&gt;0),ABS(D31-F31)/AVERAGE(D31,F31),0), 0)</f>
        <v>0</v>
      </c>
      <c r="K31" s="6">
        <v>30386.2</v>
      </c>
      <c r="L31" s="6">
        <v>30386.2</v>
      </c>
      <c r="M31" s="8">
        <f>IFERROR((L31-K31)*1000, 0)</f>
        <v>0</v>
      </c>
      <c r="N31" s="6">
        <v>0.87599999999999989</v>
      </c>
      <c r="O31" s="8" cm="1">
        <f t="array" ref="O31">IF(
    AND($H31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($H31 / 1000) * O$10 * $BN$4 * 0.25
    ),
    0
)
+
IF(
    $N31 &lt; 0.875,
    MAX(0, MIN(($H31 / 1000) * O$10 * $BN$4, O$11 * 0.876) - (O$11 * $N31)) * 0.25,
    0
)</f>
        <v>0</v>
      </c>
      <c r="P31" s="8" cm="1">
        <f t="array" ref="P31">IF(
    AND($H31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($H31 / 1000) * P$10 * $BN$4 * 0.25
    ),
    0
)
+
IF(
    $N31 &lt; 0.875,
    MAX(0, MIN(($H31 / 1000) * P$10 * $BN$4, P$11 * 0.876) - (P$11 * $N31)) * 0.25,
    0
)</f>
        <v>0</v>
      </c>
      <c r="Q31" s="8" cm="1">
        <f t="array" ref="Q31">IF(
    AND($H31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($H31 / 1000) * Q$10 * $BN$4 * 0.25
    ),
    0
)
+
IF(
    $N31 &lt; 0.875,
    MAX(0, MIN(($H31 / 1000) * Q$10 * $BN$4, Q$11 * 0.876) - (Q$11 * $N31)) * 0.25,
    0
)</f>
        <v>0</v>
      </c>
      <c r="R31" s="8" cm="1">
        <f t="array" ref="R31">IF(
    AND($H31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($H31 / 1000) * R$10 * $BN$4 * 0.25
    ),
    0
)
+
IF(
    $N31 &lt; 0.875,
    MAX(0, MIN(($H31 / 1000) * R$10 * $BN$4, R$11 * 0.876) - (R$11 * $N31)) * 0.25,
    0
)</f>
        <v>0</v>
      </c>
      <c r="S31" s="8" cm="1">
        <f t="array" ref="S31">IF(
    AND($H31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($H31 / 1000) * S$10 * $BN$4 * 0.25
    ),
    0
)
+
IF(
    $N31 &lt; 0.875,
    MAX(0, MIN(($H31 / 1000) * S$10 * $BN$4, S$11 * 0.876) - (S$11 * $N31)) * 0.25,
    0
)</f>
        <v>0</v>
      </c>
      <c r="T31" s="8" cm="1">
        <f t="array" ref="T31">IF(
    AND($H31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($H31 / 1000) * T$10 * $BN$4 * 0.25
    ),
    0
)
+
IF(
    $N31 &lt; 0.875,
    MAX(0, MIN(($H31 / 1000) * T$10 * $BN$4, T$11 * 0.876) - (T$11 * $N31)) * 0.25,
    0
)</f>
        <v>0</v>
      </c>
      <c r="U31" s="8" cm="1">
        <f t="array" ref="U31">IF(
    AND($H31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($H31 / 1000) * U$10 * $BN$4 * 0.25
    ),
    0
)
+
IF(
    $N31 &lt; 0.875,
    MAX(0, MIN(($H31 / 1000) * U$10 * $BN$4, U$11 * 0.876) - (U$11 * $N31)) * 0.25,
    0
)</f>
        <v>0</v>
      </c>
      <c r="V31" s="8" cm="1">
        <f t="array" ref="V31">IF(
    AND($H31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($H31 / 1000) * V$10 * $BN$4 * 0.25
    ),
    0
)
+
IF(
    $N31 &lt; 0.875,
    MAX(0, MIN(($H31 / 1000) * V$10 * $BN$4, V$11 * 0.876) - (V$11 * $N31)) * 0.25,
    0
)</f>
        <v>0</v>
      </c>
      <c r="W31" s="8" cm="1">
        <f t="array" ref="W31">IF(
    AND($H31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($H31 / 1000) * W$10 * $BN$4 * 0.25
    ),
    0
)
+
IF(
    $N31 &lt; 0.875,
    MAX(0, MIN(($H31 / 1000) * W$10 * $BN$4, W$11 * 0.876) - (W$11 * $N31)) * 0.25,
    0
)</f>
        <v>0</v>
      </c>
      <c r="X31" s="8" cm="1">
        <f t="array" ref="X31">IF(
    AND($H31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($H31 / 1000) * X$10 * $BN$4 * 0.25
    ),
    0
)
+
IF(
    $N31 &lt; 0.875,
    MAX(0, MIN(($H31 / 1000) * X$10 * $BN$4, X$11 * 0.876) - (X$11 * $N31)) * 0.25,
    0
)</f>
        <v>0</v>
      </c>
      <c r="Y31" s="8" cm="1">
        <f t="array" ref="Y31">IF(
    AND($H31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($H31 / 1000) * Y$10 * $BN$4 * 0.25
    ),
    0
)
+
IF(
    $N31 &lt; 0.875,
    MAX(0, MIN(($H31 / 1000) * Y$10 * $BN$4, Y$11 * 0.876) - (Y$11 * $N31)) * 0.25,
    0
)</f>
        <v>0</v>
      </c>
      <c r="Z31" s="8" cm="1">
        <f t="array" ref="Z31">IF(
    AND($H31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($H31 / 1000) * Z$10 * $BN$4 * 0.25
    ),
    0
)
+
IF(
    $N31 &lt; 0.875,
    MAX(0, MIN(($H31 / 1000) * Z$10 * $BN$4, Z$11 * 0.876) - (Z$11 * $N31)) * 0.25,
    0
)</f>
        <v>0</v>
      </c>
      <c r="AA31" s="8">
        <f>AVERAGE(TabellaMar2026[[#This Row],[Colonna24]:[Colonna20]])</f>
        <v>0</v>
      </c>
      <c r="AB31" s="8">
        <f>MAX(TabellaMar2026[[#This Row],[Colonna24]:[Colonna20]])</f>
        <v>0</v>
      </c>
      <c r="AC31" s="35">
        <f>MIN(TabellaMar2026[[#This Row],[Colonna24]:[Colonna20]])</f>
        <v>0</v>
      </c>
      <c r="AD31" s="44">
        <f>SUM(TabellaMar2026[[#This Row],[Colonna24]:[Colonna20]])</f>
        <v>0</v>
      </c>
      <c r="AE31" s="36">
        <f>IF(
    AND($H31 &gt; $BN$7, Tabella01MarzoInverter[[#This Row],[Active power TX2-INV-1]] &lt;= 0, Tabella01MarzoInverter[[#This Row],[TX2 - Average Power]] &lt;= 0),
    MIN(($H31 / 1000) * AE$10 * $BN$4, AE$11 * 0.876) * 0.25,
    IF(
        AND($H31 &gt; $BN$7, Tabella01MarzoInverter[[#This Row],[Active power TX2-INV-1]] &lt;= 0),
        Tabella01MarzoInverter[[#This Row],[TX2 - Average Power]] * 0.25,
        0
    )
    +
    IF(
        $N31 &lt; 0.875,
        MAX(0, MIN(($H31 / 1000) * AE$10 * $BN$4, AE$11 * 0.876) - (AE$11 * $N31)) * 0.25,
        0
    )
)</f>
        <v>0</v>
      </c>
      <c r="AF31" s="36">
        <f>IF(
    AND($H31 &gt; $BN$7, Tabella01MarzoInverter[[#This Row],[Active power TX2-INV-2]] &lt;= 0, Tabella01MarzoInverter[[#This Row],[TX2 - Max Power]] &lt;= 0),
    MIN(($H31 / 1000) * AF$10 * $BN$4, AF$11 * 0.876) * 0.25,
    IF(
        AND($H31 &gt; $BN$7, Tabella01MarzoInverter[[#This Row],[Active power TX2-INV-2]] &lt;= 0),
        Tabella01MarzoInverter[[#This Row],[TX2 - Max Power]] * 0.25,
        0
    )
    +
    IF(
        $N31 &lt; 0.875,
        MAX(0, MIN(($H31 / 1000) * AF$10 * $BN$4, AF$11 * 0.876) - (AF$11 * $N31)) * 0.25,
        0
    )
)</f>
        <v>0</v>
      </c>
      <c r="AG31" s="36">
        <f>IF(
    AND($H31 &gt; $BN$7, Tabella01MarzoInverter[[#This Row],[Active power TX2-INV-3]] &lt;= 0, Tabella01MarzoInverter[[#This Row],[TX2 - Min Power]] &lt;= 0),
    MIN(($H31 / 1000) * AG$10 * $BN$4, AG$11 * 0.876) * 0.25,
    IF(
        AND($H31 &gt; $BN$7, Tabella01MarzoInverter[[#This Row],[Active power TX2-INV-3]] &lt;= 0),
        Tabella01MarzoInverter[[#This Row],[TX2 - Min Power]] * 0.25,
        0
    )
    +
    IF(
        $N31 &lt; 0.875,
        MAX(0, MIN(($H31 / 1000) * AG$10 * $BN$4, AG$11 * 0.876) - (AG$11 * $N31)) * 0.25,
        0
    )
)</f>
        <v>0</v>
      </c>
      <c r="AH31" s="36">
        <f>IF(
    AND($H31 &gt; $BN$7, Tabella01MarzoInverter[[#This Row],[Active power TX2-INV-4]] &lt;= 0, Tabella01MarzoInverter[[#This Row],[Active power TX3-INV-1]] &lt;= 0),
    MIN(($H31 / 1000) * AH$10 * $BN$4, AH$11 * 0.876) * 0.25,
    IF(
        AND($H31 &gt; $BN$7, Tabella01MarzoInverter[[#This Row],[Active power TX2-INV-4]] &lt;= 0),
        Tabella01MarzoInverter[[#This Row],[Active power TX3-INV-1]] * 0.25,
        0
    )
    +
    IF(
        $N31 &lt; 0.875,
        MAX(0, MIN(($H31 / 1000) * AH$10 * $BN$4, AH$11 * 0.876) - (AH$11 * $N31)) * 0.25,
        0
    )
)</f>
        <v>0</v>
      </c>
      <c r="AI31" s="36">
        <f>IF(
    AND($H31 &gt; $BN$7, Tabella01MarzoInverter[[#This Row],[Active power TX2-INV-5]] &lt;= 0, Tabella01MarzoInverter[[#This Row],[Active power TX3-INV-2]] &lt;= 0),
    MIN(($H31 / 1000) * AI$10 * $BN$4, AI$11 * 0.876) * 0.25,
    IF(
        AND($H31 &gt; $BN$7, Tabella01MarzoInverter[[#This Row],[Active power TX2-INV-5]] &lt;= 0),
        Tabella01MarzoInverter[[#This Row],[Active power TX3-INV-2]] * 0.25,
        0
    )
    +
    IF(
        $N31 &lt; 0.875,
        MAX(0, MIN(($H31 / 1000) * AI$10 * $BN$4, AI$11 * 0.876) - (AI$11 * $N31)) * 0.25,
        0
    )
)</f>
        <v>0</v>
      </c>
      <c r="AJ31" s="36">
        <f>IF(
    AND($H31 &gt; $BN$7, Tabella01MarzoInverter[[#This Row],[Active power TX2-INV-6]] &lt;= 0, Tabella01MarzoInverter[[#This Row],[Active power TX3-INV-3]] &lt;= 0),
    MIN(($H31 / 1000) * AJ$10 * $BN$4, AJ$11 * 0.876) * 0.25,
    IF(
        AND($H31 &gt; $BN$7, Tabella01MarzoInverter[[#This Row],[Active power TX2-INV-6]] &lt;= 0),
        Tabella01MarzoInverter[[#This Row],[Active power TX3-INV-3]] * 0.25,
        0
    )
    +
    IF(
        $N31 &lt; 0.875,
        MAX(0, MIN(($H31 / 1000) * AJ$10 * $BN$4, AJ$11 * 0.876) - (AJ$11 * $N31)) * 0.25,
        0
    )
)</f>
        <v>0</v>
      </c>
      <c r="AK31" s="36">
        <f>IF(
    AND($H31 &gt; $BN$7, Tabella01MarzoInverter[[#This Row],[Active power TX2-INV-7]] &lt;= 0, Tabella01MarzoInverter[[#This Row],[Active power TX3-INV-4]] &lt;= 0),
    MIN(($H31 / 1000) * AK$10 * $BN$4, AK$11 * 0.876) * 0.25,
    IF(
        AND($H31 &gt; $BN$7, Tabella01MarzoInverter[[#This Row],[Active power TX2-INV-7]] &lt;= 0),
        Tabella01MarzoInverter[[#This Row],[Active power TX3-INV-4]] * 0.25,
        0
    )
    +
    IF(
        $N31 &lt; 0.875,
        MAX(0, MIN(($H31 / 1000) * AK$10 * $BN$4, AK$11 * 0.876) - (AK$11 * $N31)) * 0.25,
        0
    )
)</f>
        <v>0</v>
      </c>
      <c r="AL31" s="36">
        <f>IF(
    AND($H31 &gt; $BN$7, Tabella01MarzoInverter[[#This Row],[Active power TX2-INV-8]] &lt;= 0, Tabella01MarzoInverter[[#This Row],[Active power TX3-INV-5]] &lt;= 0),
    MIN(($H31 / 1000) * AL$10 * $BN$4, AL$11 * 0.876) * 0.25,
    IF(
        AND($H31 &gt; $BN$7, Tabella01MarzoInverter[[#This Row],[Active power TX2-INV-8]] &lt;= 0),
        Tabella01MarzoInverter[[#This Row],[Active power TX3-INV-5]] * 0.25,
        0
    )
    +
    IF(
        $N31 &lt; 0.875,
        MAX(0, MIN(($H31 / 1000) * AL$10 * $BN$4, AL$11 * 0.876) - (AL$11 * $N31)) * 0.25,
        0
    )
)</f>
        <v>0</v>
      </c>
      <c r="AM31" s="36">
        <f>IF(
    AND($H31 &gt; $BN$7, Tabella01MarzoInverter[[#This Row],[Active power TX2-INV-9]] &lt;= 0, Tabella01MarzoInverter[[#This Row],[Active power TX3-INV-6]] &lt;= 0),
    MIN(($H31 / 1000) * AM$10 * $BN$4, AM$11 * 0.876) * 0.25,
    IF(
        AND($H31 &gt; $BN$7, Tabella01MarzoInverter[[#This Row],[Active power TX2-INV-9]] &lt;= 0),
        Tabella01MarzoInverter[[#This Row],[Active power TX3-INV-6]] * 0.25,
        0
    )
    +
    IF(
        $N31 &lt; 0.875,
        MAX(0, MIN(($H31 / 1000) * AM$10 * $BN$4, AM$11 * 0.876) - (AM$11 * $N31)) * 0.25,
        0
    )
)</f>
        <v>0</v>
      </c>
      <c r="AN31" s="36">
        <f>IF(
    AND($H31 &gt; $BN$7, Tabella01MarzoInverter[[#This Row],[Active power TX2-INV-10]] &lt;= 0, Tabella01MarzoInverter[[#This Row],[Active power TX3-INV-7]] &lt;= 0),
    MIN(($H31 / 1000) * AN$10 * $BN$4, AN$11 * 0.876) * 0.25,
    IF(
        AND($H31 &gt; $BN$7, Tabella01MarzoInverter[[#This Row],[Active power TX2-INV-10]] &lt;= 0),
        Tabella01MarzoInverter[[#This Row],[Active power TX3-INV-7]] * 0.25,
        0
    )
    +
    IF(
        $N31 &lt; 0.875,
        MAX(0, MIN(($H31 / 1000) * AN$10 * $BN$4, AN$11 * 0.876) - (AN$11 * $N31)) * 0.25,
        0
    )
)</f>
        <v>0</v>
      </c>
      <c r="AO31" s="36">
        <f>IF(
    AND($H31 &gt; $BN$7, Tabella01MarzoInverter[[#This Row],[Active power TX2-INV-11]] &lt;= 0, Tabella01MarzoInverter[[#This Row],[Active power TX3-INV-8]] &lt;= 0),
    MIN(($H31 / 1000) * AO$10 * $BN$4, AO$11 * 0.876) * 0.25,
    IF(
        AND($H31 &gt; $BN$7, Tabella01MarzoInverter[[#This Row],[Active power TX2-INV-11]] &lt;= 0),
        Tabella01MarzoInverter[[#This Row],[Active power TX3-INV-8]] * 0.25,
        0
    )
    +
    IF(
        $N31 &lt; 0.875,
        MAX(0, MIN(($H31 / 1000) * AO$10 * $BN$4, AO$11 * 0.876) - (AO$11 * $N31)) * 0.25,
        0
    )
)</f>
        <v>0</v>
      </c>
      <c r="AP31" s="36">
        <f>IF(
    AND($H31 &gt; $BN$7, Tabella01MarzoInverter[[#This Row],[Active power TX2-INV-12]] &lt;= 0, Tabella01MarzoInverter[[#This Row],[Active power TX3-INV-9]] &lt;= 0),
    MIN(($H31 / 1000) * AP$10 * $BN$4, AP$11 * 0.876) * 0.25,
    IF(
        AND($H31 &gt; $BN$7, Tabella01MarzoInverter[[#This Row],[Active power TX2-INV-12]] &lt;= 0),
        Tabella01MarzoInverter[[#This Row],[Active power TX3-INV-9]] * 0.25,
        0
    )
    +
    IF(
        $N31 &lt; 0.875,
        MAX(0, MIN(($H31 / 1000) * AP$10 * $BN$4, AP$11 * 0.876) - (AP$11 * $N31)) * 0.25,
        0
    )
)</f>
        <v>0</v>
      </c>
      <c r="AQ31" s="8">
        <f>AVERAGE(TabellaMar2026[[#This Row],[Colonna39]:[Colonna6]])</f>
        <v>0</v>
      </c>
      <c r="AR31" s="8">
        <f>MAX(TabellaMar2026[[#This Row],[Colonna39]:[Colonna6]])</f>
        <v>0</v>
      </c>
      <c r="AS31" s="35">
        <f>MIN(TabellaMar2026[[#This Row],[Colonna39]:[Colonna6]])</f>
        <v>0</v>
      </c>
      <c r="AT31" s="48">
        <f>SUM(TabellaMar2026[[#This Row],[Colonna39]:[Colonna6]])</f>
        <v>0</v>
      </c>
      <c r="AU31" s="36" cm="1">
        <f t="array" ref="AU31">IF(
    AND($H31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($H31 / 1000) * AU$10 * $BN$4 * 0.25
    ),
    0
)
+
IF(
    $N31 &lt; 0.875,
    MAX(0, MIN(($H31 / 1000) * AU$10 * $BN$4, AU$11 * 0.876) - (AU$11 * $N31)) * 0.25,
    0
)</f>
        <v>0</v>
      </c>
      <c r="AV31" s="36" cm="1">
        <f t="array" ref="AV31">IF(
    AND($H31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($H31 / 1000) * AV$10 * $BN$4 * 0.25
    ),
    0
)
+
IF(
    $N31 &lt; 0.875,
    MAX(0, MIN(($H31 / 1000) * AV$10 * $BN$4, AV$11 * 0.876) - (AV$11 * $N31)) * 0.25,
    0
)</f>
        <v>0</v>
      </c>
      <c r="AW31" s="36" cm="1">
        <f t="array" ref="AW31">IF(
    AND($H31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($H31 / 1000) * AW$10 * $BN$4 * 0.25
    ),
    0
)
+
IF(
    $N31 &lt; 0.875,
    MAX(0, MIN(($H31 / 1000) * AW$10 * $BN$4, AW$11 * 0.876) - (AW$11 * $N31)) * 0.25,
    0
)</f>
        <v>0</v>
      </c>
      <c r="AX31" s="36" cm="1">
        <f t="array" ref="AX31">IF(
    AND($H31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($H31 / 1000) * AX$10 * $BN$4 * 0.25
    ),
    0
)
+
IF(
    $N31 &lt; 0.875,
    MAX(0, MIN(($H31 / 1000) * AX$10 * $BN$4, AX$11 * 0.876) - (AX$11 * $N31)) * 0.25,
    0
)</f>
        <v>0</v>
      </c>
      <c r="AY31" s="36" cm="1">
        <f t="array" ref="AY31">IF(
    AND($H31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($H31 / 1000) * AY$10 * $BN$4 * 0.25
    ),
    0
)
+
IF(
    $N31 &lt; 0.875,
    MAX(0, MIN(($H31 / 1000) * AY$10 * $BN$4, AY$11 * 0.876) - (AY$11 * $N31)) * 0.25,
    0
)</f>
        <v>0</v>
      </c>
      <c r="AZ31" s="36" cm="1">
        <f t="array" ref="AZ31">IF(
    AND($H31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($H31 / 1000) * AZ$10 * $BN$4 * 0.25
    ),
    0
)
+
IF(
    $N31 &lt; 0.875,
    MAX(0, MIN(($H31 / 1000) * AZ$10 * $BN$4, AZ$11 * 0.876) - (AZ$11 * $N31)) * 0.25,
    0
)</f>
        <v>0</v>
      </c>
      <c r="BA31" s="36" cm="1">
        <f t="array" ref="BA31">IF(
    AND($H31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($H31 / 1000) * BA$10 * $BN$4 * 0.25
    ),
    0
)
+
IF(
    $N31 &lt; 0.875,
    MAX(0, MIN(($H31 / 1000) * BA$10 * $BN$4, BA$11 * 0.876) - (BA$11 * $N31)) * 0.25,
    0
)</f>
        <v>0</v>
      </c>
      <c r="BB31" s="36" cm="1">
        <f t="array" ref="BB31">IF(
    AND($H31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($H31 / 1000) * BB$10 * $BN$4 * 0.25
    ),
    0
)
+
IF(
    $N31 &lt; 0.875,
    MAX(0, MIN(($H31 / 1000) * BB$10 * $BN$4, BB$11 * 0.876) - (BB$11 * $N31)) * 0.25,
    0
)</f>
        <v>0</v>
      </c>
      <c r="BC31" s="36" cm="1">
        <f t="array" ref="BC31">IF(
    AND($H31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($H31 / 1000) * BC$10 * $BN$4 * 0.25
    ),
    0
)
+
IF(
    $N31 &lt; 0.875,
    MAX(0, MIN(($H31 / 1000) * BC$10 * $BN$4, BC$11 * 0.876) - (BC$11 * $N31)) * 0.25,
    0
)</f>
        <v>0</v>
      </c>
      <c r="BD31" s="36" cm="1">
        <f t="array" ref="BD31">IF(
    AND($H31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($H31 / 1000) * BD$10 * $BN$4 * 0.25
    ),
    0
)
+
IF(
    $N31 &lt; 0.875,
    MAX(0, MIN(($H31 / 1000) * BD$10 * $BN$4, BD$11 * 0.876) - (BD$11 * $N31)) * 0.25,
    0
)</f>
        <v>0</v>
      </c>
      <c r="BE31" s="36" cm="1">
        <f t="array" ref="BE31">IF(
    AND($H31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($H31 / 1000) * BE$10 * $BN$4 * 0.25
    ),
    0
)
+
IF(
    $N31 &lt; 0.875,
    MAX(0, MIN(($H31 / 1000) * BE$10 * $BN$4, BE$11 * 0.876) - (BE$11 * $N31)) * 0.25,
    0
)</f>
        <v>0</v>
      </c>
      <c r="BF31" s="36" cm="1">
        <f t="array" ref="BF31">IF(
    AND($H31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($H31 / 1000) * BF$10 * $BN$4 * 0.25
    ),
    0
)
+
IF(
    $N31 &lt; 0.875,
    MAX(0, MIN(($H31 / 1000) * BF$10 * $BN$4, BF$11 * 0.876) - (BF$11 * $N31)) * 0.25,
    0
)</f>
        <v>0</v>
      </c>
      <c r="BG31" s="8">
        <f>AVERAGE(TabellaMar2026[[#This Row],[Colonna55]:[Colonna53]])</f>
        <v>0</v>
      </c>
      <c r="BH31" s="8">
        <f>MAX(TabellaMar2026[[#This Row],[Colonna55]:[Colonna53]])</f>
        <v>0</v>
      </c>
      <c r="BI31" s="35">
        <f>MIN(TabellaMar2026[[#This Row],[Colonna55]:[Colonna53]])</f>
        <v>0</v>
      </c>
      <c r="BJ31" s="48">
        <f>SUM(TabellaMar2026[[#This Row],[Colonna54]:[Colonna53]])</f>
        <v>0</v>
      </c>
      <c r="BK31" s="54">
        <f>(SUM(Tabella01MarzoInverter[[Active power TX1-INV-1]:[Active power TX3-INV-12]]) * 0.25) / (12625 * (SUM($G$15:$H$110) * 0.25 / 1000))</f>
        <v>1.014229628761051</v>
      </c>
      <c r="BL31" s="5"/>
      <c r="BM31" s="5"/>
      <c r="BN31" s="8"/>
      <c r="BO31" s="8"/>
      <c r="BP31" s="19"/>
    </row>
    <row r="32" spans="1:68" s="3" customFormat="1" x14ac:dyDescent="0.25">
      <c r="A32" s="18">
        <v>46147</v>
      </c>
      <c r="B32" t="s">
        <v>32</v>
      </c>
      <c r="C32" s="5">
        <v>-1</v>
      </c>
      <c r="D32" s="6">
        <v>-2.5000000000000001E-4</v>
      </c>
      <c r="E32" s="6">
        <v>-1</v>
      </c>
      <c r="F32" s="6">
        <v>-2.5000000000000001E-4</v>
      </c>
      <c r="G32" s="6">
        <f>IFERROR((D32+F32)/2, 0)</f>
        <v>-2.5000000000000001E-4</v>
      </c>
      <c r="H32" s="7">
        <f>IFERROR(IF(AVERAGE(C32,E32)&gt;$BN$7,AVERAGE(C32,E32),0), 0)</f>
        <v>0</v>
      </c>
      <c r="I32" s="7">
        <f>IFERROR(IF(AND(D32=0,F32=0),0,IF(H32&gt;$BN$6,MAX(D32,F32),G32)), 0)</f>
        <v>-2.5000000000000001E-4</v>
      </c>
      <c r="J32" s="6">
        <f>IFERROR(IF(AND(D32&gt;0,F32&gt;0),ABS(D32-F32)/AVERAGE(D32,F32),0), 0)</f>
        <v>0</v>
      </c>
      <c r="K32" s="6">
        <v>30386.2</v>
      </c>
      <c r="L32" s="6">
        <v>30386.2</v>
      </c>
      <c r="M32" s="8">
        <f>IFERROR((L32-K32)*1000, 0)</f>
        <v>0</v>
      </c>
      <c r="N32" s="6">
        <v>0.87599999999999989</v>
      </c>
      <c r="O32" s="8" cm="1">
        <f t="array" ref="O32">IF(
    AND($H32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($H32 / 1000) * O$10 * $BN$4 * 0.25
    ),
    0
)
+
IF(
    $N32 &lt; 0.875,
    MAX(0, MIN(($H32 / 1000) * O$10 * $BN$4, O$11 * 0.876) - (O$11 * $N32)) * 0.25,
    0
)</f>
        <v>0</v>
      </c>
      <c r="P32" s="8" cm="1">
        <f t="array" ref="P32">IF(
    AND($H32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($H32 / 1000) * P$10 * $BN$4 * 0.25
    ),
    0
)
+
IF(
    $N32 &lt; 0.875,
    MAX(0, MIN(($H32 / 1000) * P$10 * $BN$4, P$11 * 0.876) - (P$11 * $N32)) * 0.25,
    0
)</f>
        <v>0</v>
      </c>
      <c r="Q32" s="8" cm="1">
        <f t="array" ref="Q32">IF(
    AND($H32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($H32 / 1000) * Q$10 * $BN$4 * 0.25
    ),
    0
)
+
IF(
    $N32 &lt; 0.875,
    MAX(0, MIN(($H32 / 1000) * Q$10 * $BN$4, Q$11 * 0.876) - (Q$11 * $N32)) * 0.25,
    0
)</f>
        <v>0</v>
      </c>
      <c r="R32" s="8" cm="1">
        <f t="array" ref="R32">IF(
    AND($H32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($H32 / 1000) * R$10 * $BN$4 * 0.25
    ),
    0
)
+
IF(
    $N32 &lt; 0.875,
    MAX(0, MIN(($H32 / 1000) * R$10 * $BN$4, R$11 * 0.876) - (R$11 * $N32)) * 0.25,
    0
)</f>
        <v>0</v>
      </c>
      <c r="S32" s="8" cm="1">
        <f t="array" ref="S32">IF(
    AND($H32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($H32 / 1000) * S$10 * $BN$4 * 0.25
    ),
    0
)
+
IF(
    $N32 &lt; 0.875,
    MAX(0, MIN(($H32 / 1000) * S$10 * $BN$4, S$11 * 0.876) - (S$11 * $N32)) * 0.25,
    0
)</f>
        <v>0</v>
      </c>
      <c r="T32" s="8" cm="1">
        <f t="array" ref="T32">IF(
    AND($H32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($H32 / 1000) * T$10 * $BN$4 * 0.25
    ),
    0
)
+
IF(
    $N32 &lt; 0.875,
    MAX(0, MIN(($H32 / 1000) * T$10 * $BN$4, T$11 * 0.876) - (T$11 * $N32)) * 0.25,
    0
)</f>
        <v>0</v>
      </c>
      <c r="U32" s="8" cm="1">
        <f t="array" ref="U32">IF(
    AND($H32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($H32 / 1000) * U$10 * $BN$4 * 0.25
    ),
    0
)
+
IF(
    $N32 &lt; 0.875,
    MAX(0, MIN(($H32 / 1000) * U$10 * $BN$4, U$11 * 0.876) - (U$11 * $N32)) * 0.25,
    0
)</f>
        <v>0</v>
      </c>
      <c r="V32" s="8" cm="1">
        <f t="array" ref="V32">IF(
    AND($H32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($H32 / 1000) * V$10 * $BN$4 * 0.25
    ),
    0
)
+
IF(
    $N32 &lt; 0.875,
    MAX(0, MIN(($H32 / 1000) * V$10 * $BN$4, V$11 * 0.876) - (V$11 * $N32)) * 0.25,
    0
)</f>
        <v>0</v>
      </c>
      <c r="W32" s="8" cm="1">
        <f t="array" ref="W32">IF(
    AND($H32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($H32 / 1000) * W$10 * $BN$4 * 0.25
    ),
    0
)
+
IF(
    $N32 &lt; 0.875,
    MAX(0, MIN(($H32 / 1000) * W$10 * $BN$4, W$11 * 0.876) - (W$11 * $N32)) * 0.25,
    0
)</f>
        <v>0</v>
      </c>
      <c r="X32" s="8" cm="1">
        <f t="array" ref="X32">IF(
    AND($H32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($H32 / 1000) * X$10 * $BN$4 * 0.25
    ),
    0
)
+
IF(
    $N32 &lt; 0.875,
    MAX(0, MIN(($H32 / 1000) * X$10 * $BN$4, X$11 * 0.876) - (X$11 * $N32)) * 0.25,
    0
)</f>
        <v>0</v>
      </c>
      <c r="Y32" s="8" cm="1">
        <f t="array" ref="Y32">IF(
    AND($H32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($H32 / 1000) * Y$10 * $BN$4 * 0.25
    ),
    0
)
+
IF(
    $N32 &lt; 0.875,
    MAX(0, MIN(($H32 / 1000) * Y$10 * $BN$4, Y$11 * 0.876) - (Y$11 * $N32)) * 0.25,
    0
)</f>
        <v>0</v>
      </c>
      <c r="Z32" s="8" cm="1">
        <f t="array" ref="Z32">IF(
    AND($H32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($H32 / 1000) * Z$10 * $BN$4 * 0.25
    ),
    0
)
+
IF(
    $N32 &lt; 0.875,
    MAX(0, MIN(($H32 / 1000) * Z$10 * $BN$4, Z$11 * 0.876) - (Z$11 * $N32)) * 0.25,
    0
)</f>
        <v>0</v>
      </c>
      <c r="AA32" s="8">
        <f>AVERAGE(TabellaMar2026[[#This Row],[Colonna24]:[Colonna20]])</f>
        <v>0</v>
      </c>
      <c r="AB32" s="8">
        <f>MAX(TabellaMar2026[[#This Row],[Colonna24]:[Colonna20]])</f>
        <v>0</v>
      </c>
      <c r="AC32" s="35">
        <f>MIN(TabellaMar2026[[#This Row],[Colonna24]:[Colonna20]])</f>
        <v>0</v>
      </c>
      <c r="AD32" s="44">
        <f>SUM(TabellaMar2026[[#This Row],[Colonna24]:[Colonna20]])</f>
        <v>0</v>
      </c>
      <c r="AE32" s="36">
        <f>IF(
    AND($H32 &gt; $BN$7, Tabella01MarzoInverter[[#This Row],[Active power TX2-INV-1]] &lt;= 0, Tabella01MarzoInverter[[#This Row],[TX2 - Average Power]] &lt;= 0),
    MIN(($H32 / 1000) * AE$10 * $BN$4, AE$11 * 0.876) * 0.25,
    IF(
        AND($H32 &gt; $BN$7, Tabella01MarzoInverter[[#This Row],[Active power TX2-INV-1]] &lt;= 0),
        Tabella01MarzoInverter[[#This Row],[TX2 - Average Power]] * 0.25,
        0
    )
    +
    IF(
        $N32 &lt; 0.875,
        MAX(0, MIN(($H32 / 1000) * AE$10 * $BN$4, AE$11 * 0.876) - (AE$11 * $N32)) * 0.25,
        0
    )
)</f>
        <v>0</v>
      </c>
      <c r="AF32" s="36">
        <f>IF(
    AND($H32 &gt; $BN$7, Tabella01MarzoInverter[[#This Row],[Active power TX2-INV-2]] &lt;= 0, Tabella01MarzoInverter[[#This Row],[TX2 - Max Power]] &lt;= 0),
    MIN(($H32 / 1000) * AF$10 * $BN$4, AF$11 * 0.876) * 0.25,
    IF(
        AND($H32 &gt; $BN$7, Tabella01MarzoInverter[[#This Row],[Active power TX2-INV-2]] &lt;= 0),
        Tabella01MarzoInverter[[#This Row],[TX2 - Max Power]] * 0.25,
        0
    )
    +
    IF(
        $N32 &lt; 0.875,
        MAX(0, MIN(($H32 / 1000) * AF$10 * $BN$4, AF$11 * 0.876) - (AF$11 * $N32)) * 0.25,
        0
    )
)</f>
        <v>0</v>
      </c>
      <c r="AG32" s="36">
        <f>IF(
    AND($H32 &gt; $BN$7, Tabella01MarzoInverter[[#This Row],[Active power TX2-INV-3]] &lt;= 0, Tabella01MarzoInverter[[#This Row],[TX2 - Min Power]] &lt;= 0),
    MIN(($H32 / 1000) * AG$10 * $BN$4, AG$11 * 0.876) * 0.25,
    IF(
        AND($H32 &gt; $BN$7, Tabella01MarzoInverter[[#This Row],[Active power TX2-INV-3]] &lt;= 0),
        Tabella01MarzoInverter[[#This Row],[TX2 - Min Power]] * 0.25,
        0
    )
    +
    IF(
        $N32 &lt; 0.875,
        MAX(0, MIN(($H32 / 1000) * AG$10 * $BN$4, AG$11 * 0.876) - (AG$11 * $N32)) * 0.25,
        0
    )
)</f>
        <v>0</v>
      </c>
      <c r="AH32" s="36">
        <f>IF(
    AND($H32 &gt; $BN$7, Tabella01MarzoInverter[[#This Row],[Active power TX2-INV-4]] &lt;= 0, Tabella01MarzoInverter[[#This Row],[Active power TX3-INV-1]] &lt;= 0),
    MIN(($H32 / 1000) * AH$10 * $BN$4, AH$11 * 0.876) * 0.25,
    IF(
        AND($H32 &gt; $BN$7, Tabella01MarzoInverter[[#This Row],[Active power TX2-INV-4]] &lt;= 0),
        Tabella01MarzoInverter[[#This Row],[Active power TX3-INV-1]] * 0.25,
        0
    )
    +
    IF(
        $N32 &lt; 0.875,
        MAX(0, MIN(($H32 / 1000) * AH$10 * $BN$4, AH$11 * 0.876) - (AH$11 * $N32)) * 0.25,
        0
    )
)</f>
        <v>0</v>
      </c>
      <c r="AI32" s="36">
        <f>IF(
    AND($H32 &gt; $BN$7, Tabella01MarzoInverter[[#This Row],[Active power TX2-INV-5]] &lt;= 0, Tabella01MarzoInverter[[#This Row],[Active power TX3-INV-2]] &lt;= 0),
    MIN(($H32 / 1000) * AI$10 * $BN$4, AI$11 * 0.876) * 0.25,
    IF(
        AND($H32 &gt; $BN$7, Tabella01MarzoInverter[[#This Row],[Active power TX2-INV-5]] &lt;= 0),
        Tabella01MarzoInverter[[#This Row],[Active power TX3-INV-2]] * 0.25,
        0
    )
    +
    IF(
        $N32 &lt; 0.875,
        MAX(0, MIN(($H32 / 1000) * AI$10 * $BN$4, AI$11 * 0.876) - (AI$11 * $N32)) * 0.25,
        0
    )
)</f>
        <v>0</v>
      </c>
      <c r="AJ32" s="36">
        <f>IF(
    AND($H32 &gt; $BN$7, Tabella01MarzoInverter[[#This Row],[Active power TX2-INV-6]] &lt;= 0, Tabella01MarzoInverter[[#This Row],[Active power TX3-INV-3]] &lt;= 0),
    MIN(($H32 / 1000) * AJ$10 * $BN$4, AJ$11 * 0.876) * 0.25,
    IF(
        AND($H32 &gt; $BN$7, Tabella01MarzoInverter[[#This Row],[Active power TX2-INV-6]] &lt;= 0),
        Tabella01MarzoInverter[[#This Row],[Active power TX3-INV-3]] * 0.25,
        0
    )
    +
    IF(
        $N32 &lt; 0.875,
        MAX(0, MIN(($H32 / 1000) * AJ$10 * $BN$4, AJ$11 * 0.876) - (AJ$11 * $N32)) * 0.25,
        0
    )
)</f>
        <v>0</v>
      </c>
      <c r="AK32" s="36">
        <f>IF(
    AND($H32 &gt; $BN$7, Tabella01MarzoInverter[[#This Row],[Active power TX2-INV-7]] &lt;= 0, Tabella01MarzoInverter[[#This Row],[Active power TX3-INV-4]] &lt;= 0),
    MIN(($H32 / 1000) * AK$10 * $BN$4, AK$11 * 0.876) * 0.25,
    IF(
        AND($H32 &gt; $BN$7, Tabella01MarzoInverter[[#This Row],[Active power TX2-INV-7]] &lt;= 0),
        Tabella01MarzoInverter[[#This Row],[Active power TX3-INV-4]] * 0.25,
        0
    )
    +
    IF(
        $N32 &lt; 0.875,
        MAX(0, MIN(($H32 / 1000) * AK$10 * $BN$4, AK$11 * 0.876) - (AK$11 * $N32)) * 0.25,
        0
    )
)</f>
        <v>0</v>
      </c>
      <c r="AL32" s="36">
        <f>IF(
    AND($H32 &gt; $BN$7, Tabella01MarzoInverter[[#This Row],[Active power TX2-INV-8]] &lt;= 0, Tabella01MarzoInverter[[#This Row],[Active power TX3-INV-5]] &lt;= 0),
    MIN(($H32 / 1000) * AL$10 * $BN$4, AL$11 * 0.876) * 0.25,
    IF(
        AND($H32 &gt; $BN$7, Tabella01MarzoInverter[[#This Row],[Active power TX2-INV-8]] &lt;= 0),
        Tabella01MarzoInverter[[#This Row],[Active power TX3-INV-5]] * 0.25,
        0
    )
    +
    IF(
        $N32 &lt; 0.875,
        MAX(0, MIN(($H32 / 1000) * AL$10 * $BN$4, AL$11 * 0.876) - (AL$11 * $N32)) * 0.25,
        0
    )
)</f>
        <v>0</v>
      </c>
      <c r="AM32" s="36">
        <f>IF(
    AND($H32 &gt; $BN$7, Tabella01MarzoInverter[[#This Row],[Active power TX2-INV-9]] &lt;= 0, Tabella01MarzoInverter[[#This Row],[Active power TX3-INV-6]] &lt;= 0),
    MIN(($H32 / 1000) * AM$10 * $BN$4, AM$11 * 0.876) * 0.25,
    IF(
        AND($H32 &gt; $BN$7, Tabella01MarzoInverter[[#This Row],[Active power TX2-INV-9]] &lt;= 0),
        Tabella01MarzoInverter[[#This Row],[Active power TX3-INV-6]] * 0.25,
        0
    )
    +
    IF(
        $N32 &lt; 0.875,
        MAX(0, MIN(($H32 / 1000) * AM$10 * $BN$4, AM$11 * 0.876) - (AM$11 * $N32)) * 0.25,
        0
    )
)</f>
        <v>0</v>
      </c>
      <c r="AN32" s="36">
        <f>IF(
    AND($H32 &gt; $BN$7, Tabella01MarzoInverter[[#This Row],[Active power TX2-INV-10]] &lt;= 0, Tabella01MarzoInverter[[#This Row],[Active power TX3-INV-7]] &lt;= 0),
    MIN(($H32 / 1000) * AN$10 * $BN$4, AN$11 * 0.876) * 0.25,
    IF(
        AND($H32 &gt; $BN$7, Tabella01MarzoInverter[[#This Row],[Active power TX2-INV-10]] &lt;= 0),
        Tabella01MarzoInverter[[#This Row],[Active power TX3-INV-7]] * 0.25,
        0
    )
    +
    IF(
        $N32 &lt; 0.875,
        MAX(0, MIN(($H32 / 1000) * AN$10 * $BN$4, AN$11 * 0.876) - (AN$11 * $N32)) * 0.25,
        0
    )
)</f>
        <v>0</v>
      </c>
      <c r="AO32" s="36">
        <f>IF(
    AND($H32 &gt; $BN$7, Tabella01MarzoInverter[[#This Row],[Active power TX2-INV-11]] &lt;= 0, Tabella01MarzoInverter[[#This Row],[Active power TX3-INV-8]] &lt;= 0),
    MIN(($H32 / 1000) * AO$10 * $BN$4, AO$11 * 0.876) * 0.25,
    IF(
        AND($H32 &gt; $BN$7, Tabella01MarzoInverter[[#This Row],[Active power TX2-INV-11]] &lt;= 0),
        Tabella01MarzoInverter[[#This Row],[Active power TX3-INV-8]] * 0.25,
        0
    )
    +
    IF(
        $N32 &lt; 0.875,
        MAX(0, MIN(($H32 / 1000) * AO$10 * $BN$4, AO$11 * 0.876) - (AO$11 * $N32)) * 0.25,
        0
    )
)</f>
        <v>0</v>
      </c>
      <c r="AP32" s="36">
        <f>IF(
    AND($H32 &gt; $BN$7, Tabella01MarzoInverter[[#This Row],[Active power TX2-INV-12]] &lt;= 0, Tabella01MarzoInverter[[#This Row],[Active power TX3-INV-9]] &lt;= 0),
    MIN(($H32 / 1000) * AP$10 * $BN$4, AP$11 * 0.876) * 0.25,
    IF(
        AND($H32 &gt; $BN$7, Tabella01MarzoInverter[[#This Row],[Active power TX2-INV-12]] &lt;= 0),
        Tabella01MarzoInverter[[#This Row],[Active power TX3-INV-9]] * 0.25,
        0
    )
    +
    IF(
        $N32 &lt; 0.875,
        MAX(0, MIN(($H32 / 1000) * AP$10 * $BN$4, AP$11 * 0.876) - (AP$11 * $N32)) * 0.25,
        0
    )
)</f>
        <v>0</v>
      </c>
      <c r="AQ32" s="8">
        <f>AVERAGE(TabellaMar2026[[#This Row],[Colonna39]:[Colonna6]])</f>
        <v>0</v>
      </c>
      <c r="AR32" s="8">
        <f>MAX(TabellaMar2026[[#This Row],[Colonna39]:[Colonna6]])</f>
        <v>0</v>
      </c>
      <c r="AS32" s="35">
        <f>MIN(TabellaMar2026[[#This Row],[Colonna39]:[Colonna6]])</f>
        <v>0</v>
      </c>
      <c r="AT32" s="48">
        <f>SUM(TabellaMar2026[[#This Row],[Colonna39]:[Colonna6]])</f>
        <v>0</v>
      </c>
      <c r="AU32" s="36" cm="1">
        <f t="array" ref="AU32">IF(
    AND($H32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($H32 / 1000) * AU$10 * $BN$4 * 0.25
    ),
    0
)
+
IF(
    $N32 &lt; 0.875,
    MAX(0, MIN(($H32 / 1000) * AU$10 * $BN$4, AU$11 * 0.876) - (AU$11 * $N32)) * 0.25,
    0
)</f>
        <v>0</v>
      </c>
      <c r="AV32" s="36" cm="1">
        <f t="array" ref="AV32">IF(
    AND($H32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($H32 / 1000) * AV$10 * $BN$4 * 0.25
    ),
    0
)
+
IF(
    $N32 &lt; 0.875,
    MAX(0, MIN(($H32 / 1000) * AV$10 * $BN$4, AV$11 * 0.876) - (AV$11 * $N32)) * 0.25,
    0
)</f>
        <v>0</v>
      </c>
      <c r="AW32" s="36" cm="1">
        <f t="array" ref="AW32">IF(
    AND($H32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($H32 / 1000) * AW$10 * $BN$4 * 0.25
    ),
    0
)
+
IF(
    $N32 &lt; 0.875,
    MAX(0, MIN(($H32 / 1000) * AW$10 * $BN$4, AW$11 * 0.876) - (AW$11 * $N32)) * 0.25,
    0
)</f>
        <v>0</v>
      </c>
      <c r="AX32" s="36" cm="1">
        <f t="array" ref="AX32">IF(
    AND($H32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($H32 / 1000) * AX$10 * $BN$4 * 0.25
    ),
    0
)
+
IF(
    $N32 &lt; 0.875,
    MAX(0, MIN(($H32 / 1000) * AX$10 * $BN$4, AX$11 * 0.876) - (AX$11 * $N32)) * 0.25,
    0
)</f>
        <v>0</v>
      </c>
      <c r="AY32" s="36" cm="1">
        <f t="array" ref="AY32">IF(
    AND($H32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($H32 / 1000) * AY$10 * $BN$4 * 0.25
    ),
    0
)
+
IF(
    $N32 &lt; 0.875,
    MAX(0, MIN(($H32 / 1000) * AY$10 * $BN$4, AY$11 * 0.876) - (AY$11 * $N32)) * 0.25,
    0
)</f>
        <v>0</v>
      </c>
      <c r="AZ32" s="36" cm="1">
        <f t="array" ref="AZ32">IF(
    AND($H32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($H32 / 1000) * AZ$10 * $BN$4 * 0.25
    ),
    0
)
+
IF(
    $N32 &lt; 0.875,
    MAX(0, MIN(($H32 / 1000) * AZ$10 * $BN$4, AZ$11 * 0.876) - (AZ$11 * $N32)) * 0.25,
    0
)</f>
        <v>0</v>
      </c>
      <c r="BA32" s="36" cm="1">
        <f t="array" ref="BA32">IF(
    AND($H32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($H32 / 1000) * BA$10 * $BN$4 * 0.25
    ),
    0
)
+
IF(
    $N32 &lt; 0.875,
    MAX(0, MIN(($H32 / 1000) * BA$10 * $BN$4, BA$11 * 0.876) - (BA$11 * $N32)) * 0.25,
    0
)</f>
        <v>0</v>
      </c>
      <c r="BB32" s="36" cm="1">
        <f t="array" ref="BB32">IF(
    AND($H32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($H32 / 1000) * BB$10 * $BN$4 * 0.25
    ),
    0
)
+
IF(
    $N32 &lt; 0.875,
    MAX(0, MIN(($H32 / 1000) * BB$10 * $BN$4, BB$11 * 0.876) - (BB$11 * $N32)) * 0.25,
    0
)</f>
        <v>0</v>
      </c>
      <c r="BC32" s="36" cm="1">
        <f t="array" ref="BC32">IF(
    AND($H32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($H32 / 1000) * BC$10 * $BN$4 * 0.25
    ),
    0
)
+
IF(
    $N32 &lt; 0.875,
    MAX(0, MIN(($H32 / 1000) * BC$10 * $BN$4, BC$11 * 0.876) - (BC$11 * $N32)) * 0.25,
    0
)</f>
        <v>0</v>
      </c>
      <c r="BD32" s="36" cm="1">
        <f t="array" ref="BD32">IF(
    AND($H32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($H32 / 1000) * BD$10 * $BN$4 * 0.25
    ),
    0
)
+
IF(
    $N32 &lt; 0.875,
    MAX(0, MIN(($H32 / 1000) * BD$10 * $BN$4, BD$11 * 0.876) - (BD$11 * $N32)) * 0.25,
    0
)</f>
        <v>0</v>
      </c>
      <c r="BE32" s="36" cm="1">
        <f t="array" ref="BE32">IF(
    AND($H32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($H32 / 1000) * BE$10 * $BN$4 * 0.25
    ),
    0
)
+
IF(
    $N32 &lt; 0.875,
    MAX(0, MIN(($H32 / 1000) * BE$10 * $BN$4, BE$11 * 0.876) - (BE$11 * $N32)) * 0.25,
    0
)</f>
        <v>0</v>
      </c>
      <c r="BF32" s="36" cm="1">
        <f t="array" ref="BF32">IF(
    AND($H32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($H32 / 1000) * BF$10 * $BN$4 * 0.25
    ),
    0
)
+
IF(
    $N32 &lt; 0.875,
    MAX(0, MIN(($H32 / 1000) * BF$10 * $BN$4, BF$11 * 0.876) - (BF$11 * $N32)) * 0.25,
    0
)</f>
        <v>0</v>
      </c>
      <c r="BG32" s="8">
        <f>AVERAGE(TabellaMar2026[[#This Row],[Colonna55]:[Colonna53]])</f>
        <v>0</v>
      </c>
      <c r="BH32" s="8">
        <f>MAX(TabellaMar2026[[#This Row],[Colonna55]:[Colonna53]])</f>
        <v>0</v>
      </c>
      <c r="BI32" s="35">
        <f>MIN(TabellaMar2026[[#This Row],[Colonna55]:[Colonna53]])</f>
        <v>0</v>
      </c>
      <c r="BJ32" s="48">
        <f>SUM(TabellaMar2026[[#This Row],[Colonna54]:[Colonna53]])</f>
        <v>0</v>
      </c>
      <c r="BK32" s="54">
        <f>(SUM(Tabella01MarzoInverter[[Active power TX1-INV-1]:[Active power TX3-INV-12]]) * 0.25) / (12625 * (SUM($G$15:$H$110) * 0.25 / 1000))</f>
        <v>1.014229628761051</v>
      </c>
      <c r="BL32" s="5"/>
      <c r="BM32" s="5"/>
      <c r="BN32" s="8"/>
      <c r="BO32" s="8"/>
      <c r="BP32" s="19"/>
    </row>
    <row r="33" spans="1:68" s="3" customFormat="1" x14ac:dyDescent="0.25">
      <c r="A33" s="18">
        <v>46147</v>
      </c>
      <c r="B33" t="s">
        <v>33</v>
      </c>
      <c r="C33" s="5">
        <v>-1</v>
      </c>
      <c r="D33" s="6">
        <v>-2.5000000000000001E-4</v>
      </c>
      <c r="E33" s="6">
        <v>-1</v>
      </c>
      <c r="F33" s="6">
        <v>-2.5000000000000001E-4</v>
      </c>
      <c r="G33" s="6">
        <f>IFERROR((D33+F33)/2, 0)</f>
        <v>-2.5000000000000001E-4</v>
      </c>
      <c r="H33" s="7">
        <f>IFERROR(IF(AVERAGE(C33,E33)&gt;$BN$7,AVERAGE(C33,E33),0), 0)</f>
        <v>0</v>
      </c>
      <c r="I33" s="7">
        <f>IFERROR(IF(AND(D33=0,F33=0),0,IF(H33&gt;$BN$6,MAX(D33,F33),G33)), 0)</f>
        <v>-2.5000000000000001E-4</v>
      </c>
      <c r="J33" s="6">
        <f>IFERROR(IF(AND(D33&gt;0,F33&gt;0),ABS(D33-F33)/AVERAGE(D33,F33),0), 0)</f>
        <v>0</v>
      </c>
      <c r="K33" s="6">
        <v>30386.2</v>
      </c>
      <c r="L33" s="6">
        <v>30386.2</v>
      </c>
      <c r="M33" s="8">
        <f>IFERROR((L33-K33)*1000, 0)</f>
        <v>0</v>
      </c>
      <c r="N33" s="6">
        <v>0.87599999999999989</v>
      </c>
      <c r="O33" s="8" cm="1">
        <f t="array" ref="O33">IF(
    AND($H33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($H33 / 1000) * O$10 * $BN$4 * 0.25
    ),
    0
)
+
IF(
    $N33 &lt; 0.875,
    MAX(0, MIN(($H33 / 1000) * O$10 * $BN$4, O$11 * 0.876) - (O$11 * $N33)) * 0.25,
    0
)</f>
        <v>0</v>
      </c>
      <c r="P33" s="8" cm="1">
        <f t="array" ref="P33">IF(
    AND($H33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($H33 / 1000) * P$10 * $BN$4 * 0.25
    ),
    0
)
+
IF(
    $N33 &lt; 0.875,
    MAX(0, MIN(($H33 / 1000) * P$10 * $BN$4, P$11 * 0.876) - (P$11 * $N33)) * 0.25,
    0
)</f>
        <v>0</v>
      </c>
      <c r="Q33" s="8" cm="1">
        <f t="array" ref="Q33">IF(
    AND($H33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($H33 / 1000) * Q$10 * $BN$4 * 0.25
    ),
    0
)
+
IF(
    $N33 &lt; 0.875,
    MAX(0, MIN(($H33 / 1000) * Q$10 * $BN$4, Q$11 * 0.876) - (Q$11 * $N33)) * 0.25,
    0
)</f>
        <v>0</v>
      </c>
      <c r="R33" s="8" cm="1">
        <f t="array" ref="R33">IF(
    AND($H33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($H33 / 1000) * R$10 * $BN$4 * 0.25
    ),
    0
)
+
IF(
    $N33 &lt; 0.875,
    MAX(0, MIN(($H33 / 1000) * R$10 * $BN$4, R$11 * 0.876) - (R$11 * $N33)) * 0.25,
    0
)</f>
        <v>0</v>
      </c>
      <c r="S33" s="8" cm="1">
        <f t="array" ref="S33">IF(
    AND($H33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($H33 / 1000) * S$10 * $BN$4 * 0.25
    ),
    0
)
+
IF(
    $N33 &lt; 0.875,
    MAX(0, MIN(($H33 / 1000) * S$10 * $BN$4, S$11 * 0.876) - (S$11 * $N33)) * 0.25,
    0
)</f>
        <v>0</v>
      </c>
      <c r="T33" s="8" cm="1">
        <f t="array" ref="T33">IF(
    AND($H33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($H33 / 1000) * T$10 * $BN$4 * 0.25
    ),
    0
)
+
IF(
    $N33 &lt; 0.875,
    MAX(0, MIN(($H33 / 1000) * T$10 * $BN$4, T$11 * 0.876) - (T$11 * $N33)) * 0.25,
    0
)</f>
        <v>0</v>
      </c>
      <c r="U33" s="8" cm="1">
        <f t="array" ref="U33">IF(
    AND($H33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($H33 / 1000) * U$10 * $BN$4 * 0.25
    ),
    0
)
+
IF(
    $N33 &lt; 0.875,
    MAX(0, MIN(($H33 / 1000) * U$10 * $BN$4, U$11 * 0.876) - (U$11 * $N33)) * 0.25,
    0
)</f>
        <v>0</v>
      </c>
      <c r="V33" s="8" cm="1">
        <f t="array" ref="V33">IF(
    AND($H33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($H33 / 1000) * V$10 * $BN$4 * 0.25
    ),
    0
)
+
IF(
    $N33 &lt; 0.875,
    MAX(0, MIN(($H33 / 1000) * V$10 * $BN$4, V$11 * 0.876) - (V$11 * $N33)) * 0.25,
    0
)</f>
        <v>0</v>
      </c>
      <c r="W33" s="8" cm="1">
        <f t="array" ref="W33">IF(
    AND($H33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($H33 / 1000) * W$10 * $BN$4 * 0.25
    ),
    0
)
+
IF(
    $N33 &lt; 0.875,
    MAX(0, MIN(($H33 / 1000) * W$10 * $BN$4, W$11 * 0.876) - (W$11 * $N33)) * 0.25,
    0
)</f>
        <v>0</v>
      </c>
      <c r="X33" s="8" cm="1">
        <f t="array" ref="X33">IF(
    AND($H33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($H33 / 1000) * X$10 * $BN$4 * 0.25
    ),
    0
)
+
IF(
    $N33 &lt; 0.875,
    MAX(0, MIN(($H33 / 1000) * X$10 * $BN$4, X$11 * 0.876) - (X$11 * $N33)) * 0.25,
    0
)</f>
        <v>0</v>
      </c>
      <c r="Y33" s="8" cm="1">
        <f t="array" ref="Y33">IF(
    AND($H33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($H33 / 1000) * Y$10 * $BN$4 * 0.25
    ),
    0
)
+
IF(
    $N33 &lt; 0.875,
    MAX(0, MIN(($H33 / 1000) * Y$10 * $BN$4, Y$11 * 0.876) - (Y$11 * $N33)) * 0.25,
    0
)</f>
        <v>0</v>
      </c>
      <c r="Z33" s="8" cm="1">
        <f t="array" ref="Z33">IF(
    AND($H33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($H33 / 1000) * Z$10 * $BN$4 * 0.25
    ),
    0
)
+
IF(
    $N33 &lt; 0.875,
    MAX(0, MIN(($H33 / 1000) * Z$10 * $BN$4, Z$11 * 0.876) - (Z$11 * $N33)) * 0.25,
    0
)</f>
        <v>0</v>
      </c>
      <c r="AA33" s="8">
        <f>AVERAGE(TabellaMar2026[[#This Row],[Colonna24]:[Colonna20]])</f>
        <v>0</v>
      </c>
      <c r="AB33" s="8">
        <f>MAX(TabellaMar2026[[#This Row],[Colonna24]:[Colonna20]])</f>
        <v>0</v>
      </c>
      <c r="AC33" s="35">
        <f>MIN(TabellaMar2026[[#This Row],[Colonna24]:[Colonna20]])</f>
        <v>0</v>
      </c>
      <c r="AD33" s="44">
        <f>SUM(TabellaMar2026[[#This Row],[Colonna24]:[Colonna20]])</f>
        <v>0</v>
      </c>
      <c r="AE33" s="36">
        <f>IF(
    AND($H33 &gt; $BN$7, Tabella01MarzoInverter[[#This Row],[Active power TX2-INV-1]] &lt;= 0, Tabella01MarzoInverter[[#This Row],[TX2 - Average Power]] &lt;= 0),
    MIN(($H33 / 1000) * AE$10 * $BN$4, AE$11 * 0.876) * 0.25,
    IF(
        AND($H33 &gt; $BN$7, Tabella01MarzoInverter[[#This Row],[Active power TX2-INV-1]] &lt;= 0),
        Tabella01MarzoInverter[[#This Row],[TX2 - Average Power]] * 0.25,
        0
    )
    +
    IF(
        $N33 &lt; 0.875,
        MAX(0, MIN(($H33 / 1000) * AE$10 * $BN$4, AE$11 * 0.876) - (AE$11 * $N33)) * 0.25,
        0
    )
)</f>
        <v>0</v>
      </c>
      <c r="AF33" s="36">
        <f>IF(
    AND($H33 &gt; $BN$7, Tabella01MarzoInverter[[#This Row],[Active power TX2-INV-2]] &lt;= 0, Tabella01MarzoInverter[[#This Row],[TX2 - Max Power]] &lt;= 0),
    MIN(($H33 / 1000) * AF$10 * $BN$4, AF$11 * 0.876) * 0.25,
    IF(
        AND($H33 &gt; $BN$7, Tabella01MarzoInverter[[#This Row],[Active power TX2-INV-2]] &lt;= 0),
        Tabella01MarzoInverter[[#This Row],[TX2 - Max Power]] * 0.25,
        0
    )
    +
    IF(
        $N33 &lt; 0.875,
        MAX(0, MIN(($H33 / 1000) * AF$10 * $BN$4, AF$11 * 0.876) - (AF$11 * $N33)) * 0.25,
        0
    )
)</f>
        <v>0</v>
      </c>
      <c r="AG33" s="36">
        <f>IF(
    AND($H33 &gt; $BN$7, Tabella01MarzoInverter[[#This Row],[Active power TX2-INV-3]] &lt;= 0, Tabella01MarzoInverter[[#This Row],[TX2 - Min Power]] &lt;= 0),
    MIN(($H33 / 1000) * AG$10 * $BN$4, AG$11 * 0.876) * 0.25,
    IF(
        AND($H33 &gt; $BN$7, Tabella01MarzoInverter[[#This Row],[Active power TX2-INV-3]] &lt;= 0),
        Tabella01MarzoInverter[[#This Row],[TX2 - Min Power]] * 0.25,
        0
    )
    +
    IF(
        $N33 &lt; 0.875,
        MAX(0, MIN(($H33 / 1000) * AG$10 * $BN$4, AG$11 * 0.876) - (AG$11 * $N33)) * 0.25,
        0
    )
)</f>
        <v>0</v>
      </c>
      <c r="AH33" s="36">
        <f>IF(
    AND($H33 &gt; $BN$7, Tabella01MarzoInverter[[#This Row],[Active power TX2-INV-4]] &lt;= 0, Tabella01MarzoInverter[[#This Row],[Active power TX3-INV-1]] &lt;= 0),
    MIN(($H33 / 1000) * AH$10 * $BN$4, AH$11 * 0.876) * 0.25,
    IF(
        AND($H33 &gt; $BN$7, Tabella01MarzoInverter[[#This Row],[Active power TX2-INV-4]] &lt;= 0),
        Tabella01MarzoInverter[[#This Row],[Active power TX3-INV-1]] * 0.25,
        0
    )
    +
    IF(
        $N33 &lt; 0.875,
        MAX(0, MIN(($H33 / 1000) * AH$10 * $BN$4, AH$11 * 0.876) - (AH$11 * $N33)) * 0.25,
        0
    )
)</f>
        <v>0</v>
      </c>
      <c r="AI33" s="36">
        <f>IF(
    AND($H33 &gt; $BN$7, Tabella01MarzoInverter[[#This Row],[Active power TX2-INV-5]] &lt;= 0, Tabella01MarzoInverter[[#This Row],[Active power TX3-INV-2]] &lt;= 0),
    MIN(($H33 / 1000) * AI$10 * $BN$4, AI$11 * 0.876) * 0.25,
    IF(
        AND($H33 &gt; $BN$7, Tabella01MarzoInverter[[#This Row],[Active power TX2-INV-5]] &lt;= 0),
        Tabella01MarzoInverter[[#This Row],[Active power TX3-INV-2]] * 0.25,
        0
    )
    +
    IF(
        $N33 &lt; 0.875,
        MAX(0, MIN(($H33 / 1000) * AI$10 * $BN$4, AI$11 * 0.876) - (AI$11 * $N33)) * 0.25,
        0
    )
)</f>
        <v>0</v>
      </c>
      <c r="AJ33" s="36">
        <f>IF(
    AND($H33 &gt; $BN$7, Tabella01MarzoInverter[[#This Row],[Active power TX2-INV-6]] &lt;= 0, Tabella01MarzoInverter[[#This Row],[Active power TX3-INV-3]] &lt;= 0),
    MIN(($H33 / 1000) * AJ$10 * $BN$4, AJ$11 * 0.876) * 0.25,
    IF(
        AND($H33 &gt; $BN$7, Tabella01MarzoInverter[[#This Row],[Active power TX2-INV-6]] &lt;= 0),
        Tabella01MarzoInverter[[#This Row],[Active power TX3-INV-3]] * 0.25,
        0
    )
    +
    IF(
        $N33 &lt; 0.875,
        MAX(0, MIN(($H33 / 1000) * AJ$10 * $BN$4, AJ$11 * 0.876) - (AJ$11 * $N33)) * 0.25,
        0
    )
)</f>
        <v>0</v>
      </c>
      <c r="AK33" s="36">
        <f>IF(
    AND($H33 &gt; $BN$7, Tabella01MarzoInverter[[#This Row],[Active power TX2-INV-7]] &lt;= 0, Tabella01MarzoInverter[[#This Row],[Active power TX3-INV-4]] &lt;= 0),
    MIN(($H33 / 1000) * AK$10 * $BN$4, AK$11 * 0.876) * 0.25,
    IF(
        AND($H33 &gt; $BN$7, Tabella01MarzoInverter[[#This Row],[Active power TX2-INV-7]] &lt;= 0),
        Tabella01MarzoInverter[[#This Row],[Active power TX3-INV-4]] * 0.25,
        0
    )
    +
    IF(
        $N33 &lt; 0.875,
        MAX(0, MIN(($H33 / 1000) * AK$10 * $BN$4, AK$11 * 0.876) - (AK$11 * $N33)) * 0.25,
        0
    )
)</f>
        <v>0</v>
      </c>
      <c r="AL33" s="36">
        <f>IF(
    AND($H33 &gt; $BN$7, Tabella01MarzoInverter[[#This Row],[Active power TX2-INV-8]] &lt;= 0, Tabella01MarzoInverter[[#This Row],[Active power TX3-INV-5]] &lt;= 0),
    MIN(($H33 / 1000) * AL$10 * $BN$4, AL$11 * 0.876) * 0.25,
    IF(
        AND($H33 &gt; $BN$7, Tabella01MarzoInverter[[#This Row],[Active power TX2-INV-8]] &lt;= 0),
        Tabella01MarzoInverter[[#This Row],[Active power TX3-INV-5]] * 0.25,
        0
    )
    +
    IF(
        $N33 &lt; 0.875,
        MAX(0, MIN(($H33 / 1000) * AL$10 * $BN$4, AL$11 * 0.876) - (AL$11 * $N33)) * 0.25,
        0
    )
)</f>
        <v>0</v>
      </c>
      <c r="AM33" s="36">
        <f>IF(
    AND($H33 &gt; $BN$7, Tabella01MarzoInverter[[#This Row],[Active power TX2-INV-9]] &lt;= 0, Tabella01MarzoInverter[[#This Row],[Active power TX3-INV-6]] &lt;= 0),
    MIN(($H33 / 1000) * AM$10 * $BN$4, AM$11 * 0.876) * 0.25,
    IF(
        AND($H33 &gt; $BN$7, Tabella01MarzoInverter[[#This Row],[Active power TX2-INV-9]] &lt;= 0),
        Tabella01MarzoInverter[[#This Row],[Active power TX3-INV-6]] * 0.25,
        0
    )
    +
    IF(
        $N33 &lt; 0.875,
        MAX(0, MIN(($H33 / 1000) * AM$10 * $BN$4, AM$11 * 0.876) - (AM$11 * $N33)) * 0.25,
        0
    )
)</f>
        <v>0</v>
      </c>
      <c r="AN33" s="36">
        <f>IF(
    AND($H33 &gt; $BN$7, Tabella01MarzoInverter[[#This Row],[Active power TX2-INV-10]] &lt;= 0, Tabella01MarzoInverter[[#This Row],[Active power TX3-INV-7]] &lt;= 0),
    MIN(($H33 / 1000) * AN$10 * $BN$4, AN$11 * 0.876) * 0.25,
    IF(
        AND($H33 &gt; $BN$7, Tabella01MarzoInverter[[#This Row],[Active power TX2-INV-10]] &lt;= 0),
        Tabella01MarzoInverter[[#This Row],[Active power TX3-INV-7]] * 0.25,
        0
    )
    +
    IF(
        $N33 &lt; 0.875,
        MAX(0, MIN(($H33 / 1000) * AN$10 * $BN$4, AN$11 * 0.876) - (AN$11 * $N33)) * 0.25,
        0
    )
)</f>
        <v>0</v>
      </c>
      <c r="AO33" s="36">
        <f>IF(
    AND($H33 &gt; $BN$7, Tabella01MarzoInverter[[#This Row],[Active power TX2-INV-11]] &lt;= 0, Tabella01MarzoInverter[[#This Row],[Active power TX3-INV-8]] &lt;= 0),
    MIN(($H33 / 1000) * AO$10 * $BN$4, AO$11 * 0.876) * 0.25,
    IF(
        AND($H33 &gt; $BN$7, Tabella01MarzoInverter[[#This Row],[Active power TX2-INV-11]] &lt;= 0),
        Tabella01MarzoInverter[[#This Row],[Active power TX3-INV-8]] * 0.25,
        0
    )
    +
    IF(
        $N33 &lt; 0.875,
        MAX(0, MIN(($H33 / 1000) * AO$10 * $BN$4, AO$11 * 0.876) - (AO$11 * $N33)) * 0.25,
        0
    )
)</f>
        <v>0</v>
      </c>
      <c r="AP33" s="36">
        <f>IF(
    AND($H33 &gt; $BN$7, Tabella01MarzoInverter[[#This Row],[Active power TX2-INV-12]] &lt;= 0, Tabella01MarzoInverter[[#This Row],[Active power TX3-INV-9]] &lt;= 0),
    MIN(($H33 / 1000) * AP$10 * $BN$4, AP$11 * 0.876) * 0.25,
    IF(
        AND($H33 &gt; $BN$7, Tabella01MarzoInverter[[#This Row],[Active power TX2-INV-12]] &lt;= 0),
        Tabella01MarzoInverter[[#This Row],[Active power TX3-INV-9]] * 0.25,
        0
    )
    +
    IF(
        $N33 &lt; 0.875,
        MAX(0, MIN(($H33 / 1000) * AP$10 * $BN$4, AP$11 * 0.876) - (AP$11 * $N33)) * 0.25,
        0
    )
)</f>
        <v>0</v>
      </c>
      <c r="AQ33" s="8">
        <f>AVERAGE(TabellaMar2026[[#This Row],[Colonna39]:[Colonna6]])</f>
        <v>0</v>
      </c>
      <c r="AR33" s="8">
        <f>MAX(TabellaMar2026[[#This Row],[Colonna39]:[Colonna6]])</f>
        <v>0</v>
      </c>
      <c r="AS33" s="35">
        <f>MIN(TabellaMar2026[[#This Row],[Colonna39]:[Colonna6]])</f>
        <v>0</v>
      </c>
      <c r="AT33" s="48">
        <f>SUM(TabellaMar2026[[#This Row],[Colonna39]:[Colonna6]])</f>
        <v>0</v>
      </c>
      <c r="AU33" s="36" cm="1">
        <f t="array" ref="AU33">IF(
    AND($H33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($H33 / 1000) * AU$10 * $BN$4 * 0.25
    ),
    0
)
+
IF(
    $N33 &lt; 0.875,
    MAX(0, MIN(($H33 / 1000) * AU$10 * $BN$4, AU$11 * 0.876) - (AU$11 * $N33)) * 0.25,
    0
)</f>
        <v>0</v>
      </c>
      <c r="AV33" s="36" cm="1">
        <f t="array" ref="AV33">IF(
    AND($H33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($H33 / 1000) * AV$10 * $BN$4 * 0.25
    ),
    0
)
+
IF(
    $N33 &lt; 0.875,
    MAX(0, MIN(($H33 / 1000) * AV$10 * $BN$4, AV$11 * 0.876) - (AV$11 * $N33)) * 0.25,
    0
)</f>
        <v>0</v>
      </c>
      <c r="AW33" s="36" cm="1">
        <f t="array" ref="AW33">IF(
    AND($H33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($H33 / 1000) * AW$10 * $BN$4 * 0.25
    ),
    0
)
+
IF(
    $N33 &lt; 0.875,
    MAX(0, MIN(($H33 / 1000) * AW$10 * $BN$4, AW$11 * 0.876) - (AW$11 * $N33)) * 0.25,
    0
)</f>
        <v>0</v>
      </c>
      <c r="AX33" s="36" cm="1">
        <f t="array" ref="AX33">IF(
    AND($H33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($H33 / 1000) * AX$10 * $BN$4 * 0.25
    ),
    0
)
+
IF(
    $N33 &lt; 0.875,
    MAX(0, MIN(($H33 / 1000) * AX$10 * $BN$4, AX$11 * 0.876) - (AX$11 * $N33)) * 0.25,
    0
)</f>
        <v>0</v>
      </c>
      <c r="AY33" s="36" cm="1">
        <f t="array" ref="AY33">IF(
    AND($H33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($H33 / 1000) * AY$10 * $BN$4 * 0.25
    ),
    0
)
+
IF(
    $N33 &lt; 0.875,
    MAX(0, MIN(($H33 / 1000) * AY$10 * $BN$4, AY$11 * 0.876) - (AY$11 * $N33)) * 0.25,
    0
)</f>
        <v>0</v>
      </c>
      <c r="AZ33" s="36" cm="1">
        <f t="array" ref="AZ33">IF(
    AND($H33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($H33 / 1000) * AZ$10 * $BN$4 * 0.25
    ),
    0
)
+
IF(
    $N33 &lt; 0.875,
    MAX(0, MIN(($H33 / 1000) * AZ$10 * $BN$4, AZ$11 * 0.876) - (AZ$11 * $N33)) * 0.25,
    0
)</f>
        <v>0</v>
      </c>
      <c r="BA33" s="36" cm="1">
        <f t="array" ref="BA33">IF(
    AND($H33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($H33 / 1000) * BA$10 * $BN$4 * 0.25
    ),
    0
)
+
IF(
    $N33 &lt; 0.875,
    MAX(0, MIN(($H33 / 1000) * BA$10 * $BN$4, BA$11 * 0.876) - (BA$11 * $N33)) * 0.25,
    0
)</f>
        <v>0</v>
      </c>
      <c r="BB33" s="36" cm="1">
        <f t="array" ref="BB33">IF(
    AND($H33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($H33 / 1000) * BB$10 * $BN$4 * 0.25
    ),
    0
)
+
IF(
    $N33 &lt; 0.875,
    MAX(0, MIN(($H33 / 1000) * BB$10 * $BN$4, BB$11 * 0.876) - (BB$11 * $N33)) * 0.25,
    0
)</f>
        <v>0</v>
      </c>
      <c r="BC33" s="36" cm="1">
        <f t="array" ref="BC33">IF(
    AND($H33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($H33 / 1000) * BC$10 * $BN$4 * 0.25
    ),
    0
)
+
IF(
    $N33 &lt; 0.875,
    MAX(0, MIN(($H33 / 1000) * BC$10 * $BN$4, BC$11 * 0.876) - (BC$11 * $N33)) * 0.25,
    0
)</f>
        <v>0</v>
      </c>
      <c r="BD33" s="36" cm="1">
        <f t="array" ref="BD33">IF(
    AND($H33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($H33 / 1000) * BD$10 * $BN$4 * 0.25
    ),
    0
)
+
IF(
    $N33 &lt; 0.875,
    MAX(0, MIN(($H33 / 1000) * BD$10 * $BN$4, BD$11 * 0.876) - (BD$11 * $N33)) * 0.25,
    0
)</f>
        <v>0</v>
      </c>
      <c r="BE33" s="36" cm="1">
        <f t="array" ref="BE33">IF(
    AND($H33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($H33 / 1000) * BE$10 * $BN$4 * 0.25
    ),
    0
)
+
IF(
    $N33 &lt; 0.875,
    MAX(0, MIN(($H33 / 1000) * BE$10 * $BN$4, BE$11 * 0.876) - (BE$11 * $N33)) * 0.25,
    0
)</f>
        <v>0</v>
      </c>
      <c r="BF33" s="36" cm="1">
        <f t="array" ref="BF33">IF(
    AND($H33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($H33 / 1000) * BF$10 * $BN$4 * 0.25
    ),
    0
)
+
IF(
    $N33 &lt; 0.875,
    MAX(0, MIN(($H33 / 1000) * BF$10 * $BN$4, BF$11 * 0.876) - (BF$11 * $N33)) * 0.25,
    0
)</f>
        <v>0</v>
      </c>
      <c r="BG33" s="8">
        <f>AVERAGE(TabellaMar2026[[#This Row],[Colonna55]:[Colonna53]])</f>
        <v>0</v>
      </c>
      <c r="BH33" s="8">
        <f>MAX(TabellaMar2026[[#This Row],[Colonna55]:[Colonna53]])</f>
        <v>0</v>
      </c>
      <c r="BI33" s="35">
        <f>MIN(TabellaMar2026[[#This Row],[Colonna55]:[Colonna53]])</f>
        <v>0</v>
      </c>
      <c r="BJ33" s="48">
        <f>SUM(TabellaMar2026[[#This Row],[Colonna54]:[Colonna53]])</f>
        <v>0</v>
      </c>
      <c r="BK33" s="54">
        <f>(SUM(Tabella01MarzoInverter[[Active power TX1-INV-1]:[Active power TX3-INV-12]]) * 0.25) / (12625 * (SUM($G$15:$H$110) * 0.25 / 1000))</f>
        <v>1.014229628761051</v>
      </c>
      <c r="BL33" s="5"/>
      <c r="BM33" s="5"/>
      <c r="BN33" s="8"/>
      <c r="BO33" s="8"/>
      <c r="BP33" s="19"/>
    </row>
    <row r="34" spans="1:68" s="3" customFormat="1" x14ac:dyDescent="0.25">
      <c r="A34" s="18">
        <v>46147</v>
      </c>
      <c r="B34" t="s">
        <v>34</v>
      </c>
      <c r="C34" s="5">
        <v>-1</v>
      </c>
      <c r="D34" s="6">
        <v>-2.5000000000000001E-4</v>
      </c>
      <c r="E34" s="6">
        <v>-0.7</v>
      </c>
      <c r="F34" s="6">
        <v>-1.75E-4</v>
      </c>
      <c r="G34" s="6">
        <f>IFERROR((D34+F34)/2, 0)</f>
        <v>-2.1250000000000002E-4</v>
      </c>
      <c r="H34" s="7">
        <f>IFERROR(IF(AVERAGE(C34,E34)&gt;$BN$7,AVERAGE(C34,E34),0), 0)</f>
        <v>0</v>
      </c>
      <c r="I34" s="7">
        <f>IFERROR(IF(AND(D34=0,F34=0),0,IF(H34&gt;$BN$6,MAX(D34,F34),G34)), 0)</f>
        <v>-2.1250000000000002E-4</v>
      </c>
      <c r="J34" s="6">
        <f>IFERROR(IF(AND(D34&gt;0,F34&gt;0),ABS(D34-F34)/AVERAGE(D34,F34),0), 0)</f>
        <v>0</v>
      </c>
      <c r="K34" s="6">
        <v>30386.2</v>
      </c>
      <c r="L34" s="6">
        <v>30386.2</v>
      </c>
      <c r="M34" s="8">
        <f>IFERROR((L34-K34)*1000, 0)</f>
        <v>0</v>
      </c>
      <c r="N34" s="6">
        <v>0.87599999999999989</v>
      </c>
      <c r="O34" s="8" cm="1">
        <f t="array" ref="O34">IF(
    AND($H34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($H34 / 1000) * O$10 * $BN$4 * 0.25
    ),
    0
)
+
IF(
    $N34 &lt; 0.875,
    MAX(0, MIN(($H34 / 1000) * O$10 * $BN$4, O$11 * 0.876) - (O$11 * $N34)) * 0.25,
    0
)</f>
        <v>0</v>
      </c>
      <c r="P34" s="8" cm="1">
        <f t="array" ref="P34">IF(
    AND($H34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($H34 / 1000) * P$10 * $BN$4 * 0.25
    ),
    0
)
+
IF(
    $N34 &lt; 0.875,
    MAX(0, MIN(($H34 / 1000) * P$10 * $BN$4, P$11 * 0.876) - (P$11 * $N34)) * 0.25,
    0
)</f>
        <v>0</v>
      </c>
      <c r="Q34" s="8" cm="1">
        <f t="array" ref="Q34">IF(
    AND($H34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($H34 / 1000) * Q$10 * $BN$4 * 0.25
    ),
    0
)
+
IF(
    $N34 &lt; 0.875,
    MAX(0, MIN(($H34 / 1000) * Q$10 * $BN$4, Q$11 * 0.876) - (Q$11 * $N34)) * 0.25,
    0
)</f>
        <v>0</v>
      </c>
      <c r="R34" s="8" cm="1">
        <f t="array" ref="R34">IF(
    AND($H34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($H34 / 1000) * R$10 * $BN$4 * 0.25
    ),
    0
)
+
IF(
    $N34 &lt; 0.875,
    MAX(0, MIN(($H34 / 1000) * R$10 * $BN$4, R$11 * 0.876) - (R$11 * $N34)) * 0.25,
    0
)</f>
        <v>0</v>
      </c>
      <c r="S34" s="8" cm="1">
        <f t="array" ref="S34">IF(
    AND($H34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($H34 / 1000) * S$10 * $BN$4 * 0.25
    ),
    0
)
+
IF(
    $N34 &lt; 0.875,
    MAX(0, MIN(($H34 / 1000) * S$10 * $BN$4, S$11 * 0.876) - (S$11 * $N34)) * 0.25,
    0
)</f>
        <v>0</v>
      </c>
      <c r="T34" s="8" cm="1">
        <f t="array" ref="T34">IF(
    AND($H34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($H34 / 1000) * T$10 * $BN$4 * 0.25
    ),
    0
)
+
IF(
    $N34 &lt; 0.875,
    MAX(0, MIN(($H34 / 1000) * T$10 * $BN$4, T$11 * 0.876) - (T$11 * $N34)) * 0.25,
    0
)</f>
        <v>0</v>
      </c>
      <c r="U34" s="8" cm="1">
        <f t="array" ref="U34">IF(
    AND($H34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($H34 / 1000) * U$10 * $BN$4 * 0.25
    ),
    0
)
+
IF(
    $N34 &lt; 0.875,
    MAX(0, MIN(($H34 / 1000) * U$10 * $BN$4, U$11 * 0.876) - (U$11 * $N34)) * 0.25,
    0
)</f>
        <v>0</v>
      </c>
      <c r="V34" s="8" cm="1">
        <f t="array" ref="V34">IF(
    AND($H34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($H34 / 1000) * V$10 * $BN$4 * 0.25
    ),
    0
)
+
IF(
    $N34 &lt; 0.875,
    MAX(0, MIN(($H34 / 1000) * V$10 * $BN$4, V$11 * 0.876) - (V$11 * $N34)) * 0.25,
    0
)</f>
        <v>0</v>
      </c>
      <c r="W34" s="8" cm="1">
        <f t="array" ref="W34">IF(
    AND($H34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($H34 / 1000) * W$10 * $BN$4 * 0.25
    ),
    0
)
+
IF(
    $N34 &lt; 0.875,
    MAX(0, MIN(($H34 / 1000) * W$10 * $BN$4, W$11 * 0.876) - (W$11 * $N34)) * 0.25,
    0
)</f>
        <v>0</v>
      </c>
      <c r="X34" s="8" cm="1">
        <f t="array" ref="X34">IF(
    AND($H34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($H34 / 1000) * X$10 * $BN$4 * 0.25
    ),
    0
)
+
IF(
    $N34 &lt; 0.875,
    MAX(0, MIN(($H34 / 1000) * X$10 * $BN$4, X$11 * 0.876) - (X$11 * $N34)) * 0.25,
    0
)</f>
        <v>0</v>
      </c>
      <c r="Y34" s="8" cm="1">
        <f t="array" ref="Y34">IF(
    AND($H34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($H34 / 1000) * Y$10 * $BN$4 * 0.25
    ),
    0
)
+
IF(
    $N34 &lt; 0.875,
    MAX(0, MIN(($H34 / 1000) * Y$10 * $BN$4, Y$11 * 0.876) - (Y$11 * $N34)) * 0.25,
    0
)</f>
        <v>0</v>
      </c>
      <c r="Z34" s="8" cm="1">
        <f t="array" ref="Z34">IF(
    AND($H34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($H34 / 1000) * Z$10 * $BN$4 * 0.25
    ),
    0
)
+
IF(
    $N34 &lt; 0.875,
    MAX(0, MIN(($H34 / 1000) * Z$10 * $BN$4, Z$11 * 0.876) - (Z$11 * $N34)) * 0.25,
    0
)</f>
        <v>0</v>
      </c>
      <c r="AA34" s="8">
        <f>AVERAGE(TabellaMar2026[[#This Row],[Colonna24]:[Colonna20]])</f>
        <v>0</v>
      </c>
      <c r="AB34" s="8">
        <f>MAX(TabellaMar2026[[#This Row],[Colonna24]:[Colonna20]])</f>
        <v>0</v>
      </c>
      <c r="AC34" s="35">
        <f>MIN(TabellaMar2026[[#This Row],[Colonna24]:[Colonna20]])</f>
        <v>0</v>
      </c>
      <c r="AD34" s="44">
        <f>SUM(TabellaMar2026[[#This Row],[Colonna24]:[Colonna20]])</f>
        <v>0</v>
      </c>
      <c r="AE34" s="36">
        <f>IF(
    AND($H34 &gt; $BN$7, Tabella01MarzoInverter[[#This Row],[Active power TX2-INV-1]] &lt;= 0, Tabella01MarzoInverter[[#This Row],[TX2 - Average Power]] &lt;= 0),
    MIN(($H34 / 1000) * AE$10 * $BN$4, AE$11 * 0.876) * 0.25,
    IF(
        AND($H34 &gt; $BN$7, Tabella01MarzoInverter[[#This Row],[Active power TX2-INV-1]] &lt;= 0),
        Tabella01MarzoInverter[[#This Row],[TX2 - Average Power]] * 0.25,
        0
    )
    +
    IF(
        $N34 &lt; 0.875,
        MAX(0, MIN(($H34 / 1000) * AE$10 * $BN$4, AE$11 * 0.876) - (AE$11 * $N34)) * 0.25,
        0
    )
)</f>
        <v>0</v>
      </c>
      <c r="AF34" s="36">
        <f>IF(
    AND($H34 &gt; $BN$7, Tabella01MarzoInverter[[#This Row],[Active power TX2-INV-2]] &lt;= 0, Tabella01MarzoInverter[[#This Row],[TX2 - Max Power]] &lt;= 0),
    MIN(($H34 / 1000) * AF$10 * $BN$4, AF$11 * 0.876) * 0.25,
    IF(
        AND($H34 &gt; $BN$7, Tabella01MarzoInverter[[#This Row],[Active power TX2-INV-2]] &lt;= 0),
        Tabella01MarzoInverter[[#This Row],[TX2 - Max Power]] * 0.25,
        0
    )
    +
    IF(
        $N34 &lt; 0.875,
        MAX(0, MIN(($H34 / 1000) * AF$10 * $BN$4, AF$11 * 0.876) - (AF$11 * $N34)) * 0.25,
        0
    )
)</f>
        <v>0</v>
      </c>
      <c r="AG34" s="36">
        <f>IF(
    AND($H34 &gt; $BN$7, Tabella01MarzoInverter[[#This Row],[Active power TX2-INV-3]] &lt;= 0, Tabella01MarzoInverter[[#This Row],[TX2 - Min Power]] &lt;= 0),
    MIN(($H34 / 1000) * AG$10 * $BN$4, AG$11 * 0.876) * 0.25,
    IF(
        AND($H34 &gt; $BN$7, Tabella01MarzoInverter[[#This Row],[Active power TX2-INV-3]] &lt;= 0),
        Tabella01MarzoInverter[[#This Row],[TX2 - Min Power]] * 0.25,
        0
    )
    +
    IF(
        $N34 &lt; 0.875,
        MAX(0, MIN(($H34 / 1000) * AG$10 * $BN$4, AG$11 * 0.876) - (AG$11 * $N34)) * 0.25,
        0
    )
)</f>
        <v>0</v>
      </c>
      <c r="AH34" s="36">
        <f>IF(
    AND($H34 &gt; $BN$7, Tabella01MarzoInverter[[#This Row],[Active power TX2-INV-4]] &lt;= 0, Tabella01MarzoInverter[[#This Row],[Active power TX3-INV-1]] &lt;= 0),
    MIN(($H34 / 1000) * AH$10 * $BN$4, AH$11 * 0.876) * 0.25,
    IF(
        AND($H34 &gt; $BN$7, Tabella01MarzoInverter[[#This Row],[Active power TX2-INV-4]] &lt;= 0),
        Tabella01MarzoInverter[[#This Row],[Active power TX3-INV-1]] * 0.25,
        0
    )
    +
    IF(
        $N34 &lt; 0.875,
        MAX(0, MIN(($H34 / 1000) * AH$10 * $BN$4, AH$11 * 0.876) - (AH$11 * $N34)) * 0.25,
        0
    )
)</f>
        <v>0</v>
      </c>
      <c r="AI34" s="36">
        <f>IF(
    AND($H34 &gt; $BN$7, Tabella01MarzoInverter[[#This Row],[Active power TX2-INV-5]] &lt;= 0, Tabella01MarzoInverter[[#This Row],[Active power TX3-INV-2]] &lt;= 0),
    MIN(($H34 / 1000) * AI$10 * $BN$4, AI$11 * 0.876) * 0.25,
    IF(
        AND($H34 &gt; $BN$7, Tabella01MarzoInverter[[#This Row],[Active power TX2-INV-5]] &lt;= 0),
        Tabella01MarzoInverter[[#This Row],[Active power TX3-INV-2]] * 0.25,
        0
    )
    +
    IF(
        $N34 &lt; 0.875,
        MAX(0, MIN(($H34 / 1000) * AI$10 * $BN$4, AI$11 * 0.876) - (AI$11 * $N34)) * 0.25,
        0
    )
)</f>
        <v>0</v>
      </c>
      <c r="AJ34" s="36">
        <f>IF(
    AND($H34 &gt; $BN$7, Tabella01MarzoInverter[[#This Row],[Active power TX2-INV-6]] &lt;= 0, Tabella01MarzoInverter[[#This Row],[Active power TX3-INV-3]] &lt;= 0),
    MIN(($H34 / 1000) * AJ$10 * $BN$4, AJ$11 * 0.876) * 0.25,
    IF(
        AND($H34 &gt; $BN$7, Tabella01MarzoInverter[[#This Row],[Active power TX2-INV-6]] &lt;= 0),
        Tabella01MarzoInverter[[#This Row],[Active power TX3-INV-3]] * 0.25,
        0
    )
    +
    IF(
        $N34 &lt; 0.875,
        MAX(0, MIN(($H34 / 1000) * AJ$10 * $BN$4, AJ$11 * 0.876) - (AJ$11 * $N34)) * 0.25,
        0
    )
)</f>
        <v>0</v>
      </c>
      <c r="AK34" s="36">
        <f>IF(
    AND($H34 &gt; $BN$7, Tabella01MarzoInverter[[#This Row],[Active power TX2-INV-7]] &lt;= 0, Tabella01MarzoInverter[[#This Row],[Active power TX3-INV-4]] &lt;= 0),
    MIN(($H34 / 1000) * AK$10 * $BN$4, AK$11 * 0.876) * 0.25,
    IF(
        AND($H34 &gt; $BN$7, Tabella01MarzoInverter[[#This Row],[Active power TX2-INV-7]] &lt;= 0),
        Tabella01MarzoInverter[[#This Row],[Active power TX3-INV-4]] * 0.25,
        0
    )
    +
    IF(
        $N34 &lt; 0.875,
        MAX(0, MIN(($H34 / 1000) * AK$10 * $BN$4, AK$11 * 0.876) - (AK$11 * $N34)) * 0.25,
        0
    )
)</f>
        <v>0</v>
      </c>
      <c r="AL34" s="36">
        <f>IF(
    AND($H34 &gt; $BN$7, Tabella01MarzoInverter[[#This Row],[Active power TX2-INV-8]] &lt;= 0, Tabella01MarzoInverter[[#This Row],[Active power TX3-INV-5]] &lt;= 0),
    MIN(($H34 / 1000) * AL$10 * $BN$4, AL$11 * 0.876) * 0.25,
    IF(
        AND($H34 &gt; $BN$7, Tabella01MarzoInverter[[#This Row],[Active power TX2-INV-8]] &lt;= 0),
        Tabella01MarzoInverter[[#This Row],[Active power TX3-INV-5]] * 0.25,
        0
    )
    +
    IF(
        $N34 &lt; 0.875,
        MAX(0, MIN(($H34 / 1000) * AL$10 * $BN$4, AL$11 * 0.876) - (AL$11 * $N34)) * 0.25,
        0
    )
)</f>
        <v>0</v>
      </c>
      <c r="AM34" s="36">
        <f>IF(
    AND($H34 &gt; $BN$7, Tabella01MarzoInverter[[#This Row],[Active power TX2-INV-9]] &lt;= 0, Tabella01MarzoInverter[[#This Row],[Active power TX3-INV-6]] &lt;= 0),
    MIN(($H34 / 1000) * AM$10 * $BN$4, AM$11 * 0.876) * 0.25,
    IF(
        AND($H34 &gt; $BN$7, Tabella01MarzoInverter[[#This Row],[Active power TX2-INV-9]] &lt;= 0),
        Tabella01MarzoInverter[[#This Row],[Active power TX3-INV-6]] * 0.25,
        0
    )
    +
    IF(
        $N34 &lt; 0.875,
        MAX(0, MIN(($H34 / 1000) * AM$10 * $BN$4, AM$11 * 0.876) - (AM$11 * $N34)) * 0.25,
        0
    )
)</f>
        <v>0</v>
      </c>
      <c r="AN34" s="36">
        <f>IF(
    AND($H34 &gt; $BN$7, Tabella01MarzoInverter[[#This Row],[Active power TX2-INV-10]] &lt;= 0, Tabella01MarzoInverter[[#This Row],[Active power TX3-INV-7]] &lt;= 0),
    MIN(($H34 / 1000) * AN$10 * $BN$4, AN$11 * 0.876) * 0.25,
    IF(
        AND($H34 &gt; $BN$7, Tabella01MarzoInverter[[#This Row],[Active power TX2-INV-10]] &lt;= 0),
        Tabella01MarzoInverter[[#This Row],[Active power TX3-INV-7]] * 0.25,
        0
    )
    +
    IF(
        $N34 &lt; 0.875,
        MAX(0, MIN(($H34 / 1000) * AN$10 * $BN$4, AN$11 * 0.876) - (AN$11 * $N34)) * 0.25,
        0
    )
)</f>
        <v>0</v>
      </c>
      <c r="AO34" s="36">
        <f>IF(
    AND($H34 &gt; $BN$7, Tabella01MarzoInverter[[#This Row],[Active power TX2-INV-11]] &lt;= 0, Tabella01MarzoInverter[[#This Row],[Active power TX3-INV-8]] &lt;= 0),
    MIN(($H34 / 1000) * AO$10 * $BN$4, AO$11 * 0.876) * 0.25,
    IF(
        AND($H34 &gt; $BN$7, Tabella01MarzoInverter[[#This Row],[Active power TX2-INV-11]] &lt;= 0),
        Tabella01MarzoInverter[[#This Row],[Active power TX3-INV-8]] * 0.25,
        0
    )
    +
    IF(
        $N34 &lt; 0.875,
        MAX(0, MIN(($H34 / 1000) * AO$10 * $BN$4, AO$11 * 0.876) - (AO$11 * $N34)) * 0.25,
        0
    )
)</f>
        <v>0</v>
      </c>
      <c r="AP34" s="36">
        <f>IF(
    AND($H34 &gt; $BN$7, Tabella01MarzoInverter[[#This Row],[Active power TX2-INV-12]] &lt;= 0, Tabella01MarzoInverter[[#This Row],[Active power TX3-INV-9]] &lt;= 0),
    MIN(($H34 / 1000) * AP$10 * $BN$4, AP$11 * 0.876) * 0.25,
    IF(
        AND($H34 &gt; $BN$7, Tabella01MarzoInverter[[#This Row],[Active power TX2-INV-12]] &lt;= 0),
        Tabella01MarzoInverter[[#This Row],[Active power TX3-INV-9]] * 0.25,
        0
    )
    +
    IF(
        $N34 &lt; 0.875,
        MAX(0, MIN(($H34 / 1000) * AP$10 * $BN$4, AP$11 * 0.876) - (AP$11 * $N34)) * 0.25,
        0
    )
)</f>
        <v>0</v>
      </c>
      <c r="AQ34" s="8">
        <f>AVERAGE(TabellaMar2026[[#This Row],[Colonna39]:[Colonna6]])</f>
        <v>0</v>
      </c>
      <c r="AR34" s="8">
        <f>MAX(TabellaMar2026[[#This Row],[Colonna39]:[Colonna6]])</f>
        <v>0</v>
      </c>
      <c r="AS34" s="35">
        <f>MIN(TabellaMar2026[[#This Row],[Colonna39]:[Colonna6]])</f>
        <v>0</v>
      </c>
      <c r="AT34" s="48">
        <f>SUM(TabellaMar2026[[#This Row],[Colonna39]:[Colonna6]])</f>
        <v>0</v>
      </c>
      <c r="AU34" s="36" cm="1">
        <f t="array" ref="AU34">IF(
    AND($H34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($H34 / 1000) * AU$10 * $BN$4 * 0.25
    ),
    0
)
+
IF(
    $N34 &lt; 0.875,
    MAX(0, MIN(($H34 / 1000) * AU$10 * $BN$4, AU$11 * 0.876) - (AU$11 * $N34)) * 0.25,
    0
)</f>
        <v>0</v>
      </c>
      <c r="AV34" s="36" cm="1">
        <f t="array" ref="AV34">IF(
    AND($H34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($H34 / 1000) * AV$10 * $BN$4 * 0.25
    ),
    0
)
+
IF(
    $N34 &lt; 0.875,
    MAX(0, MIN(($H34 / 1000) * AV$10 * $BN$4, AV$11 * 0.876) - (AV$11 * $N34)) * 0.25,
    0
)</f>
        <v>0</v>
      </c>
      <c r="AW34" s="36" cm="1">
        <f t="array" ref="AW34">IF(
    AND($H34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($H34 / 1000) * AW$10 * $BN$4 * 0.25
    ),
    0
)
+
IF(
    $N34 &lt; 0.875,
    MAX(0, MIN(($H34 / 1000) * AW$10 * $BN$4, AW$11 * 0.876) - (AW$11 * $N34)) * 0.25,
    0
)</f>
        <v>0</v>
      </c>
      <c r="AX34" s="36" cm="1">
        <f t="array" ref="AX34">IF(
    AND($H34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($H34 / 1000) * AX$10 * $BN$4 * 0.25
    ),
    0
)
+
IF(
    $N34 &lt; 0.875,
    MAX(0, MIN(($H34 / 1000) * AX$10 * $BN$4, AX$11 * 0.876) - (AX$11 * $N34)) * 0.25,
    0
)</f>
        <v>0</v>
      </c>
      <c r="AY34" s="36" cm="1">
        <f t="array" ref="AY34">IF(
    AND($H34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($H34 / 1000) * AY$10 * $BN$4 * 0.25
    ),
    0
)
+
IF(
    $N34 &lt; 0.875,
    MAX(0, MIN(($H34 / 1000) * AY$10 * $BN$4, AY$11 * 0.876) - (AY$11 * $N34)) * 0.25,
    0
)</f>
        <v>0</v>
      </c>
      <c r="AZ34" s="36" cm="1">
        <f t="array" ref="AZ34">IF(
    AND($H34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($H34 / 1000) * AZ$10 * $BN$4 * 0.25
    ),
    0
)
+
IF(
    $N34 &lt; 0.875,
    MAX(0, MIN(($H34 / 1000) * AZ$10 * $BN$4, AZ$11 * 0.876) - (AZ$11 * $N34)) * 0.25,
    0
)</f>
        <v>0</v>
      </c>
      <c r="BA34" s="36" cm="1">
        <f t="array" ref="BA34">IF(
    AND($H34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($H34 / 1000) * BA$10 * $BN$4 * 0.25
    ),
    0
)
+
IF(
    $N34 &lt; 0.875,
    MAX(0, MIN(($H34 / 1000) * BA$10 * $BN$4, BA$11 * 0.876) - (BA$11 * $N34)) * 0.25,
    0
)</f>
        <v>0</v>
      </c>
      <c r="BB34" s="36" cm="1">
        <f t="array" ref="BB34">IF(
    AND($H34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($H34 / 1000) * BB$10 * $BN$4 * 0.25
    ),
    0
)
+
IF(
    $N34 &lt; 0.875,
    MAX(0, MIN(($H34 / 1000) * BB$10 * $BN$4, BB$11 * 0.876) - (BB$11 * $N34)) * 0.25,
    0
)</f>
        <v>0</v>
      </c>
      <c r="BC34" s="36" cm="1">
        <f t="array" ref="BC34">IF(
    AND($H34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($H34 / 1000) * BC$10 * $BN$4 * 0.25
    ),
    0
)
+
IF(
    $N34 &lt; 0.875,
    MAX(0, MIN(($H34 / 1000) * BC$10 * $BN$4, BC$11 * 0.876) - (BC$11 * $N34)) * 0.25,
    0
)</f>
        <v>0</v>
      </c>
      <c r="BD34" s="36" cm="1">
        <f t="array" ref="BD34">IF(
    AND($H34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($H34 / 1000) * BD$10 * $BN$4 * 0.25
    ),
    0
)
+
IF(
    $N34 &lt; 0.875,
    MAX(0, MIN(($H34 / 1000) * BD$10 * $BN$4, BD$11 * 0.876) - (BD$11 * $N34)) * 0.25,
    0
)</f>
        <v>0</v>
      </c>
      <c r="BE34" s="36" cm="1">
        <f t="array" ref="BE34">IF(
    AND($H34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($H34 / 1000) * BE$10 * $BN$4 * 0.25
    ),
    0
)
+
IF(
    $N34 &lt; 0.875,
    MAX(0, MIN(($H34 / 1000) * BE$10 * $BN$4, BE$11 * 0.876) - (BE$11 * $N34)) * 0.25,
    0
)</f>
        <v>0</v>
      </c>
      <c r="BF34" s="36" cm="1">
        <f t="array" ref="BF34">IF(
    AND($H34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($H34 / 1000) * BF$10 * $BN$4 * 0.25
    ),
    0
)
+
IF(
    $N34 &lt; 0.875,
    MAX(0, MIN(($H34 / 1000) * BF$10 * $BN$4, BF$11 * 0.876) - (BF$11 * $N34)) * 0.25,
    0
)</f>
        <v>0</v>
      </c>
      <c r="BG34" s="8">
        <f>AVERAGE(TabellaMar2026[[#This Row],[Colonna55]:[Colonna53]])</f>
        <v>0</v>
      </c>
      <c r="BH34" s="8">
        <f>MAX(TabellaMar2026[[#This Row],[Colonna55]:[Colonna53]])</f>
        <v>0</v>
      </c>
      <c r="BI34" s="35">
        <f>MIN(TabellaMar2026[[#This Row],[Colonna55]:[Colonna53]])</f>
        <v>0</v>
      </c>
      <c r="BJ34" s="48">
        <f>SUM(TabellaMar2026[[#This Row],[Colonna54]:[Colonna53]])</f>
        <v>0</v>
      </c>
      <c r="BK34" s="54">
        <f>(SUM(Tabella01MarzoInverter[[Active power TX1-INV-1]:[Active power TX3-INV-12]]) * 0.25) / (12625 * (SUM($G$15:$H$110) * 0.25 / 1000))</f>
        <v>1.014229628761051</v>
      </c>
      <c r="BL34" s="5"/>
      <c r="BM34" s="5"/>
      <c r="BN34" s="8"/>
      <c r="BO34" s="8"/>
      <c r="BP34" s="19"/>
    </row>
    <row r="35" spans="1:68" x14ac:dyDescent="0.25">
      <c r="A35" s="18">
        <v>46147</v>
      </c>
      <c r="B35" t="s">
        <v>35</v>
      </c>
      <c r="C35" s="5">
        <v>-1</v>
      </c>
      <c r="D35" s="6">
        <v>-2.5000000000000001E-4</v>
      </c>
      <c r="E35" s="6">
        <v>-1</v>
      </c>
      <c r="F35" s="6">
        <v>-2.5000000000000001E-4</v>
      </c>
      <c r="G35" s="6">
        <f>IFERROR((D35+F35)/2, 0)</f>
        <v>-2.5000000000000001E-4</v>
      </c>
      <c r="H35" s="7">
        <f>IFERROR(IF(AVERAGE(C35,E35)&gt;$BN$7,AVERAGE(C35,E35),0), 0)</f>
        <v>0</v>
      </c>
      <c r="I35" s="7">
        <f>IFERROR(IF(AND(D35=0,F35=0),0,IF(H35&gt;$BN$6,MAX(D35,F35),G35)), 0)</f>
        <v>-2.5000000000000001E-4</v>
      </c>
      <c r="J35" s="6">
        <f>IFERROR(IF(AND(D35&gt;0,F35&gt;0),ABS(D35-F35)/AVERAGE(D35,F35),0), 0)</f>
        <v>0</v>
      </c>
      <c r="K35" s="6">
        <v>30386.2</v>
      </c>
      <c r="L35" s="6">
        <v>30386.2</v>
      </c>
      <c r="M35" s="8">
        <f>IFERROR((L35-K35)*1000, 0)</f>
        <v>0</v>
      </c>
      <c r="N35" s="6">
        <v>0.87599999999999989</v>
      </c>
      <c r="O35" s="8" cm="1">
        <f t="array" ref="O35">IF(
    AND($H35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($H35 / 1000) * O$10 * $BN$4 * 0.25
    ),
    0
)
+
IF(
    $N35 &lt; 0.875,
    MAX(0, MIN(($H35 / 1000) * O$10 * $BN$4, O$11 * 0.876) - (O$11 * $N35)) * 0.25,
    0
)</f>
        <v>0</v>
      </c>
      <c r="P35" s="8" cm="1">
        <f t="array" ref="P35">IF(
    AND($H35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($H35 / 1000) * P$10 * $BN$4 * 0.25
    ),
    0
)
+
IF(
    $N35 &lt; 0.875,
    MAX(0, MIN(($H35 / 1000) * P$10 * $BN$4, P$11 * 0.876) - (P$11 * $N35)) * 0.25,
    0
)</f>
        <v>0</v>
      </c>
      <c r="Q35" s="8" cm="1">
        <f t="array" ref="Q35">IF(
    AND($H35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($H35 / 1000) * Q$10 * $BN$4 * 0.25
    ),
    0
)
+
IF(
    $N35 &lt; 0.875,
    MAX(0, MIN(($H35 / 1000) * Q$10 * $BN$4, Q$11 * 0.876) - (Q$11 * $N35)) * 0.25,
    0
)</f>
        <v>0</v>
      </c>
      <c r="R35" s="8" cm="1">
        <f t="array" ref="R35">IF(
    AND($H35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($H35 / 1000) * R$10 * $BN$4 * 0.25
    ),
    0
)
+
IF(
    $N35 &lt; 0.875,
    MAX(0, MIN(($H35 / 1000) * R$10 * $BN$4, R$11 * 0.876) - (R$11 * $N35)) * 0.25,
    0
)</f>
        <v>0</v>
      </c>
      <c r="S35" s="8" cm="1">
        <f t="array" ref="S35">IF(
    AND($H35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($H35 / 1000) * S$10 * $BN$4 * 0.25
    ),
    0
)
+
IF(
    $N35 &lt; 0.875,
    MAX(0, MIN(($H35 / 1000) * S$10 * $BN$4, S$11 * 0.876) - (S$11 * $N35)) * 0.25,
    0
)</f>
        <v>0</v>
      </c>
      <c r="T35" s="8" cm="1">
        <f t="array" ref="T35">IF(
    AND($H35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($H35 / 1000) * T$10 * $BN$4 * 0.25
    ),
    0
)
+
IF(
    $N35 &lt; 0.875,
    MAX(0, MIN(($H35 / 1000) * T$10 * $BN$4, T$11 * 0.876) - (T$11 * $N35)) * 0.25,
    0
)</f>
        <v>0</v>
      </c>
      <c r="U35" s="8" cm="1">
        <f t="array" ref="U35">IF(
    AND($H35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($H35 / 1000) * U$10 * $BN$4 * 0.25
    ),
    0
)
+
IF(
    $N35 &lt; 0.875,
    MAX(0, MIN(($H35 / 1000) * U$10 * $BN$4, U$11 * 0.876) - (U$11 * $N35)) * 0.25,
    0
)</f>
        <v>0</v>
      </c>
      <c r="V35" s="8" cm="1">
        <f t="array" ref="V35">IF(
    AND($H35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($H35 / 1000) * V$10 * $BN$4 * 0.25
    ),
    0
)
+
IF(
    $N35 &lt; 0.875,
    MAX(0, MIN(($H35 / 1000) * V$10 * $BN$4, V$11 * 0.876) - (V$11 * $N35)) * 0.25,
    0
)</f>
        <v>0</v>
      </c>
      <c r="W35" s="8" cm="1">
        <f t="array" ref="W35">IF(
    AND($H35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($H35 / 1000) * W$10 * $BN$4 * 0.25
    ),
    0
)
+
IF(
    $N35 &lt; 0.875,
    MAX(0, MIN(($H35 / 1000) * W$10 * $BN$4, W$11 * 0.876) - (W$11 * $N35)) * 0.25,
    0
)</f>
        <v>0</v>
      </c>
      <c r="X35" s="8" cm="1">
        <f t="array" ref="X35">IF(
    AND($H35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($H35 / 1000) * X$10 * $BN$4 * 0.25
    ),
    0
)
+
IF(
    $N35 &lt; 0.875,
    MAX(0, MIN(($H35 / 1000) * X$10 * $BN$4, X$11 * 0.876) - (X$11 * $N35)) * 0.25,
    0
)</f>
        <v>0</v>
      </c>
      <c r="Y35" s="8" cm="1">
        <f t="array" ref="Y35">IF(
    AND($H35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($H35 / 1000) * Y$10 * $BN$4 * 0.25
    ),
    0
)
+
IF(
    $N35 &lt; 0.875,
    MAX(0, MIN(($H35 / 1000) * Y$10 * $BN$4, Y$11 * 0.876) - (Y$11 * $N35)) * 0.25,
    0
)</f>
        <v>0</v>
      </c>
      <c r="Z35" s="8" cm="1">
        <f t="array" ref="Z35">IF(
    AND($H35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($H35 / 1000) * Z$10 * $BN$4 * 0.25
    ),
    0
)
+
IF(
    $N35 &lt; 0.875,
    MAX(0, MIN(($H35 / 1000) * Z$10 * $BN$4, Z$11 * 0.876) - (Z$11 * $N35)) * 0.25,
    0
)</f>
        <v>0</v>
      </c>
      <c r="AA35" s="8">
        <f>AVERAGE(TabellaMar2026[[#This Row],[Colonna24]:[Colonna20]])</f>
        <v>0</v>
      </c>
      <c r="AB35" s="8">
        <f>MAX(TabellaMar2026[[#This Row],[Colonna24]:[Colonna20]])</f>
        <v>0</v>
      </c>
      <c r="AC35" s="35">
        <f>MIN(TabellaMar2026[[#This Row],[Colonna24]:[Colonna20]])</f>
        <v>0</v>
      </c>
      <c r="AD35" s="44">
        <f>SUM(TabellaMar2026[[#This Row],[Colonna24]:[Colonna20]])</f>
        <v>0</v>
      </c>
      <c r="AE35" s="36">
        <f>IF(
    AND($H35 &gt; $BN$7, Tabella01MarzoInverter[[#This Row],[Active power TX2-INV-1]] &lt;= 0, Tabella01MarzoInverter[[#This Row],[TX2 - Average Power]] &lt;= 0),
    MIN(($H35 / 1000) * AE$10 * $BN$4, AE$11 * 0.876) * 0.25,
    IF(
        AND($H35 &gt; $BN$7, Tabella01MarzoInverter[[#This Row],[Active power TX2-INV-1]] &lt;= 0),
        Tabella01MarzoInverter[[#This Row],[TX2 - Average Power]] * 0.25,
        0
    )
    +
    IF(
        $N35 &lt; 0.875,
        MAX(0, MIN(($H35 / 1000) * AE$10 * $BN$4, AE$11 * 0.876) - (AE$11 * $N35)) * 0.25,
        0
    )
)</f>
        <v>0</v>
      </c>
      <c r="AF35" s="36">
        <f>IF(
    AND($H35 &gt; $BN$7, Tabella01MarzoInverter[[#This Row],[Active power TX2-INV-2]] &lt;= 0, Tabella01MarzoInverter[[#This Row],[TX2 - Max Power]] &lt;= 0),
    MIN(($H35 / 1000) * AF$10 * $BN$4, AF$11 * 0.876) * 0.25,
    IF(
        AND($H35 &gt; $BN$7, Tabella01MarzoInverter[[#This Row],[Active power TX2-INV-2]] &lt;= 0),
        Tabella01MarzoInverter[[#This Row],[TX2 - Max Power]] * 0.25,
        0
    )
    +
    IF(
        $N35 &lt; 0.875,
        MAX(0, MIN(($H35 / 1000) * AF$10 * $BN$4, AF$11 * 0.876) - (AF$11 * $N35)) * 0.25,
        0
    )
)</f>
        <v>0</v>
      </c>
      <c r="AG35" s="36">
        <f>IF(
    AND($H35 &gt; $BN$7, Tabella01MarzoInverter[[#This Row],[Active power TX2-INV-3]] &lt;= 0, Tabella01MarzoInverter[[#This Row],[TX2 - Min Power]] &lt;= 0),
    MIN(($H35 / 1000) * AG$10 * $BN$4, AG$11 * 0.876) * 0.25,
    IF(
        AND($H35 &gt; $BN$7, Tabella01MarzoInverter[[#This Row],[Active power TX2-INV-3]] &lt;= 0),
        Tabella01MarzoInverter[[#This Row],[TX2 - Min Power]] * 0.25,
        0
    )
    +
    IF(
        $N35 &lt; 0.875,
        MAX(0, MIN(($H35 / 1000) * AG$10 * $BN$4, AG$11 * 0.876) - (AG$11 * $N35)) * 0.25,
        0
    )
)</f>
        <v>0</v>
      </c>
      <c r="AH35" s="36">
        <f>IF(
    AND($H35 &gt; $BN$7, Tabella01MarzoInverter[[#This Row],[Active power TX2-INV-4]] &lt;= 0, Tabella01MarzoInverter[[#This Row],[Active power TX3-INV-1]] &lt;= 0),
    MIN(($H35 / 1000) * AH$10 * $BN$4, AH$11 * 0.876) * 0.25,
    IF(
        AND($H35 &gt; $BN$7, Tabella01MarzoInverter[[#This Row],[Active power TX2-INV-4]] &lt;= 0),
        Tabella01MarzoInverter[[#This Row],[Active power TX3-INV-1]] * 0.25,
        0
    )
    +
    IF(
        $N35 &lt; 0.875,
        MAX(0, MIN(($H35 / 1000) * AH$10 * $BN$4, AH$11 * 0.876) - (AH$11 * $N35)) * 0.25,
        0
    )
)</f>
        <v>0</v>
      </c>
      <c r="AI35" s="36">
        <f>IF(
    AND($H35 &gt; $BN$7, Tabella01MarzoInverter[[#This Row],[Active power TX2-INV-5]] &lt;= 0, Tabella01MarzoInverter[[#This Row],[Active power TX3-INV-2]] &lt;= 0),
    MIN(($H35 / 1000) * AI$10 * $BN$4, AI$11 * 0.876) * 0.25,
    IF(
        AND($H35 &gt; $BN$7, Tabella01MarzoInverter[[#This Row],[Active power TX2-INV-5]] &lt;= 0),
        Tabella01MarzoInverter[[#This Row],[Active power TX3-INV-2]] * 0.25,
        0
    )
    +
    IF(
        $N35 &lt; 0.875,
        MAX(0, MIN(($H35 / 1000) * AI$10 * $BN$4, AI$11 * 0.876) - (AI$11 * $N35)) * 0.25,
        0
    )
)</f>
        <v>0</v>
      </c>
      <c r="AJ35" s="36">
        <f>IF(
    AND($H35 &gt; $BN$7, Tabella01MarzoInverter[[#This Row],[Active power TX2-INV-6]] &lt;= 0, Tabella01MarzoInverter[[#This Row],[Active power TX3-INV-3]] &lt;= 0),
    MIN(($H35 / 1000) * AJ$10 * $BN$4, AJ$11 * 0.876) * 0.25,
    IF(
        AND($H35 &gt; $BN$7, Tabella01MarzoInverter[[#This Row],[Active power TX2-INV-6]] &lt;= 0),
        Tabella01MarzoInverter[[#This Row],[Active power TX3-INV-3]] * 0.25,
        0
    )
    +
    IF(
        $N35 &lt; 0.875,
        MAX(0, MIN(($H35 / 1000) * AJ$10 * $BN$4, AJ$11 * 0.876) - (AJ$11 * $N35)) * 0.25,
        0
    )
)</f>
        <v>0</v>
      </c>
      <c r="AK35" s="36">
        <f>IF(
    AND($H35 &gt; $BN$7, Tabella01MarzoInverter[[#This Row],[Active power TX2-INV-7]] &lt;= 0, Tabella01MarzoInverter[[#This Row],[Active power TX3-INV-4]] &lt;= 0),
    MIN(($H35 / 1000) * AK$10 * $BN$4, AK$11 * 0.876) * 0.25,
    IF(
        AND($H35 &gt; $BN$7, Tabella01MarzoInverter[[#This Row],[Active power TX2-INV-7]] &lt;= 0),
        Tabella01MarzoInverter[[#This Row],[Active power TX3-INV-4]] * 0.25,
        0
    )
    +
    IF(
        $N35 &lt; 0.875,
        MAX(0, MIN(($H35 / 1000) * AK$10 * $BN$4, AK$11 * 0.876) - (AK$11 * $N35)) * 0.25,
        0
    )
)</f>
        <v>0</v>
      </c>
      <c r="AL35" s="36">
        <f>IF(
    AND($H35 &gt; $BN$7, Tabella01MarzoInverter[[#This Row],[Active power TX2-INV-8]] &lt;= 0, Tabella01MarzoInverter[[#This Row],[Active power TX3-INV-5]] &lt;= 0),
    MIN(($H35 / 1000) * AL$10 * $BN$4, AL$11 * 0.876) * 0.25,
    IF(
        AND($H35 &gt; $BN$7, Tabella01MarzoInverter[[#This Row],[Active power TX2-INV-8]] &lt;= 0),
        Tabella01MarzoInverter[[#This Row],[Active power TX3-INV-5]] * 0.25,
        0
    )
    +
    IF(
        $N35 &lt; 0.875,
        MAX(0, MIN(($H35 / 1000) * AL$10 * $BN$4, AL$11 * 0.876) - (AL$11 * $N35)) * 0.25,
        0
    )
)</f>
        <v>0</v>
      </c>
      <c r="AM35" s="36">
        <f>IF(
    AND($H35 &gt; $BN$7, Tabella01MarzoInverter[[#This Row],[Active power TX2-INV-9]] &lt;= 0, Tabella01MarzoInverter[[#This Row],[Active power TX3-INV-6]] &lt;= 0),
    MIN(($H35 / 1000) * AM$10 * $BN$4, AM$11 * 0.876) * 0.25,
    IF(
        AND($H35 &gt; $BN$7, Tabella01MarzoInverter[[#This Row],[Active power TX2-INV-9]] &lt;= 0),
        Tabella01MarzoInverter[[#This Row],[Active power TX3-INV-6]] * 0.25,
        0
    )
    +
    IF(
        $N35 &lt; 0.875,
        MAX(0, MIN(($H35 / 1000) * AM$10 * $BN$4, AM$11 * 0.876) - (AM$11 * $N35)) * 0.25,
        0
    )
)</f>
        <v>0</v>
      </c>
      <c r="AN35" s="36">
        <f>IF(
    AND($H35 &gt; $BN$7, Tabella01MarzoInverter[[#This Row],[Active power TX2-INV-10]] &lt;= 0, Tabella01MarzoInverter[[#This Row],[Active power TX3-INV-7]] &lt;= 0),
    MIN(($H35 / 1000) * AN$10 * $BN$4, AN$11 * 0.876) * 0.25,
    IF(
        AND($H35 &gt; $BN$7, Tabella01MarzoInverter[[#This Row],[Active power TX2-INV-10]] &lt;= 0),
        Tabella01MarzoInverter[[#This Row],[Active power TX3-INV-7]] * 0.25,
        0
    )
    +
    IF(
        $N35 &lt; 0.875,
        MAX(0, MIN(($H35 / 1000) * AN$10 * $BN$4, AN$11 * 0.876) - (AN$11 * $N35)) * 0.25,
        0
    )
)</f>
        <v>0</v>
      </c>
      <c r="AO35" s="36">
        <f>IF(
    AND($H35 &gt; $BN$7, Tabella01MarzoInverter[[#This Row],[Active power TX2-INV-11]] &lt;= 0, Tabella01MarzoInverter[[#This Row],[Active power TX3-INV-8]] &lt;= 0),
    MIN(($H35 / 1000) * AO$10 * $BN$4, AO$11 * 0.876) * 0.25,
    IF(
        AND($H35 &gt; $BN$7, Tabella01MarzoInverter[[#This Row],[Active power TX2-INV-11]] &lt;= 0),
        Tabella01MarzoInverter[[#This Row],[Active power TX3-INV-8]] * 0.25,
        0
    )
    +
    IF(
        $N35 &lt; 0.875,
        MAX(0, MIN(($H35 / 1000) * AO$10 * $BN$4, AO$11 * 0.876) - (AO$11 * $N35)) * 0.25,
        0
    )
)</f>
        <v>0</v>
      </c>
      <c r="AP35" s="36">
        <f>IF(
    AND($H35 &gt; $BN$7, Tabella01MarzoInverter[[#This Row],[Active power TX2-INV-12]] &lt;= 0, Tabella01MarzoInverter[[#This Row],[Active power TX3-INV-9]] &lt;= 0),
    MIN(($H35 / 1000) * AP$10 * $BN$4, AP$11 * 0.876) * 0.25,
    IF(
        AND($H35 &gt; $BN$7, Tabella01MarzoInverter[[#This Row],[Active power TX2-INV-12]] &lt;= 0),
        Tabella01MarzoInverter[[#This Row],[Active power TX3-INV-9]] * 0.25,
        0
    )
    +
    IF(
        $N35 &lt; 0.875,
        MAX(0, MIN(($H35 / 1000) * AP$10 * $BN$4, AP$11 * 0.876) - (AP$11 * $N35)) * 0.25,
        0
    )
)</f>
        <v>0</v>
      </c>
      <c r="AQ35" s="8">
        <f>AVERAGE(TabellaMar2026[[#This Row],[Colonna39]:[Colonna6]])</f>
        <v>0</v>
      </c>
      <c r="AR35" s="8">
        <f>MAX(TabellaMar2026[[#This Row],[Colonna39]:[Colonna6]])</f>
        <v>0</v>
      </c>
      <c r="AS35" s="35">
        <f>MIN(TabellaMar2026[[#This Row],[Colonna39]:[Colonna6]])</f>
        <v>0</v>
      </c>
      <c r="AT35" s="48">
        <f>SUM(TabellaMar2026[[#This Row],[Colonna39]:[Colonna6]])</f>
        <v>0</v>
      </c>
      <c r="AU35" s="36" cm="1">
        <f t="array" ref="AU35">IF(
    AND($H35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($H35 / 1000) * AU$10 * $BN$4 * 0.25
    ),
    0
)
+
IF(
    $N35 &lt; 0.875,
    MAX(0, MIN(($H35 / 1000) * AU$10 * $BN$4, AU$11 * 0.876) - (AU$11 * $N35)) * 0.25,
    0
)</f>
        <v>0</v>
      </c>
      <c r="AV35" s="36" cm="1">
        <f t="array" ref="AV35">IF(
    AND($H35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($H35 / 1000) * AV$10 * $BN$4 * 0.25
    ),
    0
)
+
IF(
    $N35 &lt; 0.875,
    MAX(0, MIN(($H35 / 1000) * AV$10 * $BN$4, AV$11 * 0.876) - (AV$11 * $N35)) * 0.25,
    0
)</f>
        <v>0</v>
      </c>
      <c r="AW35" s="36" cm="1">
        <f t="array" ref="AW35">IF(
    AND($H35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($H35 / 1000) * AW$10 * $BN$4 * 0.25
    ),
    0
)
+
IF(
    $N35 &lt; 0.875,
    MAX(0, MIN(($H35 / 1000) * AW$10 * $BN$4, AW$11 * 0.876) - (AW$11 * $N35)) * 0.25,
    0
)</f>
        <v>0</v>
      </c>
      <c r="AX35" s="36" cm="1">
        <f t="array" ref="AX35">IF(
    AND($H35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($H35 / 1000) * AX$10 * $BN$4 * 0.25
    ),
    0
)
+
IF(
    $N35 &lt; 0.875,
    MAX(0, MIN(($H35 / 1000) * AX$10 * $BN$4, AX$11 * 0.876) - (AX$11 * $N35)) * 0.25,
    0
)</f>
        <v>0</v>
      </c>
      <c r="AY35" s="36" cm="1">
        <f t="array" ref="AY35">IF(
    AND($H35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($H35 / 1000) * AY$10 * $BN$4 * 0.25
    ),
    0
)
+
IF(
    $N35 &lt; 0.875,
    MAX(0, MIN(($H35 / 1000) * AY$10 * $BN$4, AY$11 * 0.876) - (AY$11 * $N35)) * 0.25,
    0
)</f>
        <v>0</v>
      </c>
      <c r="AZ35" s="36" cm="1">
        <f t="array" ref="AZ35">IF(
    AND($H35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($H35 / 1000) * AZ$10 * $BN$4 * 0.25
    ),
    0
)
+
IF(
    $N35 &lt; 0.875,
    MAX(0, MIN(($H35 / 1000) * AZ$10 * $BN$4, AZ$11 * 0.876) - (AZ$11 * $N35)) * 0.25,
    0
)</f>
        <v>0</v>
      </c>
      <c r="BA35" s="36" cm="1">
        <f t="array" ref="BA35">IF(
    AND($H35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($H35 / 1000) * BA$10 * $BN$4 * 0.25
    ),
    0
)
+
IF(
    $N35 &lt; 0.875,
    MAX(0, MIN(($H35 / 1000) * BA$10 * $BN$4, BA$11 * 0.876) - (BA$11 * $N35)) * 0.25,
    0
)</f>
        <v>0</v>
      </c>
      <c r="BB35" s="36" cm="1">
        <f t="array" ref="BB35">IF(
    AND($H35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($H35 / 1000) * BB$10 * $BN$4 * 0.25
    ),
    0
)
+
IF(
    $N35 &lt; 0.875,
    MAX(0, MIN(($H35 / 1000) * BB$10 * $BN$4, BB$11 * 0.876) - (BB$11 * $N35)) * 0.25,
    0
)</f>
        <v>0</v>
      </c>
      <c r="BC35" s="36" cm="1">
        <f t="array" ref="BC35">IF(
    AND($H35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($H35 / 1000) * BC$10 * $BN$4 * 0.25
    ),
    0
)
+
IF(
    $N35 &lt; 0.875,
    MAX(0, MIN(($H35 / 1000) * BC$10 * $BN$4, BC$11 * 0.876) - (BC$11 * $N35)) * 0.25,
    0
)</f>
        <v>0</v>
      </c>
      <c r="BD35" s="36" cm="1">
        <f t="array" ref="BD35">IF(
    AND($H35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($H35 / 1000) * BD$10 * $BN$4 * 0.25
    ),
    0
)
+
IF(
    $N35 &lt; 0.875,
    MAX(0, MIN(($H35 / 1000) * BD$10 * $BN$4, BD$11 * 0.876) - (BD$11 * $N35)) * 0.25,
    0
)</f>
        <v>0</v>
      </c>
      <c r="BE35" s="36" cm="1">
        <f t="array" ref="BE35">IF(
    AND($H35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($H35 / 1000) * BE$10 * $BN$4 * 0.25
    ),
    0
)
+
IF(
    $N35 &lt; 0.875,
    MAX(0, MIN(($H35 / 1000) * BE$10 * $BN$4, BE$11 * 0.876) - (BE$11 * $N35)) * 0.25,
    0
)</f>
        <v>0</v>
      </c>
      <c r="BF35" s="36" cm="1">
        <f t="array" ref="BF35">IF(
    AND($H35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($H35 / 1000) * BF$10 * $BN$4 * 0.25
    ),
    0
)
+
IF(
    $N35 &lt; 0.875,
    MAX(0, MIN(($H35 / 1000) * BF$10 * $BN$4, BF$11 * 0.876) - (BF$11 * $N35)) * 0.25,
    0
)</f>
        <v>0</v>
      </c>
      <c r="BG35" s="8">
        <f>AVERAGE(TabellaMar2026[[#This Row],[Colonna55]:[Colonna53]])</f>
        <v>0</v>
      </c>
      <c r="BH35" s="8">
        <f>MAX(TabellaMar2026[[#This Row],[Colonna55]:[Colonna53]])</f>
        <v>0</v>
      </c>
      <c r="BI35" s="35">
        <f>MIN(TabellaMar2026[[#This Row],[Colonna55]:[Colonna53]])</f>
        <v>0</v>
      </c>
      <c r="BJ35" s="48">
        <f>SUM(TabellaMar2026[[#This Row],[Colonna54]:[Colonna53]])</f>
        <v>0</v>
      </c>
      <c r="BK35" s="54">
        <f>(SUM(Tabella01MarzoInverter[[Active power TX1-INV-1]:[Active power TX3-INV-12]]) * 0.25) / (12625 * (SUM($G$15:$H$110) * 0.25 / 1000))</f>
        <v>1.014229628761051</v>
      </c>
      <c r="BL35" s="5"/>
      <c r="BM35" s="5"/>
      <c r="BN35" s="8"/>
      <c r="BO35" s="8"/>
      <c r="BP35" s="19"/>
    </row>
    <row r="36" spans="1:68" x14ac:dyDescent="0.25">
      <c r="A36" s="18">
        <v>46147</v>
      </c>
      <c r="B36" t="s">
        <v>36</v>
      </c>
      <c r="C36" s="5">
        <v>-1</v>
      </c>
      <c r="D36" s="6">
        <v>-2.5000000000000001E-4</v>
      </c>
      <c r="E36" s="6">
        <v>-1</v>
      </c>
      <c r="F36" s="6">
        <v>-2.5000000000000001E-4</v>
      </c>
      <c r="G36" s="6">
        <f>IFERROR((D36+F36)/2, 0)</f>
        <v>-2.5000000000000001E-4</v>
      </c>
      <c r="H36" s="7">
        <f>IFERROR(IF(AVERAGE(C36,E36)&gt;$BN$7,AVERAGE(C36,E36),0), 0)</f>
        <v>0</v>
      </c>
      <c r="I36" s="7">
        <f>IFERROR(IF(AND(D36=0,F36=0),0,IF(H36&gt;$BN$6,MAX(D36,F36),G36)), 0)</f>
        <v>-2.5000000000000001E-4</v>
      </c>
      <c r="J36" s="6">
        <f>IFERROR(IF(AND(D36&gt;0,F36&gt;0),ABS(D36-F36)/AVERAGE(D36,F36),0), 0)</f>
        <v>0</v>
      </c>
      <c r="K36" s="6">
        <v>30386.2</v>
      </c>
      <c r="L36" s="6">
        <v>30386.2</v>
      </c>
      <c r="M36" s="8">
        <f>IFERROR((L36-K36)*1000, 0)</f>
        <v>0</v>
      </c>
      <c r="N36" s="6">
        <v>0.87599999999999989</v>
      </c>
      <c r="O36" s="8" cm="1">
        <f t="array" ref="O36">IF(
    AND($H36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($H36 / 1000) * O$10 * $BN$4 * 0.25
    ),
    0
)
+
IF(
    $N36 &lt; 0.875,
    MAX(0, MIN(($H36 / 1000) * O$10 * $BN$4, O$11 * 0.876) - (O$11 * $N36)) * 0.25,
    0
)</f>
        <v>0</v>
      </c>
      <c r="P36" s="8" cm="1">
        <f t="array" ref="P36">IF(
    AND($H36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($H36 / 1000) * P$10 * $BN$4 * 0.25
    ),
    0
)
+
IF(
    $N36 &lt; 0.875,
    MAX(0, MIN(($H36 / 1000) * P$10 * $BN$4, P$11 * 0.876) - (P$11 * $N36)) * 0.25,
    0
)</f>
        <v>0</v>
      </c>
      <c r="Q36" s="8" cm="1">
        <f t="array" ref="Q36">IF(
    AND($H36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($H36 / 1000) * Q$10 * $BN$4 * 0.25
    ),
    0
)
+
IF(
    $N36 &lt; 0.875,
    MAX(0, MIN(($H36 / 1000) * Q$10 * $BN$4, Q$11 * 0.876) - (Q$11 * $N36)) * 0.25,
    0
)</f>
        <v>0</v>
      </c>
      <c r="R36" s="8" cm="1">
        <f t="array" ref="R36">IF(
    AND($H36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($H36 / 1000) * R$10 * $BN$4 * 0.25
    ),
    0
)
+
IF(
    $N36 &lt; 0.875,
    MAX(0, MIN(($H36 / 1000) * R$10 * $BN$4, R$11 * 0.876) - (R$11 * $N36)) * 0.25,
    0
)</f>
        <v>0</v>
      </c>
      <c r="S36" s="8" cm="1">
        <f t="array" ref="S36">IF(
    AND($H36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($H36 / 1000) * S$10 * $BN$4 * 0.25
    ),
    0
)
+
IF(
    $N36 &lt; 0.875,
    MAX(0, MIN(($H36 / 1000) * S$10 * $BN$4, S$11 * 0.876) - (S$11 * $N36)) * 0.25,
    0
)</f>
        <v>0</v>
      </c>
      <c r="T36" s="8" cm="1">
        <f t="array" ref="T36">IF(
    AND($H36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($H36 / 1000) * T$10 * $BN$4 * 0.25
    ),
    0
)
+
IF(
    $N36 &lt; 0.875,
    MAX(0, MIN(($H36 / 1000) * T$10 * $BN$4, T$11 * 0.876) - (T$11 * $N36)) * 0.25,
    0
)</f>
        <v>0</v>
      </c>
      <c r="U36" s="8" cm="1">
        <f t="array" ref="U36">IF(
    AND($H36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($H36 / 1000) * U$10 * $BN$4 * 0.25
    ),
    0
)
+
IF(
    $N36 &lt; 0.875,
    MAX(0, MIN(($H36 / 1000) * U$10 * $BN$4, U$11 * 0.876) - (U$11 * $N36)) * 0.25,
    0
)</f>
        <v>0</v>
      </c>
      <c r="V36" s="8" cm="1">
        <f t="array" ref="V36">IF(
    AND($H36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($H36 / 1000) * V$10 * $BN$4 * 0.25
    ),
    0
)
+
IF(
    $N36 &lt; 0.875,
    MAX(0, MIN(($H36 / 1000) * V$10 * $BN$4, V$11 * 0.876) - (V$11 * $N36)) * 0.25,
    0
)</f>
        <v>0</v>
      </c>
      <c r="W36" s="8" cm="1">
        <f t="array" ref="W36">IF(
    AND($H36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($H36 / 1000) * W$10 * $BN$4 * 0.25
    ),
    0
)
+
IF(
    $N36 &lt; 0.875,
    MAX(0, MIN(($H36 / 1000) * W$10 * $BN$4, W$11 * 0.876) - (W$11 * $N36)) * 0.25,
    0
)</f>
        <v>0</v>
      </c>
      <c r="X36" s="8" cm="1">
        <f t="array" ref="X36">IF(
    AND($H36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($H36 / 1000) * X$10 * $BN$4 * 0.25
    ),
    0
)
+
IF(
    $N36 &lt; 0.875,
    MAX(0, MIN(($H36 / 1000) * X$10 * $BN$4, X$11 * 0.876) - (X$11 * $N36)) * 0.25,
    0
)</f>
        <v>0</v>
      </c>
      <c r="Y36" s="8" cm="1">
        <f t="array" ref="Y36">IF(
    AND($H36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($H36 / 1000) * Y$10 * $BN$4 * 0.25
    ),
    0
)
+
IF(
    $N36 &lt; 0.875,
    MAX(0, MIN(($H36 / 1000) * Y$10 * $BN$4, Y$11 * 0.876) - (Y$11 * $N36)) * 0.25,
    0
)</f>
        <v>0</v>
      </c>
      <c r="Z36" s="8" cm="1">
        <f t="array" ref="Z36">IF(
    AND($H36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($H36 / 1000) * Z$10 * $BN$4 * 0.25
    ),
    0
)
+
IF(
    $N36 &lt; 0.875,
    MAX(0, MIN(($H36 / 1000) * Z$10 * $BN$4, Z$11 * 0.876) - (Z$11 * $N36)) * 0.25,
    0
)</f>
        <v>0</v>
      </c>
      <c r="AA36" s="8">
        <f>AVERAGE(TabellaMar2026[[#This Row],[Colonna24]:[Colonna20]])</f>
        <v>0</v>
      </c>
      <c r="AB36" s="8">
        <f>MAX(TabellaMar2026[[#This Row],[Colonna24]:[Colonna20]])</f>
        <v>0</v>
      </c>
      <c r="AC36" s="35">
        <f>MIN(TabellaMar2026[[#This Row],[Colonna24]:[Colonna20]])</f>
        <v>0</v>
      </c>
      <c r="AD36" s="44">
        <f>SUM(TabellaMar2026[[#This Row],[Colonna24]:[Colonna20]])</f>
        <v>0</v>
      </c>
      <c r="AE36" s="36">
        <f>IF(
    AND($H36 &gt; $BN$7, Tabella01MarzoInverter[[#This Row],[Active power TX2-INV-1]] &lt;= 0, Tabella01MarzoInverter[[#This Row],[TX2 - Average Power]] &lt;= 0),
    MIN(($H36 / 1000) * AE$10 * $BN$4, AE$11 * 0.876) * 0.25,
    IF(
        AND($H36 &gt; $BN$7, Tabella01MarzoInverter[[#This Row],[Active power TX2-INV-1]] &lt;= 0),
        Tabella01MarzoInverter[[#This Row],[TX2 - Average Power]] * 0.25,
        0
    )
    +
    IF(
        $N36 &lt; 0.875,
        MAX(0, MIN(($H36 / 1000) * AE$10 * $BN$4, AE$11 * 0.876) - (AE$11 * $N36)) * 0.25,
        0
    )
)</f>
        <v>0</v>
      </c>
      <c r="AF36" s="36">
        <f>IF(
    AND($H36 &gt; $BN$7, Tabella01MarzoInverter[[#This Row],[Active power TX2-INV-2]] &lt;= 0, Tabella01MarzoInverter[[#This Row],[TX2 - Max Power]] &lt;= 0),
    MIN(($H36 / 1000) * AF$10 * $BN$4, AF$11 * 0.876) * 0.25,
    IF(
        AND($H36 &gt; $BN$7, Tabella01MarzoInverter[[#This Row],[Active power TX2-INV-2]] &lt;= 0),
        Tabella01MarzoInverter[[#This Row],[TX2 - Max Power]] * 0.25,
        0
    )
    +
    IF(
        $N36 &lt; 0.875,
        MAX(0, MIN(($H36 / 1000) * AF$10 * $BN$4, AF$11 * 0.876) - (AF$11 * $N36)) * 0.25,
        0
    )
)</f>
        <v>0</v>
      </c>
      <c r="AG36" s="36">
        <f>IF(
    AND($H36 &gt; $BN$7, Tabella01MarzoInverter[[#This Row],[Active power TX2-INV-3]] &lt;= 0, Tabella01MarzoInverter[[#This Row],[TX2 - Min Power]] &lt;= 0),
    MIN(($H36 / 1000) * AG$10 * $BN$4, AG$11 * 0.876) * 0.25,
    IF(
        AND($H36 &gt; $BN$7, Tabella01MarzoInverter[[#This Row],[Active power TX2-INV-3]] &lt;= 0),
        Tabella01MarzoInverter[[#This Row],[TX2 - Min Power]] * 0.25,
        0
    )
    +
    IF(
        $N36 &lt; 0.875,
        MAX(0, MIN(($H36 / 1000) * AG$10 * $BN$4, AG$11 * 0.876) - (AG$11 * $N36)) * 0.25,
        0
    )
)</f>
        <v>0</v>
      </c>
      <c r="AH36" s="36">
        <f>IF(
    AND($H36 &gt; $BN$7, Tabella01MarzoInverter[[#This Row],[Active power TX2-INV-4]] &lt;= 0, Tabella01MarzoInverter[[#This Row],[Active power TX3-INV-1]] &lt;= 0),
    MIN(($H36 / 1000) * AH$10 * $BN$4, AH$11 * 0.876) * 0.25,
    IF(
        AND($H36 &gt; $BN$7, Tabella01MarzoInverter[[#This Row],[Active power TX2-INV-4]] &lt;= 0),
        Tabella01MarzoInverter[[#This Row],[Active power TX3-INV-1]] * 0.25,
        0
    )
    +
    IF(
        $N36 &lt; 0.875,
        MAX(0, MIN(($H36 / 1000) * AH$10 * $BN$4, AH$11 * 0.876) - (AH$11 * $N36)) * 0.25,
        0
    )
)</f>
        <v>0</v>
      </c>
      <c r="AI36" s="36">
        <f>IF(
    AND($H36 &gt; $BN$7, Tabella01MarzoInverter[[#This Row],[Active power TX2-INV-5]] &lt;= 0, Tabella01MarzoInverter[[#This Row],[Active power TX3-INV-2]] &lt;= 0),
    MIN(($H36 / 1000) * AI$10 * $BN$4, AI$11 * 0.876) * 0.25,
    IF(
        AND($H36 &gt; $BN$7, Tabella01MarzoInverter[[#This Row],[Active power TX2-INV-5]] &lt;= 0),
        Tabella01MarzoInverter[[#This Row],[Active power TX3-INV-2]] * 0.25,
        0
    )
    +
    IF(
        $N36 &lt; 0.875,
        MAX(0, MIN(($H36 / 1000) * AI$10 * $BN$4, AI$11 * 0.876) - (AI$11 * $N36)) * 0.25,
        0
    )
)</f>
        <v>0</v>
      </c>
      <c r="AJ36" s="36">
        <f>IF(
    AND($H36 &gt; $BN$7, Tabella01MarzoInverter[[#This Row],[Active power TX2-INV-6]] &lt;= 0, Tabella01MarzoInverter[[#This Row],[Active power TX3-INV-3]] &lt;= 0),
    MIN(($H36 / 1000) * AJ$10 * $BN$4, AJ$11 * 0.876) * 0.25,
    IF(
        AND($H36 &gt; $BN$7, Tabella01MarzoInverter[[#This Row],[Active power TX2-INV-6]] &lt;= 0),
        Tabella01MarzoInverter[[#This Row],[Active power TX3-INV-3]] * 0.25,
        0
    )
    +
    IF(
        $N36 &lt; 0.875,
        MAX(0, MIN(($H36 / 1000) * AJ$10 * $BN$4, AJ$11 * 0.876) - (AJ$11 * $N36)) * 0.25,
        0
    )
)</f>
        <v>0</v>
      </c>
      <c r="AK36" s="36">
        <f>IF(
    AND($H36 &gt; $BN$7, Tabella01MarzoInverter[[#This Row],[Active power TX2-INV-7]] &lt;= 0, Tabella01MarzoInverter[[#This Row],[Active power TX3-INV-4]] &lt;= 0),
    MIN(($H36 / 1000) * AK$10 * $BN$4, AK$11 * 0.876) * 0.25,
    IF(
        AND($H36 &gt; $BN$7, Tabella01MarzoInverter[[#This Row],[Active power TX2-INV-7]] &lt;= 0),
        Tabella01MarzoInverter[[#This Row],[Active power TX3-INV-4]] * 0.25,
        0
    )
    +
    IF(
        $N36 &lt; 0.875,
        MAX(0, MIN(($H36 / 1000) * AK$10 * $BN$4, AK$11 * 0.876) - (AK$11 * $N36)) * 0.25,
        0
    )
)</f>
        <v>0</v>
      </c>
      <c r="AL36" s="36">
        <f>IF(
    AND($H36 &gt; $BN$7, Tabella01MarzoInverter[[#This Row],[Active power TX2-INV-8]] &lt;= 0, Tabella01MarzoInverter[[#This Row],[Active power TX3-INV-5]] &lt;= 0),
    MIN(($H36 / 1000) * AL$10 * $BN$4, AL$11 * 0.876) * 0.25,
    IF(
        AND($H36 &gt; $BN$7, Tabella01MarzoInverter[[#This Row],[Active power TX2-INV-8]] &lt;= 0),
        Tabella01MarzoInverter[[#This Row],[Active power TX3-INV-5]] * 0.25,
        0
    )
    +
    IF(
        $N36 &lt; 0.875,
        MAX(0, MIN(($H36 / 1000) * AL$10 * $BN$4, AL$11 * 0.876) - (AL$11 * $N36)) * 0.25,
        0
    )
)</f>
        <v>0</v>
      </c>
      <c r="AM36" s="36">
        <f>IF(
    AND($H36 &gt; $BN$7, Tabella01MarzoInverter[[#This Row],[Active power TX2-INV-9]] &lt;= 0, Tabella01MarzoInverter[[#This Row],[Active power TX3-INV-6]] &lt;= 0),
    MIN(($H36 / 1000) * AM$10 * $BN$4, AM$11 * 0.876) * 0.25,
    IF(
        AND($H36 &gt; $BN$7, Tabella01MarzoInverter[[#This Row],[Active power TX2-INV-9]] &lt;= 0),
        Tabella01MarzoInverter[[#This Row],[Active power TX3-INV-6]] * 0.25,
        0
    )
    +
    IF(
        $N36 &lt; 0.875,
        MAX(0, MIN(($H36 / 1000) * AM$10 * $BN$4, AM$11 * 0.876) - (AM$11 * $N36)) * 0.25,
        0
    )
)</f>
        <v>0</v>
      </c>
      <c r="AN36" s="36">
        <f>IF(
    AND($H36 &gt; $BN$7, Tabella01MarzoInverter[[#This Row],[Active power TX2-INV-10]] &lt;= 0, Tabella01MarzoInverter[[#This Row],[Active power TX3-INV-7]] &lt;= 0),
    MIN(($H36 / 1000) * AN$10 * $BN$4, AN$11 * 0.876) * 0.25,
    IF(
        AND($H36 &gt; $BN$7, Tabella01MarzoInverter[[#This Row],[Active power TX2-INV-10]] &lt;= 0),
        Tabella01MarzoInverter[[#This Row],[Active power TX3-INV-7]] * 0.25,
        0
    )
    +
    IF(
        $N36 &lt; 0.875,
        MAX(0, MIN(($H36 / 1000) * AN$10 * $BN$4, AN$11 * 0.876) - (AN$11 * $N36)) * 0.25,
        0
    )
)</f>
        <v>0</v>
      </c>
      <c r="AO36" s="36">
        <f>IF(
    AND($H36 &gt; $BN$7, Tabella01MarzoInverter[[#This Row],[Active power TX2-INV-11]] &lt;= 0, Tabella01MarzoInverter[[#This Row],[Active power TX3-INV-8]] &lt;= 0),
    MIN(($H36 / 1000) * AO$10 * $BN$4, AO$11 * 0.876) * 0.25,
    IF(
        AND($H36 &gt; $BN$7, Tabella01MarzoInverter[[#This Row],[Active power TX2-INV-11]] &lt;= 0),
        Tabella01MarzoInverter[[#This Row],[Active power TX3-INV-8]] * 0.25,
        0
    )
    +
    IF(
        $N36 &lt; 0.875,
        MAX(0, MIN(($H36 / 1000) * AO$10 * $BN$4, AO$11 * 0.876) - (AO$11 * $N36)) * 0.25,
        0
    )
)</f>
        <v>0</v>
      </c>
      <c r="AP36" s="36">
        <f>IF(
    AND($H36 &gt; $BN$7, Tabella01MarzoInverter[[#This Row],[Active power TX2-INV-12]] &lt;= 0, Tabella01MarzoInverter[[#This Row],[Active power TX3-INV-9]] &lt;= 0),
    MIN(($H36 / 1000) * AP$10 * $BN$4, AP$11 * 0.876) * 0.25,
    IF(
        AND($H36 &gt; $BN$7, Tabella01MarzoInverter[[#This Row],[Active power TX2-INV-12]] &lt;= 0),
        Tabella01MarzoInverter[[#This Row],[Active power TX3-INV-9]] * 0.25,
        0
    )
    +
    IF(
        $N36 &lt; 0.875,
        MAX(0, MIN(($H36 / 1000) * AP$10 * $BN$4, AP$11 * 0.876) - (AP$11 * $N36)) * 0.25,
        0
    )
)</f>
        <v>0</v>
      </c>
      <c r="AQ36" s="8">
        <f>AVERAGE(TabellaMar2026[[#This Row],[Colonna39]:[Colonna6]])</f>
        <v>0</v>
      </c>
      <c r="AR36" s="8">
        <f>MAX(TabellaMar2026[[#This Row],[Colonna39]:[Colonna6]])</f>
        <v>0</v>
      </c>
      <c r="AS36" s="35">
        <f>MIN(TabellaMar2026[[#This Row],[Colonna39]:[Colonna6]])</f>
        <v>0</v>
      </c>
      <c r="AT36" s="48">
        <f>SUM(TabellaMar2026[[#This Row],[Colonna39]:[Colonna6]])</f>
        <v>0</v>
      </c>
      <c r="AU36" s="36" cm="1">
        <f t="array" ref="AU36">IF(
    AND($H36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($H36 / 1000) * AU$10 * $BN$4 * 0.25
    ),
    0
)
+
IF(
    $N36 &lt; 0.875,
    MAX(0, MIN(($H36 / 1000) * AU$10 * $BN$4, AU$11 * 0.876) - (AU$11 * $N36)) * 0.25,
    0
)</f>
        <v>0</v>
      </c>
      <c r="AV36" s="36" cm="1">
        <f t="array" ref="AV36">IF(
    AND($H36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($H36 / 1000) * AV$10 * $BN$4 * 0.25
    ),
    0
)
+
IF(
    $N36 &lt; 0.875,
    MAX(0, MIN(($H36 / 1000) * AV$10 * $BN$4, AV$11 * 0.876) - (AV$11 * $N36)) * 0.25,
    0
)</f>
        <v>0</v>
      </c>
      <c r="AW36" s="36" cm="1">
        <f t="array" ref="AW36">IF(
    AND($H36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($H36 / 1000) * AW$10 * $BN$4 * 0.25
    ),
    0
)
+
IF(
    $N36 &lt; 0.875,
    MAX(0, MIN(($H36 / 1000) * AW$10 * $BN$4, AW$11 * 0.876) - (AW$11 * $N36)) * 0.25,
    0
)</f>
        <v>0</v>
      </c>
      <c r="AX36" s="36" cm="1">
        <f t="array" ref="AX36">IF(
    AND($H36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($H36 / 1000) * AX$10 * $BN$4 * 0.25
    ),
    0
)
+
IF(
    $N36 &lt; 0.875,
    MAX(0, MIN(($H36 / 1000) * AX$10 * $BN$4, AX$11 * 0.876) - (AX$11 * $N36)) * 0.25,
    0
)</f>
        <v>0</v>
      </c>
      <c r="AY36" s="36" cm="1">
        <f t="array" ref="AY36">IF(
    AND($H36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($H36 / 1000) * AY$10 * $BN$4 * 0.25
    ),
    0
)
+
IF(
    $N36 &lt; 0.875,
    MAX(0, MIN(($H36 / 1000) * AY$10 * $BN$4, AY$11 * 0.876) - (AY$11 * $N36)) * 0.25,
    0
)</f>
        <v>0</v>
      </c>
      <c r="AZ36" s="36" cm="1">
        <f t="array" ref="AZ36">IF(
    AND($H36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($H36 / 1000) * AZ$10 * $BN$4 * 0.25
    ),
    0
)
+
IF(
    $N36 &lt; 0.875,
    MAX(0, MIN(($H36 / 1000) * AZ$10 * $BN$4, AZ$11 * 0.876) - (AZ$11 * $N36)) * 0.25,
    0
)</f>
        <v>0</v>
      </c>
      <c r="BA36" s="36" cm="1">
        <f t="array" ref="BA36">IF(
    AND($H36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($H36 / 1000) * BA$10 * $BN$4 * 0.25
    ),
    0
)
+
IF(
    $N36 &lt; 0.875,
    MAX(0, MIN(($H36 / 1000) * BA$10 * $BN$4, BA$11 * 0.876) - (BA$11 * $N36)) * 0.25,
    0
)</f>
        <v>0</v>
      </c>
      <c r="BB36" s="36" cm="1">
        <f t="array" ref="BB36">IF(
    AND($H36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($H36 / 1000) * BB$10 * $BN$4 * 0.25
    ),
    0
)
+
IF(
    $N36 &lt; 0.875,
    MAX(0, MIN(($H36 / 1000) * BB$10 * $BN$4, BB$11 * 0.876) - (BB$11 * $N36)) * 0.25,
    0
)</f>
        <v>0</v>
      </c>
      <c r="BC36" s="36" cm="1">
        <f t="array" ref="BC36">IF(
    AND($H36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($H36 / 1000) * BC$10 * $BN$4 * 0.25
    ),
    0
)
+
IF(
    $N36 &lt; 0.875,
    MAX(0, MIN(($H36 / 1000) * BC$10 * $BN$4, BC$11 * 0.876) - (BC$11 * $N36)) * 0.25,
    0
)</f>
        <v>0</v>
      </c>
      <c r="BD36" s="36" cm="1">
        <f t="array" ref="BD36">IF(
    AND($H36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($H36 / 1000) * BD$10 * $BN$4 * 0.25
    ),
    0
)
+
IF(
    $N36 &lt; 0.875,
    MAX(0, MIN(($H36 / 1000) * BD$10 * $BN$4, BD$11 * 0.876) - (BD$11 * $N36)) * 0.25,
    0
)</f>
        <v>0</v>
      </c>
      <c r="BE36" s="36" cm="1">
        <f t="array" ref="BE36">IF(
    AND($H36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($H36 / 1000) * BE$10 * $BN$4 * 0.25
    ),
    0
)
+
IF(
    $N36 &lt; 0.875,
    MAX(0, MIN(($H36 / 1000) * BE$10 * $BN$4, BE$11 * 0.876) - (BE$11 * $N36)) * 0.25,
    0
)</f>
        <v>0</v>
      </c>
      <c r="BF36" s="36" cm="1">
        <f t="array" ref="BF36">IF(
    AND($H36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($H36 / 1000) * BF$10 * $BN$4 * 0.25
    ),
    0
)
+
IF(
    $N36 &lt; 0.875,
    MAX(0, MIN(($H36 / 1000) * BF$10 * $BN$4, BF$11 * 0.876) - (BF$11 * $N36)) * 0.25,
    0
)</f>
        <v>0</v>
      </c>
      <c r="BG36" s="8">
        <f>AVERAGE(TabellaMar2026[[#This Row],[Colonna55]:[Colonna53]])</f>
        <v>0</v>
      </c>
      <c r="BH36" s="8">
        <f>MAX(TabellaMar2026[[#This Row],[Colonna55]:[Colonna53]])</f>
        <v>0</v>
      </c>
      <c r="BI36" s="35">
        <f>MIN(TabellaMar2026[[#This Row],[Colonna55]:[Colonna53]])</f>
        <v>0</v>
      </c>
      <c r="BJ36" s="48">
        <f>SUM(TabellaMar2026[[#This Row],[Colonna54]:[Colonna53]])</f>
        <v>0</v>
      </c>
      <c r="BK36" s="54">
        <f>(SUM(Tabella01MarzoInverter[[Active power TX1-INV-1]:[Active power TX3-INV-12]]) * 0.25) / (12625 * (SUM($G$15:$H$110) * 0.25 / 1000))</f>
        <v>1.014229628761051</v>
      </c>
      <c r="BL36" s="5"/>
      <c r="BM36" s="5"/>
      <c r="BN36" s="8"/>
      <c r="BO36" s="8"/>
      <c r="BP36" s="19"/>
    </row>
    <row r="37" spans="1:68" x14ac:dyDescent="0.25">
      <c r="A37" s="18">
        <v>46147</v>
      </c>
      <c r="B37" t="s">
        <v>37</v>
      </c>
      <c r="C37" s="5">
        <v>-1</v>
      </c>
      <c r="D37" s="6">
        <v>-2.5000000000000001E-4</v>
      </c>
      <c r="E37" s="6">
        <v>-0.4</v>
      </c>
      <c r="F37" s="6">
        <v>-1E-4</v>
      </c>
      <c r="G37" s="6">
        <f>IFERROR((D37+F37)/2, 0)</f>
        <v>-1.75E-4</v>
      </c>
      <c r="H37" s="7">
        <f>IFERROR(IF(AVERAGE(C37,E37)&gt;$BN$7,AVERAGE(C37,E37),0), 0)</f>
        <v>0</v>
      </c>
      <c r="I37" s="7">
        <f>IFERROR(IF(AND(D37=0,F37=0),0,IF(H37&gt;$BN$6,MAX(D37,F37),G37)), 0)</f>
        <v>-1.75E-4</v>
      </c>
      <c r="J37" s="6">
        <f>IFERROR(IF(AND(D37&gt;0,F37&gt;0),ABS(D37-F37)/AVERAGE(D37,F37),0), 0)</f>
        <v>0</v>
      </c>
      <c r="K37" s="6">
        <v>30386.2</v>
      </c>
      <c r="L37" s="6">
        <v>30386.2</v>
      </c>
      <c r="M37" s="8">
        <f>IFERROR((L37-K37)*1000, 0)</f>
        <v>0</v>
      </c>
      <c r="N37" s="6">
        <v>0.87599999999999989</v>
      </c>
      <c r="O37" s="8" cm="1">
        <f t="array" ref="O37">IF(
    AND($H37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($H37 / 1000) * O$10 * $BN$4 * 0.25
    ),
    0
)
+
IF(
    $N37 &lt; 0.875,
    MAX(0, MIN(($H37 / 1000) * O$10 * $BN$4, O$11 * 0.876) - (O$11 * $N37)) * 0.25,
    0
)</f>
        <v>0</v>
      </c>
      <c r="P37" s="8" cm="1">
        <f t="array" ref="P37">IF(
    AND($H37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($H37 / 1000) * P$10 * $BN$4 * 0.25
    ),
    0
)
+
IF(
    $N37 &lt; 0.875,
    MAX(0, MIN(($H37 / 1000) * P$10 * $BN$4, P$11 * 0.876) - (P$11 * $N37)) * 0.25,
    0
)</f>
        <v>0</v>
      </c>
      <c r="Q37" s="8" cm="1">
        <f t="array" ref="Q37">IF(
    AND($H37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($H37 / 1000) * Q$10 * $BN$4 * 0.25
    ),
    0
)
+
IF(
    $N37 &lt; 0.875,
    MAX(0, MIN(($H37 / 1000) * Q$10 * $BN$4, Q$11 * 0.876) - (Q$11 * $N37)) * 0.25,
    0
)</f>
        <v>0</v>
      </c>
      <c r="R37" s="8" cm="1">
        <f t="array" ref="R37">IF(
    AND($H37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($H37 / 1000) * R$10 * $BN$4 * 0.25
    ),
    0
)
+
IF(
    $N37 &lt; 0.875,
    MAX(0, MIN(($H37 / 1000) * R$10 * $BN$4, R$11 * 0.876) - (R$11 * $N37)) * 0.25,
    0
)</f>
        <v>0</v>
      </c>
      <c r="S37" s="8" cm="1">
        <f t="array" ref="S37">IF(
    AND($H37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($H37 / 1000) * S$10 * $BN$4 * 0.25
    ),
    0
)
+
IF(
    $N37 &lt; 0.875,
    MAX(0, MIN(($H37 / 1000) * S$10 * $BN$4, S$11 * 0.876) - (S$11 * $N37)) * 0.25,
    0
)</f>
        <v>0</v>
      </c>
      <c r="T37" s="8" cm="1">
        <f t="array" ref="T37">IF(
    AND($H37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($H37 / 1000) * T$10 * $BN$4 * 0.25
    ),
    0
)
+
IF(
    $N37 &lt; 0.875,
    MAX(0, MIN(($H37 / 1000) * T$10 * $BN$4, T$11 * 0.876) - (T$11 * $N37)) * 0.25,
    0
)</f>
        <v>0</v>
      </c>
      <c r="U37" s="8" cm="1">
        <f t="array" ref="U37">IF(
    AND($H37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($H37 / 1000) * U$10 * $BN$4 * 0.25
    ),
    0
)
+
IF(
    $N37 &lt; 0.875,
    MAX(0, MIN(($H37 / 1000) * U$10 * $BN$4, U$11 * 0.876) - (U$11 * $N37)) * 0.25,
    0
)</f>
        <v>0</v>
      </c>
      <c r="V37" s="8" cm="1">
        <f t="array" ref="V37">IF(
    AND($H37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($H37 / 1000) * V$10 * $BN$4 * 0.25
    ),
    0
)
+
IF(
    $N37 &lt; 0.875,
    MAX(0, MIN(($H37 / 1000) * V$10 * $BN$4, V$11 * 0.876) - (V$11 * $N37)) * 0.25,
    0
)</f>
        <v>0</v>
      </c>
      <c r="W37" s="8" cm="1">
        <f t="array" ref="W37">IF(
    AND($H37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($H37 / 1000) * W$10 * $BN$4 * 0.25
    ),
    0
)
+
IF(
    $N37 &lt; 0.875,
    MAX(0, MIN(($H37 / 1000) * W$10 * $BN$4, W$11 * 0.876) - (W$11 * $N37)) * 0.25,
    0
)</f>
        <v>0</v>
      </c>
      <c r="X37" s="8" cm="1">
        <f t="array" ref="X37">IF(
    AND($H37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($H37 / 1000) * X$10 * $BN$4 * 0.25
    ),
    0
)
+
IF(
    $N37 &lt; 0.875,
    MAX(0, MIN(($H37 / 1000) * X$10 * $BN$4, X$11 * 0.876) - (X$11 * $N37)) * 0.25,
    0
)</f>
        <v>0</v>
      </c>
      <c r="Y37" s="8" cm="1">
        <f t="array" ref="Y37">IF(
    AND($H37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($H37 / 1000) * Y$10 * $BN$4 * 0.25
    ),
    0
)
+
IF(
    $N37 &lt; 0.875,
    MAX(0, MIN(($H37 / 1000) * Y$10 * $BN$4, Y$11 * 0.876) - (Y$11 * $N37)) * 0.25,
    0
)</f>
        <v>0</v>
      </c>
      <c r="Z37" s="8" cm="1">
        <f t="array" ref="Z37">IF(
    AND($H37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($H37 / 1000) * Z$10 * $BN$4 * 0.25
    ),
    0
)
+
IF(
    $N37 &lt; 0.875,
    MAX(0, MIN(($H37 / 1000) * Z$10 * $BN$4, Z$11 * 0.876) - (Z$11 * $N37)) * 0.25,
    0
)</f>
        <v>0</v>
      </c>
      <c r="AA37" s="8">
        <f>AVERAGE(TabellaMar2026[[#This Row],[Colonna24]:[Colonna20]])</f>
        <v>0</v>
      </c>
      <c r="AB37" s="8">
        <f>MAX(TabellaMar2026[[#This Row],[Colonna24]:[Colonna20]])</f>
        <v>0</v>
      </c>
      <c r="AC37" s="35">
        <f>MIN(TabellaMar2026[[#This Row],[Colonna24]:[Colonna20]])</f>
        <v>0</v>
      </c>
      <c r="AD37" s="44">
        <f>SUM(TabellaMar2026[[#This Row],[Colonna24]:[Colonna20]])</f>
        <v>0</v>
      </c>
      <c r="AE37" s="36">
        <f>IF(
    AND($H37 &gt; $BN$7, Tabella01MarzoInverter[[#This Row],[Active power TX2-INV-1]] &lt;= 0, Tabella01MarzoInverter[[#This Row],[TX2 - Average Power]] &lt;= 0),
    MIN(($H37 / 1000) * AE$10 * $BN$4, AE$11 * 0.876) * 0.25,
    IF(
        AND($H37 &gt; $BN$7, Tabella01MarzoInverter[[#This Row],[Active power TX2-INV-1]] &lt;= 0),
        Tabella01MarzoInverter[[#This Row],[TX2 - Average Power]] * 0.25,
        0
    )
    +
    IF(
        $N37 &lt; 0.875,
        MAX(0, MIN(($H37 / 1000) * AE$10 * $BN$4, AE$11 * 0.876) - (AE$11 * $N37)) * 0.25,
        0
    )
)</f>
        <v>0</v>
      </c>
      <c r="AF37" s="36">
        <f>IF(
    AND($H37 &gt; $BN$7, Tabella01MarzoInverter[[#This Row],[Active power TX2-INV-2]] &lt;= 0, Tabella01MarzoInverter[[#This Row],[TX2 - Max Power]] &lt;= 0),
    MIN(($H37 / 1000) * AF$10 * $BN$4, AF$11 * 0.876) * 0.25,
    IF(
        AND($H37 &gt; $BN$7, Tabella01MarzoInverter[[#This Row],[Active power TX2-INV-2]] &lt;= 0),
        Tabella01MarzoInverter[[#This Row],[TX2 - Max Power]] * 0.25,
        0
    )
    +
    IF(
        $N37 &lt; 0.875,
        MAX(0, MIN(($H37 / 1000) * AF$10 * $BN$4, AF$11 * 0.876) - (AF$11 * $N37)) * 0.25,
        0
    )
)</f>
        <v>0</v>
      </c>
      <c r="AG37" s="36">
        <f>IF(
    AND($H37 &gt; $BN$7, Tabella01MarzoInverter[[#This Row],[Active power TX2-INV-3]] &lt;= 0, Tabella01MarzoInverter[[#This Row],[TX2 - Min Power]] &lt;= 0),
    MIN(($H37 / 1000) * AG$10 * $BN$4, AG$11 * 0.876) * 0.25,
    IF(
        AND($H37 &gt; $BN$7, Tabella01MarzoInverter[[#This Row],[Active power TX2-INV-3]] &lt;= 0),
        Tabella01MarzoInverter[[#This Row],[TX2 - Min Power]] * 0.25,
        0
    )
    +
    IF(
        $N37 &lt; 0.875,
        MAX(0, MIN(($H37 / 1000) * AG$10 * $BN$4, AG$11 * 0.876) - (AG$11 * $N37)) * 0.25,
        0
    )
)</f>
        <v>0</v>
      </c>
      <c r="AH37" s="36">
        <f>IF(
    AND($H37 &gt; $BN$7, Tabella01MarzoInverter[[#This Row],[Active power TX2-INV-4]] &lt;= 0, Tabella01MarzoInverter[[#This Row],[Active power TX3-INV-1]] &lt;= 0),
    MIN(($H37 / 1000) * AH$10 * $BN$4, AH$11 * 0.876) * 0.25,
    IF(
        AND($H37 &gt; $BN$7, Tabella01MarzoInverter[[#This Row],[Active power TX2-INV-4]] &lt;= 0),
        Tabella01MarzoInverter[[#This Row],[Active power TX3-INV-1]] * 0.25,
        0
    )
    +
    IF(
        $N37 &lt; 0.875,
        MAX(0, MIN(($H37 / 1000) * AH$10 * $BN$4, AH$11 * 0.876) - (AH$11 * $N37)) * 0.25,
        0
    )
)</f>
        <v>0</v>
      </c>
      <c r="AI37" s="36">
        <f>IF(
    AND($H37 &gt; $BN$7, Tabella01MarzoInverter[[#This Row],[Active power TX2-INV-5]] &lt;= 0, Tabella01MarzoInverter[[#This Row],[Active power TX3-INV-2]] &lt;= 0),
    MIN(($H37 / 1000) * AI$10 * $BN$4, AI$11 * 0.876) * 0.25,
    IF(
        AND($H37 &gt; $BN$7, Tabella01MarzoInverter[[#This Row],[Active power TX2-INV-5]] &lt;= 0),
        Tabella01MarzoInverter[[#This Row],[Active power TX3-INV-2]] * 0.25,
        0
    )
    +
    IF(
        $N37 &lt; 0.875,
        MAX(0, MIN(($H37 / 1000) * AI$10 * $BN$4, AI$11 * 0.876) - (AI$11 * $N37)) * 0.25,
        0
    )
)</f>
        <v>0</v>
      </c>
      <c r="AJ37" s="36">
        <f>IF(
    AND($H37 &gt; $BN$7, Tabella01MarzoInverter[[#This Row],[Active power TX2-INV-6]] &lt;= 0, Tabella01MarzoInverter[[#This Row],[Active power TX3-INV-3]] &lt;= 0),
    MIN(($H37 / 1000) * AJ$10 * $BN$4, AJ$11 * 0.876) * 0.25,
    IF(
        AND($H37 &gt; $BN$7, Tabella01MarzoInverter[[#This Row],[Active power TX2-INV-6]] &lt;= 0),
        Tabella01MarzoInverter[[#This Row],[Active power TX3-INV-3]] * 0.25,
        0
    )
    +
    IF(
        $N37 &lt; 0.875,
        MAX(0, MIN(($H37 / 1000) * AJ$10 * $BN$4, AJ$11 * 0.876) - (AJ$11 * $N37)) * 0.25,
        0
    )
)</f>
        <v>0</v>
      </c>
      <c r="AK37" s="36">
        <f>IF(
    AND($H37 &gt; $BN$7, Tabella01MarzoInverter[[#This Row],[Active power TX2-INV-7]] &lt;= 0, Tabella01MarzoInverter[[#This Row],[Active power TX3-INV-4]] &lt;= 0),
    MIN(($H37 / 1000) * AK$10 * $BN$4, AK$11 * 0.876) * 0.25,
    IF(
        AND($H37 &gt; $BN$7, Tabella01MarzoInverter[[#This Row],[Active power TX2-INV-7]] &lt;= 0),
        Tabella01MarzoInverter[[#This Row],[Active power TX3-INV-4]] * 0.25,
        0
    )
    +
    IF(
        $N37 &lt; 0.875,
        MAX(0, MIN(($H37 / 1000) * AK$10 * $BN$4, AK$11 * 0.876) - (AK$11 * $N37)) * 0.25,
        0
    )
)</f>
        <v>0</v>
      </c>
      <c r="AL37" s="36">
        <f>IF(
    AND($H37 &gt; $BN$7, Tabella01MarzoInverter[[#This Row],[Active power TX2-INV-8]] &lt;= 0, Tabella01MarzoInverter[[#This Row],[Active power TX3-INV-5]] &lt;= 0),
    MIN(($H37 / 1000) * AL$10 * $BN$4, AL$11 * 0.876) * 0.25,
    IF(
        AND($H37 &gt; $BN$7, Tabella01MarzoInverter[[#This Row],[Active power TX2-INV-8]] &lt;= 0),
        Tabella01MarzoInverter[[#This Row],[Active power TX3-INV-5]] * 0.25,
        0
    )
    +
    IF(
        $N37 &lt; 0.875,
        MAX(0, MIN(($H37 / 1000) * AL$10 * $BN$4, AL$11 * 0.876) - (AL$11 * $N37)) * 0.25,
        0
    )
)</f>
        <v>0</v>
      </c>
      <c r="AM37" s="36">
        <f>IF(
    AND($H37 &gt; $BN$7, Tabella01MarzoInverter[[#This Row],[Active power TX2-INV-9]] &lt;= 0, Tabella01MarzoInverter[[#This Row],[Active power TX3-INV-6]] &lt;= 0),
    MIN(($H37 / 1000) * AM$10 * $BN$4, AM$11 * 0.876) * 0.25,
    IF(
        AND($H37 &gt; $BN$7, Tabella01MarzoInverter[[#This Row],[Active power TX2-INV-9]] &lt;= 0),
        Tabella01MarzoInverter[[#This Row],[Active power TX3-INV-6]] * 0.25,
        0
    )
    +
    IF(
        $N37 &lt; 0.875,
        MAX(0, MIN(($H37 / 1000) * AM$10 * $BN$4, AM$11 * 0.876) - (AM$11 * $N37)) * 0.25,
        0
    )
)</f>
        <v>0</v>
      </c>
      <c r="AN37" s="36">
        <f>IF(
    AND($H37 &gt; $BN$7, Tabella01MarzoInverter[[#This Row],[Active power TX2-INV-10]] &lt;= 0, Tabella01MarzoInverter[[#This Row],[Active power TX3-INV-7]] &lt;= 0),
    MIN(($H37 / 1000) * AN$10 * $BN$4, AN$11 * 0.876) * 0.25,
    IF(
        AND($H37 &gt; $BN$7, Tabella01MarzoInverter[[#This Row],[Active power TX2-INV-10]] &lt;= 0),
        Tabella01MarzoInverter[[#This Row],[Active power TX3-INV-7]] * 0.25,
        0
    )
    +
    IF(
        $N37 &lt; 0.875,
        MAX(0, MIN(($H37 / 1000) * AN$10 * $BN$4, AN$11 * 0.876) - (AN$11 * $N37)) * 0.25,
        0
    )
)</f>
        <v>0</v>
      </c>
      <c r="AO37" s="36">
        <f>IF(
    AND($H37 &gt; $BN$7, Tabella01MarzoInverter[[#This Row],[Active power TX2-INV-11]] &lt;= 0, Tabella01MarzoInverter[[#This Row],[Active power TX3-INV-8]] &lt;= 0),
    MIN(($H37 / 1000) * AO$10 * $BN$4, AO$11 * 0.876) * 0.25,
    IF(
        AND($H37 &gt; $BN$7, Tabella01MarzoInverter[[#This Row],[Active power TX2-INV-11]] &lt;= 0),
        Tabella01MarzoInverter[[#This Row],[Active power TX3-INV-8]] * 0.25,
        0
    )
    +
    IF(
        $N37 &lt; 0.875,
        MAX(0, MIN(($H37 / 1000) * AO$10 * $BN$4, AO$11 * 0.876) - (AO$11 * $N37)) * 0.25,
        0
    )
)</f>
        <v>0</v>
      </c>
      <c r="AP37" s="36">
        <f>IF(
    AND($H37 &gt; $BN$7, Tabella01MarzoInverter[[#This Row],[Active power TX2-INV-12]] &lt;= 0, Tabella01MarzoInverter[[#This Row],[Active power TX3-INV-9]] &lt;= 0),
    MIN(($H37 / 1000) * AP$10 * $BN$4, AP$11 * 0.876) * 0.25,
    IF(
        AND($H37 &gt; $BN$7, Tabella01MarzoInverter[[#This Row],[Active power TX2-INV-12]] &lt;= 0),
        Tabella01MarzoInverter[[#This Row],[Active power TX3-INV-9]] * 0.25,
        0
    )
    +
    IF(
        $N37 &lt; 0.875,
        MAX(0, MIN(($H37 / 1000) * AP$10 * $BN$4, AP$11 * 0.876) - (AP$11 * $N37)) * 0.25,
        0
    )
)</f>
        <v>0</v>
      </c>
      <c r="AQ37" s="8">
        <f>AVERAGE(TabellaMar2026[[#This Row],[Colonna39]:[Colonna6]])</f>
        <v>0</v>
      </c>
      <c r="AR37" s="8">
        <f>MAX(TabellaMar2026[[#This Row],[Colonna39]:[Colonna6]])</f>
        <v>0</v>
      </c>
      <c r="AS37" s="35">
        <f>MIN(TabellaMar2026[[#This Row],[Colonna39]:[Colonna6]])</f>
        <v>0</v>
      </c>
      <c r="AT37" s="48">
        <f>SUM(TabellaMar2026[[#This Row],[Colonna39]:[Colonna6]])</f>
        <v>0</v>
      </c>
      <c r="AU37" s="36" cm="1">
        <f t="array" ref="AU37">IF(
    AND($H37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($H37 / 1000) * AU$10 * $BN$4 * 0.25
    ),
    0
)
+
IF(
    $N37 &lt; 0.875,
    MAX(0, MIN(($H37 / 1000) * AU$10 * $BN$4, AU$11 * 0.876) - (AU$11 * $N37)) * 0.25,
    0
)</f>
        <v>0</v>
      </c>
      <c r="AV37" s="36" cm="1">
        <f t="array" ref="AV37">IF(
    AND($H37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($H37 / 1000) * AV$10 * $BN$4 * 0.25
    ),
    0
)
+
IF(
    $N37 &lt; 0.875,
    MAX(0, MIN(($H37 / 1000) * AV$10 * $BN$4, AV$11 * 0.876) - (AV$11 * $N37)) * 0.25,
    0
)</f>
        <v>0</v>
      </c>
      <c r="AW37" s="36" cm="1">
        <f t="array" ref="AW37">IF(
    AND($H37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($H37 / 1000) * AW$10 * $BN$4 * 0.25
    ),
    0
)
+
IF(
    $N37 &lt; 0.875,
    MAX(0, MIN(($H37 / 1000) * AW$10 * $BN$4, AW$11 * 0.876) - (AW$11 * $N37)) * 0.25,
    0
)</f>
        <v>0</v>
      </c>
      <c r="AX37" s="36" cm="1">
        <f t="array" ref="AX37">IF(
    AND($H37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($H37 / 1000) * AX$10 * $BN$4 * 0.25
    ),
    0
)
+
IF(
    $N37 &lt; 0.875,
    MAX(0, MIN(($H37 / 1000) * AX$10 * $BN$4, AX$11 * 0.876) - (AX$11 * $N37)) * 0.25,
    0
)</f>
        <v>0</v>
      </c>
      <c r="AY37" s="36" cm="1">
        <f t="array" ref="AY37">IF(
    AND($H37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($H37 / 1000) * AY$10 * $BN$4 * 0.25
    ),
    0
)
+
IF(
    $N37 &lt; 0.875,
    MAX(0, MIN(($H37 / 1000) * AY$10 * $BN$4, AY$11 * 0.876) - (AY$11 * $N37)) * 0.25,
    0
)</f>
        <v>0</v>
      </c>
      <c r="AZ37" s="36" cm="1">
        <f t="array" ref="AZ37">IF(
    AND($H37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($H37 / 1000) * AZ$10 * $BN$4 * 0.25
    ),
    0
)
+
IF(
    $N37 &lt; 0.875,
    MAX(0, MIN(($H37 / 1000) * AZ$10 * $BN$4, AZ$11 * 0.876) - (AZ$11 * $N37)) * 0.25,
    0
)</f>
        <v>0</v>
      </c>
      <c r="BA37" s="36" cm="1">
        <f t="array" ref="BA37">IF(
    AND($H37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($H37 / 1000) * BA$10 * $BN$4 * 0.25
    ),
    0
)
+
IF(
    $N37 &lt; 0.875,
    MAX(0, MIN(($H37 / 1000) * BA$10 * $BN$4, BA$11 * 0.876) - (BA$11 * $N37)) * 0.25,
    0
)</f>
        <v>0</v>
      </c>
      <c r="BB37" s="36" cm="1">
        <f t="array" ref="BB37">IF(
    AND($H37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($H37 / 1000) * BB$10 * $BN$4 * 0.25
    ),
    0
)
+
IF(
    $N37 &lt; 0.875,
    MAX(0, MIN(($H37 / 1000) * BB$10 * $BN$4, BB$11 * 0.876) - (BB$11 * $N37)) * 0.25,
    0
)</f>
        <v>0</v>
      </c>
      <c r="BC37" s="36" cm="1">
        <f t="array" ref="BC37">IF(
    AND($H37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($H37 / 1000) * BC$10 * $BN$4 * 0.25
    ),
    0
)
+
IF(
    $N37 &lt; 0.875,
    MAX(0, MIN(($H37 / 1000) * BC$10 * $BN$4, BC$11 * 0.876) - (BC$11 * $N37)) * 0.25,
    0
)</f>
        <v>0</v>
      </c>
      <c r="BD37" s="36" cm="1">
        <f t="array" ref="BD37">IF(
    AND($H37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($H37 / 1000) * BD$10 * $BN$4 * 0.25
    ),
    0
)
+
IF(
    $N37 &lt; 0.875,
    MAX(0, MIN(($H37 / 1000) * BD$10 * $BN$4, BD$11 * 0.876) - (BD$11 * $N37)) * 0.25,
    0
)</f>
        <v>0</v>
      </c>
      <c r="BE37" s="36" cm="1">
        <f t="array" ref="BE37">IF(
    AND($H37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($H37 / 1000) * BE$10 * $BN$4 * 0.25
    ),
    0
)
+
IF(
    $N37 &lt; 0.875,
    MAX(0, MIN(($H37 / 1000) * BE$10 * $BN$4, BE$11 * 0.876) - (BE$11 * $N37)) * 0.25,
    0
)</f>
        <v>0</v>
      </c>
      <c r="BF37" s="36" cm="1">
        <f t="array" ref="BF37">IF(
    AND($H37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($H37 / 1000) * BF$10 * $BN$4 * 0.25
    ),
    0
)
+
IF(
    $N37 &lt; 0.875,
    MAX(0, MIN(($H37 / 1000) * BF$10 * $BN$4, BF$11 * 0.876) - (BF$11 * $N37)) * 0.25,
    0
)</f>
        <v>0</v>
      </c>
      <c r="BG37" s="8">
        <f>AVERAGE(TabellaMar2026[[#This Row],[Colonna55]:[Colonna53]])</f>
        <v>0</v>
      </c>
      <c r="BH37" s="8">
        <f>MAX(TabellaMar2026[[#This Row],[Colonna55]:[Colonna53]])</f>
        <v>0</v>
      </c>
      <c r="BI37" s="35">
        <f>MIN(TabellaMar2026[[#This Row],[Colonna55]:[Colonna53]])</f>
        <v>0</v>
      </c>
      <c r="BJ37" s="48">
        <f>SUM(TabellaMar2026[[#This Row],[Colonna54]:[Colonna53]])</f>
        <v>0</v>
      </c>
      <c r="BK37" s="54">
        <f>(SUM(Tabella01MarzoInverter[[Active power TX1-INV-1]:[Active power TX3-INV-12]]) * 0.25) / (12625 * (SUM($G$15:$H$110) * 0.25 / 1000))</f>
        <v>1.014229628761051</v>
      </c>
      <c r="BL37" s="5"/>
      <c r="BM37" s="5"/>
      <c r="BN37" s="8"/>
      <c r="BO37" s="8"/>
      <c r="BP37" s="19"/>
    </row>
    <row r="38" spans="1:68" x14ac:dyDescent="0.25">
      <c r="A38" s="18">
        <v>46147</v>
      </c>
      <c r="B38" t="s">
        <v>38</v>
      </c>
      <c r="C38" s="5">
        <v>-1</v>
      </c>
      <c r="D38" s="6">
        <v>-2.5000000000000001E-4</v>
      </c>
      <c r="E38" s="6">
        <v>-0.1</v>
      </c>
      <c r="F38" s="6">
        <v>-2.5000000000000001E-5</v>
      </c>
      <c r="G38" s="6">
        <f>IFERROR((D38+F38)/2, 0)</f>
        <v>-1.3750000000000001E-4</v>
      </c>
      <c r="H38" s="7">
        <f>IFERROR(IF(AVERAGE(C38,E38)&gt;$BN$7,AVERAGE(C38,E38),0), 0)</f>
        <v>0</v>
      </c>
      <c r="I38" s="7">
        <f>IFERROR(IF(AND(D38=0,F38=0),0,IF(H38&gt;$BN$6,MAX(D38,F38),G38)), 0)</f>
        <v>-1.3750000000000001E-4</v>
      </c>
      <c r="J38" s="6">
        <f>IFERROR(IF(AND(D38&gt;0,F38&gt;0),ABS(D38-F38)/AVERAGE(D38,F38),0), 0)</f>
        <v>0</v>
      </c>
      <c r="K38" s="6">
        <v>30386.2</v>
      </c>
      <c r="L38" s="6">
        <v>30386.2</v>
      </c>
      <c r="M38" s="8">
        <f>IFERROR((L38-K38)*1000, 0)</f>
        <v>0</v>
      </c>
      <c r="N38" s="6">
        <v>0.87599999999999989</v>
      </c>
      <c r="O38" s="8" cm="1">
        <f t="array" ref="O38">IF(
    AND($H38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($H38 / 1000) * O$10 * $BN$4 * 0.25
    ),
    0
)
+
IF(
    $N38 &lt; 0.875,
    MAX(0, MIN(($H38 / 1000) * O$10 * $BN$4, O$11 * 0.876) - (O$11 * $N38)) * 0.25,
    0
)</f>
        <v>0</v>
      </c>
      <c r="P38" s="8" cm="1">
        <f t="array" ref="P38">IF(
    AND($H38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($H38 / 1000) * P$10 * $BN$4 * 0.25
    ),
    0
)
+
IF(
    $N38 &lt; 0.875,
    MAX(0, MIN(($H38 / 1000) * P$10 * $BN$4, P$11 * 0.876) - (P$11 * $N38)) * 0.25,
    0
)</f>
        <v>0</v>
      </c>
      <c r="Q38" s="8" cm="1">
        <f t="array" ref="Q38">IF(
    AND($H38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($H38 / 1000) * Q$10 * $BN$4 * 0.25
    ),
    0
)
+
IF(
    $N38 &lt; 0.875,
    MAX(0, MIN(($H38 / 1000) * Q$10 * $BN$4, Q$11 * 0.876) - (Q$11 * $N38)) * 0.25,
    0
)</f>
        <v>0</v>
      </c>
      <c r="R38" s="8" cm="1">
        <f t="array" ref="R38">IF(
    AND($H38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($H38 / 1000) * R$10 * $BN$4 * 0.25
    ),
    0
)
+
IF(
    $N38 &lt; 0.875,
    MAX(0, MIN(($H38 / 1000) * R$10 * $BN$4, R$11 * 0.876) - (R$11 * $N38)) * 0.25,
    0
)</f>
        <v>0</v>
      </c>
      <c r="S38" s="8" cm="1">
        <f t="array" ref="S38">IF(
    AND($H38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($H38 / 1000) * S$10 * $BN$4 * 0.25
    ),
    0
)
+
IF(
    $N38 &lt; 0.875,
    MAX(0, MIN(($H38 / 1000) * S$10 * $BN$4, S$11 * 0.876) - (S$11 * $N38)) * 0.25,
    0
)</f>
        <v>0</v>
      </c>
      <c r="T38" s="8" cm="1">
        <f t="array" ref="T38">IF(
    AND($H38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($H38 / 1000) * T$10 * $BN$4 * 0.25
    ),
    0
)
+
IF(
    $N38 &lt; 0.875,
    MAX(0, MIN(($H38 / 1000) * T$10 * $BN$4, T$11 * 0.876) - (T$11 * $N38)) * 0.25,
    0
)</f>
        <v>0</v>
      </c>
      <c r="U38" s="8" cm="1">
        <f t="array" ref="U38">IF(
    AND($H38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($H38 / 1000) * U$10 * $BN$4 * 0.25
    ),
    0
)
+
IF(
    $N38 &lt; 0.875,
    MAX(0, MIN(($H38 / 1000) * U$10 * $BN$4, U$11 * 0.876) - (U$11 * $N38)) * 0.25,
    0
)</f>
        <v>0</v>
      </c>
      <c r="V38" s="8" cm="1">
        <f t="array" ref="V38">IF(
    AND($H38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($H38 / 1000) * V$10 * $BN$4 * 0.25
    ),
    0
)
+
IF(
    $N38 &lt; 0.875,
    MAX(0, MIN(($H38 / 1000) * V$10 * $BN$4, V$11 * 0.876) - (V$11 * $N38)) * 0.25,
    0
)</f>
        <v>0</v>
      </c>
      <c r="W38" s="8" cm="1">
        <f t="array" ref="W38">IF(
    AND($H38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($H38 / 1000) * W$10 * $BN$4 * 0.25
    ),
    0
)
+
IF(
    $N38 &lt; 0.875,
    MAX(0, MIN(($H38 / 1000) * W$10 * $BN$4, W$11 * 0.876) - (W$11 * $N38)) * 0.25,
    0
)</f>
        <v>0</v>
      </c>
      <c r="X38" s="8" cm="1">
        <f t="array" ref="X38">IF(
    AND($H38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($H38 / 1000) * X$10 * $BN$4 * 0.25
    ),
    0
)
+
IF(
    $N38 &lt; 0.875,
    MAX(0, MIN(($H38 / 1000) * X$10 * $BN$4, X$11 * 0.876) - (X$11 * $N38)) * 0.25,
    0
)</f>
        <v>0</v>
      </c>
      <c r="Y38" s="8" cm="1">
        <f t="array" ref="Y38">IF(
    AND($H38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($H38 / 1000) * Y$10 * $BN$4 * 0.25
    ),
    0
)
+
IF(
    $N38 &lt; 0.875,
    MAX(0, MIN(($H38 / 1000) * Y$10 * $BN$4, Y$11 * 0.876) - (Y$11 * $N38)) * 0.25,
    0
)</f>
        <v>0</v>
      </c>
      <c r="Z38" s="8" cm="1">
        <f t="array" ref="Z38">IF(
    AND($H38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($H38 / 1000) * Z$10 * $BN$4 * 0.25
    ),
    0
)
+
IF(
    $N38 &lt; 0.875,
    MAX(0, MIN(($H38 / 1000) * Z$10 * $BN$4, Z$11 * 0.876) - (Z$11 * $N38)) * 0.25,
    0
)</f>
        <v>0</v>
      </c>
      <c r="AA38" s="8">
        <f>AVERAGE(TabellaMar2026[[#This Row],[Colonna24]:[Colonna20]])</f>
        <v>0</v>
      </c>
      <c r="AB38" s="8">
        <f>MAX(TabellaMar2026[[#This Row],[Colonna24]:[Colonna20]])</f>
        <v>0</v>
      </c>
      <c r="AC38" s="35">
        <f>MIN(TabellaMar2026[[#This Row],[Colonna24]:[Colonna20]])</f>
        <v>0</v>
      </c>
      <c r="AD38" s="44">
        <f>SUM(TabellaMar2026[[#This Row],[Colonna24]:[Colonna20]])</f>
        <v>0</v>
      </c>
      <c r="AE38" s="36">
        <f>IF(
    AND($H38 &gt; $BN$7, Tabella01MarzoInverter[[#This Row],[Active power TX2-INV-1]] &lt;= 0, Tabella01MarzoInverter[[#This Row],[TX2 - Average Power]] &lt;= 0),
    MIN(($H38 / 1000) * AE$10 * $BN$4, AE$11 * 0.876) * 0.25,
    IF(
        AND($H38 &gt; $BN$7, Tabella01MarzoInverter[[#This Row],[Active power TX2-INV-1]] &lt;= 0),
        Tabella01MarzoInverter[[#This Row],[TX2 - Average Power]] * 0.25,
        0
    )
    +
    IF(
        $N38 &lt; 0.875,
        MAX(0, MIN(($H38 / 1000) * AE$10 * $BN$4, AE$11 * 0.876) - (AE$11 * $N38)) * 0.25,
        0
    )
)</f>
        <v>0</v>
      </c>
      <c r="AF38" s="36">
        <f>IF(
    AND($H38 &gt; $BN$7, Tabella01MarzoInverter[[#This Row],[Active power TX2-INV-2]] &lt;= 0, Tabella01MarzoInverter[[#This Row],[TX2 - Max Power]] &lt;= 0),
    MIN(($H38 / 1000) * AF$10 * $BN$4, AF$11 * 0.876) * 0.25,
    IF(
        AND($H38 &gt; $BN$7, Tabella01MarzoInverter[[#This Row],[Active power TX2-INV-2]] &lt;= 0),
        Tabella01MarzoInverter[[#This Row],[TX2 - Max Power]] * 0.25,
        0
    )
    +
    IF(
        $N38 &lt; 0.875,
        MAX(0, MIN(($H38 / 1000) * AF$10 * $BN$4, AF$11 * 0.876) - (AF$11 * $N38)) * 0.25,
        0
    )
)</f>
        <v>0</v>
      </c>
      <c r="AG38" s="36">
        <f>IF(
    AND($H38 &gt; $BN$7, Tabella01MarzoInverter[[#This Row],[Active power TX2-INV-3]] &lt;= 0, Tabella01MarzoInverter[[#This Row],[TX2 - Min Power]] &lt;= 0),
    MIN(($H38 / 1000) * AG$10 * $BN$4, AG$11 * 0.876) * 0.25,
    IF(
        AND($H38 &gt; $BN$7, Tabella01MarzoInverter[[#This Row],[Active power TX2-INV-3]] &lt;= 0),
        Tabella01MarzoInverter[[#This Row],[TX2 - Min Power]] * 0.25,
        0
    )
    +
    IF(
        $N38 &lt; 0.875,
        MAX(0, MIN(($H38 / 1000) * AG$10 * $BN$4, AG$11 * 0.876) - (AG$11 * $N38)) * 0.25,
        0
    )
)</f>
        <v>0</v>
      </c>
      <c r="AH38" s="36">
        <f>IF(
    AND($H38 &gt; $BN$7, Tabella01MarzoInverter[[#This Row],[Active power TX2-INV-4]] &lt;= 0, Tabella01MarzoInverter[[#This Row],[Active power TX3-INV-1]] &lt;= 0),
    MIN(($H38 / 1000) * AH$10 * $BN$4, AH$11 * 0.876) * 0.25,
    IF(
        AND($H38 &gt; $BN$7, Tabella01MarzoInverter[[#This Row],[Active power TX2-INV-4]] &lt;= 0),
        Tabella01MarzoInverter[[#This Row],[Active power TX3-INV-1]] * 0.25,
        0
    )
    +
    IF(
        $N38 &lt; 0.875,
        MAX(0, MIN(($H38 / 1000) * AH$10 * $BN$4, AH$11 * 0.876) - (AH$11 * $N38)) * 0.25,
        0
    )
)</f>
        <v>0</v>
      </c>
      <c r="AI38" s="36">
        <f>IF(
    AND($H38 &gt; $BN$7, Tabella01MarzoInverter[[#This Row],[Active power TX2-INV-5]] &lt;= 0, Tabella01MarzoInverter[[#This Row],[Active power TX3-INV-2]] &lt;= 0),
    MIN(($H38 / 1000) * AI$10 * $BN$4, AI$11 * 0.876) * 0.25,
    IF(
        AND($H38 &gt; $BN$7, Tabella01MarzoInverter[[#This Row],[Active power TX2-INV-5]] &lt;= 0),
        Tabella01MarzoInverter[[#This Row],[Active power TX3-INV-2]] * 0.25,
        0
    )
    +
    IF(
        $N38 &lt; 0.875,
        MAX(0, MIN(($H38 / 1000) * AI$10 * $BN$4, AI$11 * 0.876) - (AI$11 * $N38)) * 0.25,
        0
    )
)</f>
        <v>0</v>
      </c>
      <c r="AJ38" s="36">
        <f>IF(
    AND($H38 &gt; $BN$7, Tabella01MarzoInverter[[#This Row],[Active power TX2-INV-6]] &lt;= 0, Tabella01MarzoInverter[[#This Row],[Active power TX3-INV-3]] &lt;= 0),
    MIN(($H38 / 1000) * AJ$10 * $BN$4, AJ$11 * 0.876) * 0.25,
    IF(
        AND($H38 &gt; $BN$7, Tabella01MarzoInverter[[#This Row],[Active power TX2-INV-6]] &lt;= 0),
        Tabella01MarzoInverter[[#This Row],[Active power TX3-INV-3]] * 0.25,
        0
    )
    +
    IF(
        $N38 &lt; 0.875,
        MAX(0, MIN(($H38 / 1000) * AJ$10 * $BN$4, AJ$11 * 0.876) - (AJ$11 * $N38)) * 0.25,
        0
    )
)</f>
        <v>0</v>
      </c>
      <c r="AK38" s="36">
        <f>IF(
    AND($H38 &gt; $BN$7, Tabella01MarzoInverter[[#This Row],[Active power TX2-INV-7]] &lt;= 0, Tabella01MarzoInverter[[#This Row],[Active power TX3-INV-4]] &lt;= 0),
    MIN(($H38 / 1000) * AK$10 * $BN$4, AK$11 * 0.876) * 0.25,
    IF(
        AND($H38 &gt; $BN$7, Tabella01MarzoInverter[[#This Row],[Active power TX2-INV-7]] &lt;= 0),
        Tabella01MarzoInverter[[#This Row],[Active power TX3-INV-4]] * 0.25,
        0
    )
    +
    IF(
        $N38 &lt; 0.875,
        MAX(0, MIN(($H38 / 1000) * AK$10 * $BN$4, AK$11 * 0.876) - (AK$11 * $N38)) * 0.25,
        0
    )
)</f>
        <v>0</v>
      </c>
      <c r="AL38" s="36">
        <f>IF(
    AND($H38 &gt; $BN$7, Tabella01MarzoInverter[[#This Row],[Active power TX2-INV-8]] &lt;= 0, Tabella01MarzoInverter[[#This Row],[Active power TX3-INV-5]] &lt;= 0),
    MIN(($H38 / 1000) * AL$10 * $BN$4, AL$11 * 0.876) * 0.25,
    IF(
        AND($H38 &gt; $BN$7, Tabella01MarzoInverter[[#This Row],[Active power TX2-INV-8]] &lt;= 0),
        Tabella01MarzoInverter[[#This Row],[Active power TX3-INV-5]] * 0.25,
        0
    )
    +
    IF(
        $N38 &lt; 0.875,
        MAX(0, MIN(($H38 / 1000) * AL$10 * $BN$4, AL$11 * 0.876) - (AL$11 * $N38)) * 0.25,
        0
    )
)</f>
        <v>0</v>
      </c>
      <c r="AM38" s="36">
        <f>IF(
    AND($H38 &gt; $BN$7, Tabella01MarzoInverter[[#This Row],[Active power TX2-INV-9]] &lt;= 0, Tabella01MarzoInverter[[#This Row],[Active power TX3-INV-6]] &lt;= 0),
    MIN(($H38 / 1000) * AM$10 * $BN$4, AM$11 * 0.876) * 0.25,
    IF(
        AND($H38 &gt; $BN$7, Tabella01MarzoInverter[[#This Row],[Active power TX2-INV-9]] &lt;= 0),
        Tabella01MarzoInverter[[#This Row],[Active power TX3-INV-6]] * 0.25,
        0
    )
    +
    IF(
        $N38 &lt; 0.875,
        MAX(0, MIN(($H38 / 1000) * AM$10 * $BN$4, AM$11 * 0.876) - (AM$11 * $N38)) * 0.25,
        0
    )
)</f>
        <v>0</v>
      </c>
      <c r="AN38" s="36">
        <f>IF(
    AND($H38 &gt; $BN$7, Tabella01MarzoInverter[[#This Row],[Active power TX2-INV-10]] &lt;= 0, Tabella01MarzoInverter[[#This Row],[Active power TX3-INV-7]] &lt;= 0),
    MIN(($H38 / 1000) * AN$10 * $BN$4, AN$11 * 0.876) * 0.25,
    IF(
        AND($H38 &gt; $BN$7, Tabella01MarzoInverter[[#This Row],[Active power TX2-INV-10]] &lt;= 0),
        Tabella01MarzoInverter[[#This Row],[Active power TX3-INV-7]] * 0.25,
        0
    )
    +
    IF(
        $N38 &lt; 0.875,
        MAX(0, MIN(($H38 / 1000) * AN$10 * $BN$4, AN$11 * 0.876) - (AN$11 * $N38)) * 0.25,
        0
    )
)</f>
        <v>0</v>
      </c>
      <c r="AO38" s="36">
        <f>IF(
    AND($H38 &gt; $BN$7, Tabella01MarzoInverter[[#This Row],[Active power TX2-INV-11]] &lt;= 0, Tabella01MarzoInverter[[#This Row],[Active power TX3-INV-8]] &lt;= 0),
    MIN(($H38 / 1000) * AO$10 * $BN$4, AO$11 * 0.876) * 0.25,
    IF(
        AND($H38 &gt; $BN$7, Tabella01MarzoInverter[[#This Row],[Active power TX2-INV-11]] &lt;= 0),
        Tabella01MarzoInverter[[#This Row],[Active power TX3-INV-8]] * 0.25,
        0
    )
    +
    IF(
        $N38 &lt; 0.875,
        MAX(0, MIN(($H38 / 1000) * AO$10 * $BN$4, AO$11 * 0.876) - (AO$11 * $N38)) * 0.25,
        0
    )
)</f>
        <v>0</v>
      </c>
      <c r="AP38" s="36">
        <f>IF(
    AND($H38 &gt; $BN$7, Tabella01MarzoInverter[[#This Row],[Active power TX2-INV-12]] &lt;= 0, Tabella01MarzoInverter[[#This Row],[Active power TX3-INV-9]] &lt;= 0),
    MIN(($H38 / 1000) * AP$10 * $BN$4, AP$11 * 0.876) * 0.25,
    IF(
        AND($H38 &gt; $BN$7, Tabella01MarzoInverter[[#This Row],[Active power TX2-INV-12]] &lt;= 0),
        Tabella01MarzoInverter[[#This Row],[Active power TX3-INV-9]] * 0.25,
        0
    )
    +
    IF(
        $N38 &lt; 0.875,
        MAX(0, MIN(($H38 / 1000) * AP$10 * $BN$4, AP$11 * 0.876) - (AP$11 * $N38)) * 0.25,
        0
    )
)</f>
        <v>0</v>
      </c>
      <c r="AQ38" s="8">
        <f>AVERAGE(TabellaMar2026[[#This Row],[Colonna39]:[Colonna6]])</f>
        <v>0</v>
      </c>
      <c r="AR38" s="8">
        <f>MAX(TabellaMar2026[[#This Row],[Colonna39]:[Colonna6]])</f>
        <v>0</v>
      </c>
      <c r="AS38" s="35">
        <f>MIN(TabellaMar2026[[#This Row],[Colonna39]:[Colonna6]])</f>
        <v>0</v>
      </c>
      <c r="AT38" s="48">
        <f>SUM(TabellaMar2026[[#This Row],[Colonna39]:[Colonna6]])</f>
        <v>0</v>
      </c>
      <c r="AU38" s="36" cm="1">
        <f t="array" ref="AU38">IF(
    AND($H38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($H38 / 1000) * AU$10 * $BN$4 * 0.25
    ),
    0
)
+
IF(
    $N38 &lt; 0.875,
    MAX(0, MIN(($H38 / 1000) * AU$10 * $BN$4, AU$11 * 0.876) - (AU$11 * $N38)) * 0.25,
    0
)</f>
        <v>0</v>
      </c>
      <c r="AV38" s="36" cm="1">
        <f t="array" ref="AV38">IF(
    AND($H38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($H38 / 1000) * AV$10 * $BN$4 * 0.25
    ),
    0
)
+
IF(
    $N38 &lt; 0.875,
    MAX(0, MIN(($H38 / 1000) * AV$10 * $BN$4, AV$11 * 0.876) - (AV$11 * $N38)) * 0.25,
    0
)</f>
        <v>0</v>
      </c>
      <c r="AW38" s="36" cm="1">
        <f t="array" ref="AW38">IF(
    AND($H38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($H38 / 1000) * AW$10 * $BN$4 * 0.25
    ),
    0
)
+
IF(
    $N38 &lt; 0.875,
    MAX(0, MIN(($H38 / 1000) * AW$10 * $BN$4, AW$11 * 0.876) - (AW$11 * $N38)) * 0.25,
    0
)</f>
        <v>0</v>
      </c>
      <c r="AX38" s="36" cm="1">
        <f t="array" ref="AX38">IF(
    AND($H38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($H38 / 1000) * AX$10 * $BN$4 * 0.25
    ),
    0
)
+
IF(
    $N38 &lt; 0.875,
    MAX(0, MIN(($H38 / 1000) * AX$10 * $BN$4, AX$11 * 0.876) - (AX$11 * $N38)) * 0.25,
    0
)</f>
        <v>0</v>
      </c>
      <c r="AY38" s="36" cm="1">
        <f t="array" ref="AY38">IF(
    AND($H38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($H38 / 1000) * AY$10 * $BN$4 * 0.25
    ),
    0
)
+
IF(
    $N38 &lt; 0.875,
    MAX(0, MIN(($H38 / 1000) * AY$10 * $BN$4, AY$11 * 0.876) - (AY$11 * $N38)) * 0.25,
    0
)</f>
        <v>0</v>
      </c>
      <c r="AZ38" s="36" cm="1">
        <f t="array" ref="AZ38">IF(
    AND($H38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($H38 / 1000) * AZ$10 * $BN$4 * 0.25
    ),
    0
)
+
IF(
    $N38 &lt; 0.875,
    MAX(0, MIN(($H38 / 1000) * AZ$10 * $BN$4, AZ$11 * 0.876) - (AZ$11 * $N38)) * 0.25,
    0
)</f>
        <v>0</v>
      </c>
      <c r="BA38" s="36" cm="1">
        <f t="array" ref="BA38">IF(
    AND($H38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($H38 / 1000) * BA$10 * $BN$4 * 0.25
    ),
    0
)
+
IF(
    $N38 &lt; 0.875,
    MAX(0, MIN(($H38 / 1000) * BA$10 * $BN$4, BA$11 * 0.876) - (BA$11 * $N38)) * 0.25,
    0
)</f>
        <v>0</v>
      </c>
      <c r="BB38" s="36" cm="1">
        <f t="array" ref="BB38">IF(
    AND($H38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($H38 / 1000) * BB$10 * $BN$4 * 0.25
    ),
    0
)
+
IF(
    $N38 &lt; 0.875,
    MAX(0, MIN(($H38 / 1000) * BB$10 * $BN$4, BB$11 * 0.876) - (BB$11 * $N38)) * 0.25,
    0
)</f>
        <v>0</v>
      </c>
      <c r="BC38" s="36" cm="1">
        <f t="array" ref="BC38">IF(
    AND($H38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($H38 / 1000) * BC$10 * $BN$4 * 0.25
    ),
    0
)
+
IF(
    $N38 &lt; 0.875,
    MAX(0, MIN(($H38 / 1000) * BC$10 * $BN$4, BC$11 * 0.876) - (BC$11 * $N38)) * 0.25,
    0
)</f>
        <v>0</v>
      </c>
      <c r="BD38" s="36" cm="1">
        <f t="array" ref="BD38">IF(
    AND($H38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($H38 / 1000) * BD$10 * $BN$4 * 0.25
    ),
    0
)
+
IF(
    $N38 &lt; 0.875,
    MAX(0, MIN(($H38 / 1000) * BD$10 * $BN$4, BD$11 * 0.876) - (BD$11 * $N38)) * 0.25,
    0
)</f>
        <v>0</v>
      </c>
      <c r="BE38" s="36" cm="1">
        <f t="array" ref="BE38">IF(
    AND($H38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($H38 / 1000) * BE$10 * $BN$4 * 0.25
    ),
    0
)
+
IF(
    $N38 &lt; 0.875,
    MAX(0, MIN(($H38 / 1000) * BE$10 * $BN$4, BE$11 * 0.876) - (BE$11 * $N38)) * 0.25,
    0
)</f>
        <v>0</v>
      </c>
      <c r="BF38" s="36" cm="1">
        <f t="array" ref="BF38">IF(
    AND($H38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($H38 / 1000) * BF$10 * $BN$4 * 0.25
    ),
    0
)
+
IF(
    $N38 &lt; 0.875,
    MAX(0, MIN(($H38 / 1000) * BF$10 * $BN$4, BF$11 * 0.876) - (BF$11 * $N38)) * 0.25,
    0
)</f>
        <v>0</v>
      </c>
      <c r="BG38" s="8">
        <f>AVERAGE(TabellaMar2026[[#This Row],[Colonna55]:[Colonna53]])</f>
        <v>0</v>
      </c>
      <c r="BH38" s="8">
        <f>MAX(TabellaMar2026[[#This Row],[Colonna55]:[Colonna53]])</f>
        <v>0</v>
      </c>
      <c r="BI38" s="35">
        <f>MIN(TabellaMar2026[[#This Row],[Colonna55]:[Colonna53]])</f>
        <v>0</v>
      </c>
      <c r="BJ38" s="48">
        <f>SUM(TabellaMar2026[[#This Row],[Colonna54]:[Colonna53]])</f>
        <v>0</v>
      </c>
      <c r="BK38" s="54">
        <f>(SUM(Tabella01MarzoInverter[[Active power TX1-INV-1]:[Active power TX3-INV-12]]) * 0.25) / (12625 * (SUM($G$15:$H$110) * 0.25 / 1000))</f>
        <v>1.014229628761051</v>
      </c>
      <c r="BL38" s="5"/>
      <c r="BM38" s="5"/>
      <c r="BN38" s="8"/>
      <c r="BO38" s="8"/>
      <c r="BP38" s="19"/>
    </row>
    <row r="39" spans="1:68" x14ac:dyDescent="0.25">
      <c r="A39" s="18">
        <v>46147</v>
      </c>
      <c r="B39" t="s">
        <v>39</v>
      </c>
      <c r="C39" s="5">
        <v>-0.4</v>
      </c>
      <c r="D39" s="6">
        <v>-1E-4</v>
      </c>
      <c r="E39" s="6">
        <v>0</v>
      </c>
      <c r="F39" s="6">
        <v>0</v>
      </c>
      <c r="G39" s="6">
        <f>IFERROR((D39+F39)/2, 0)</f>
        <v>-5.0000000000000002E-5</v>
      </c>
      <c r="H39" s="7">
        <f>IFERROR(IF(AVERAGE(C39,E39)&gt;$BN$7,AVERAGE(C39,E39),0), 0)</f>
        <v>0</v>
      </c>
      <c r="I39" s="7">
        <f>IFERROR(IF(AND(D39=0,F39=0),0,IF(H39&gt;$BN$6,MAX(D39,F39),G39)), 0)</f>
        <v>-5.0000000000000002E-5</v>
      </c>
      <c r="J39" s="6">
        <f>IFERROR(IF(AND(D39&gt;0,F39&gt;0),ABS(D39-F39)/AVERAGE(D39,F39),0), 0)</f>
        <v>0</v>
      </c>
      <c r="K39" s="6">
        <v>30386.2</v>
      </c>
      <c r="L39" s="6">
        <v>30386.2</v>
      </c>
      <c r="M39" s="8">
        <f>IFERROR((L39-K39)*1000, 0)</f>
        <v>0</v>
      </c>
      <c r="N39" s="6">
        <v>0.87599999999999989</v>
      </c>
      <c r="O39" s="8" cm="1">
        <f t="array" ref="O39">IF(
    AND($H39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($H39 / 1000) * O$10 * $BN$4 * 0.25
    ),
    0
)
+
IF(
    $N39 &lt; 0.875,
    MAX(0, MIN(($H39 / 1000) * O$10 * $BN$4, O$11 * 0.876) - (O$11 * $N39)) * 0.25,
    0
)</f>
        <v>0</v>
      </c>
      <c r="P39" s="8" cm="1">
        <f t="array" ref="P39">IF(
    AND($H39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($H39 / 1000) * P$10 * $BN$4 * 0.25
    ),
    0
)
+
IF(
    $N39 &lt; 0.875,
    MAX(0, MIN(($H39 / 1000) * P$10 * $BN$4, P$11 * 0.876) - (P$11 * $N39)) * 0.25,
    0
)</f>
        <v>0</v>
      </c>
      <c r="Q39" s="8" cm="1">
        <f t="array" ref="Q39">IF(
    AND($H39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($H39 / 1000) * Q$10 * $BN$4 * 0.25
    ),
    0
)
+
IF(
    $N39 &lt; 0.875,
    MAX(0, MIN(($H39 / 1000) * Q$10 * $BN$4, Q$11 * 0.876) - (Q$11 * $N39)) * 0.25,
    0
)</f>
        <v>0</v>
      </c>
      <c r="R39" s="8" cm="1">
        <f t="array" ref="R39">IF(
    AND($H39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($H39 / 1000) * R$10 * $BN$4 * 0.25
    ),
    0
)
+
IF(
    $N39 &lt; 0.875,
    MAX(0, MIN(($H39 / 1000) * R$10 * $BN$4, R$11 * 0.876) - (R$11 * $N39)) * 0.25,
    0
)</f>
        <v>0</v>
      </c>
      <c r="S39" s="8" cm="1">
        <f t="array" ref="S39">IF(
    AND($H39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($H39 / 1000) * S$10 * $BN$4 * 0.25
    ),
    0
)
+
IF(
    $N39 &lt; 0.875,
    MAX(0, MIN(($H39 / 1000) * S$10 * $BN$4, S$11 * 0.876) - (S$11 * $N39)) * 0.25,
    0
)</f>
        <v>0</v>
      </c>
      <c r="T39" s="8" cm="1">
        <f t="array" ref="T39">IF(
    AND($H39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($H39 / 1000) * T$10 * $BN$4 * 0.25
    ),
    0
)
+
IF(
    $N39 &lt; 0.875,
    MAX(0, MIN(($H39 / 1000) * T$10 * $BN$4, T$11 * 0.876) - (T$11 * $N39)) * 0.25,
    0
)</f>
        <v>0</v>
      </c>
      <c r="U39" s="8" cm="1">
        <f t="array" ref="U39">IF(
    AND($H39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($H39 / 1000) * U$10 * $BN$4 * 0.25
    ),
    0
)
+
IF(
    $N39 &lt; 0.875,
    MAX(0, MIN(($H39 / 1000) * U$10 * $BN$4, U$11 * 0.876) - (U$11 * $N39)) * 0.25,
    0
)</f>
        <v>0</v>
      </c>
      <c r="V39" s="8" cm="1">
        <f t="array" ref="V39">IF(
    AND($H39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($H39 / 1000) * V$10 * $BN$4 * 0.25
    ),
    0
)
+
IF(
    $N39 &lt; 0.875,
    MAX(0, MIN(($H39 / 1000) * V$10 * $BN$4, V$11 * 0.876) - (V$11 * $N39)) * 0.25,
    0
)</f>
        <v>0</v>
      </c>
      <c r="W39" s="8" cm="1">
        <f t="array" ref="W39">IF(
    AND($H39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($H39 / 1000) * W$10 * $BN$4 * 0.25
    ),
    0
)
+
IF(
    $N39 &lt; 0.875,
    MAX(0, MIN(($H39 / 1000) * W$10 * $BN$4, W$11 * 0.876) - (W$11 * $N39)) * 0.25,
    0
)</f>
        <v>0</v>
      </c>
      <c r="X39" s="8" cm="1">
        <f t="array" ref="X39">IF(
    AND($H39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($H39 / 1000) * X$10 * $BN$4 * 0.25
    ),
    0
)
+
IF(
    $N39 &lt; 0.875,
    MAX(0, MIN(($H39 / 1000) * X$10 * $BN$4, X$11 * 0.876) - (X$11 * $N39)) * 0.25,
    0
)</f>
        <v>0</v>
      </c>
      <c r="Y39" s="8" cm="1">
        <f t="array" ref="Y39">IF(
    AND($H39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($H39 / 1000) * Y$10 * $BN$4 * 0.25
    ),
    0
)
+
IF(
    $N39 &lt; 0.875,
    MAX(0, MIN(($H39 / 1000) * Y$10 * $BN$4, Y$11 * 0.876) - (Y$11 * $N39)) * 0.25,
    0
)</f>
        <v>0</v>
      </c>
      <c r="Z39" s="8" cm="1">
        <f t="array" ref="Z39">IF(
    AND($H39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($H39 / 1000) * Z$10 * $BN$4 * 0.25
    ),
    0
)
+
IF(
    $N39 &lt; 0.875,
    MAX(0, MIN(($H39 / 1000) * Z$10 * $BN$4, Z$11 * 0.876) - (Z$11 * $N39)) * 0.25,
    0
)</f>
        <v>0</v>
      </c>
      <c r="AA39" s="8">
        <f>AVERAGE(TabellaMar2026[[#This Row],[Colonna24]:[Colonna20]])</f>
        <v>0</v>
      </c>
      <c r="AB39" s="8">
        <f>MAX(TabellaMar2026[[#This Row],[Colonna24]:[Colonna20]])</f>
        <v>0</v>
      </c>
      <c r="AC39" s="35">
        <f>MIN(TabellaMar2026[[#This Row],[Colonna24]:[Colonna20]])</f>
        <v>0</v>
      </c>
      <c r="AD39" s="44">
        <f>SUM(TabellaMar2026[[#This Row],[Colonna24]:[Colonna20]])</f>
        <v>0</v>
      </c>
      <c r="AE39" s="36">
        <f>IF(
    AND($H39 &gt; $BN$7, Tabella01MarzoInverter[[#This Row],[Active power TX2-INV-1]] &lt;= 0, Tabella01MarzoInverter[[#This Row],[TX2 - Average Power]] &lt;= 0),
    MIN(($H39 / 1000) * AE$10 * $BN$4, AE$11 * 0.876) * 0.25,
    IF(
        AND($H39 &gt; $BN$7, Tabella01MarzoInverter[[#This Row],[Active power TX2-INV-1]] &lt;= 0),
        Tabella01MarzoInverter[[#This Row],[TX2 - Average Power]] * 0.25,
        0
    )
    +
    IF(
        $N39 &lt; 0.875,
        MAX(0, MIN(($H39 / 1000) * AE$10 * $BN$4, AE$11 * 0.876) - (AE$11 * $N39)) * 0.25,
        0
    )
)</f>
        <v>0</v>
      </c>
      <c r="AF39" s="36">
        <f>IF(
    AND($H39 &gt; $BN$7, Tabella01MarzoInverter[[#This Row],[Active power TX2-INV-2]] &lt;= 0, Tabella01MarzoInverter[[#This Row],[TX2 - Max Power]] &lt;= 0),
    MIN(($H39 / 1000) * AF$10 * $BN$4, AF$11 * 0.876) * 0.25,
    IF(
        AND($H39 &gt; $BN$7, Tabella01MarzoInverter[[#This Row],[Active power TX2-INV-2]] &lt;= 0),
        Tabella01MarzoInverter[[#This Row],[TX2 - Max Power]] * 0.25,
        0
    )
    +
    IF(
        $N39 &lt; 0.875,
        MAX(0, MIN(($H39 / 1000) * AF$10 * $BN$4, AF$11 * 0.876) - (AF$11 * $N39)) * 0.25,
        0
    )
)</f>
        <v>0</v>
      </c>
      <c r="AG39" s="36">
        <f>IF(
    AND($H39 &gt; $BN$7, Tabella01MarzoInverter[[#This Row],[Active power TX2-INV-3]] &lt;= 0, Tabella01MarzoInverter[[#This Row],[TX2 - Min Power]] &lt;= 0),
    MIN(($H39 / 1000) * AG$10 * $BN$4, AG$11 * 0.876) * 0.25,
    IF(
        AND($H39 &gt; $BN$7, Tabella01MarzoInverter[[#This Row],[Active power TX2-INV-3]] &lt;= 0),
        Tabella01MarzoInverter[[#This Row],[TX2 - Min Power]] * 0.25,
        0
    )
    +
    IF(
        $N39 &lt; 0.875,
        MAX(0, MIN(($H39 / 1000) * AG$10 * $BN$4, AG$11 * 0.876) - (AG$11 * $N39)) * 0.25,
        0
    )
)</f>
        <v>0</v>
      </c>
      <c r="AH39" s="36">
        <f>IF(
    AND($H39 &gt; $BN$7, Tabella01MarzoInverter[[#This Row],[Active power TX2-INV-4]] &lt;= 0, Tabella01MarzoInverter[[#This Row],[Active power TX3-INV-1]] &lt;= 0),
    MIN(($H39 / 1000) * AH$10 * $BN$4, AH$11 * 0.876) * 0.25,
    IF(
        AND($H39 &gt; $BN$7, Tabella01MarzoInverter[[#This Row],[Active power TX2-INV-4]] &lt;= 0),
        Tabella01MarzoInverter[[#This Row],[Active power TX3-INV-1]] * 0.25,
        0
    )
    +
    IF(
        $N39 &lt; 0.875,
        MAX(0, MIN(($H39 / 1000) * AH$10 * $BN$4, AH$11 * 0.876) - (AH$11 * $N39)) * 0.25,
        0
    )
)</f>
        <v>0</v>
      </c>
      <c r="AI39" s="36">
        <f>IF(
    AND($H39 &gt; $BN$7, Tabella01MarzoInverter[[#This Row],[Active power TX2-INV-5]] &lt;= 0, Tabella01MarzoInverter[[#This Row],[Active power TX3-INV-2]] &lt;= 0),
    MIN(($H39 / 1000) * AI$10 * $BN$4, AI$11 * 0.876) * 0.25,
    IF(
        AND($H39 &gt; $BN$7, Tabella01MarzoInverter[[#This Row],[Active power TX2-INV-5]] &lt;= 0),
        Tabella01MarzoInverter[[#This Row],[Active power TX3-INV-2]] * 0.25,
        0
    )
    +
    IF(
        $N39 &lt; 0.875,
        MAX(0, MIN(($H39 / 1000) * AI$10 * $BN$4, AI$11 * 0.876) - (AI$11 * $N39)) * 0.25,
        0
    )
)</f>
        <v>0</v>
      </c>
      <c r="AJ39" s="36">
        <f>IF(
    AND($H39 &gt; $BN$7, Tabella01MarzoInverter[[#This Row],[Active power TX2-INV-6]] &lt;= 0, Tabella01MarzoInverter[[#This Row],[Active power TX3-INV-3]] &lt;= 0),
    MIN(($H39 / 1000) * AJ$10 * $BN$4, AJ$11 * 0.876) * 0.25,
    IF(
        AND($H39 &gt; $BN$7, Tabella01MarzoInverter[[#This Row],[Active power TX2-INV-6]] &lt;= 0),
        Tabella01MarzoInverter[[#This Row],[Active power TX3-INV-3]] * 0.25,
        0
    )
    +
    IF(
        $N39 &lt; 0.875,
        MAX(0, MIN(($H39 / 1000) * AJ$10 * $BN$4, AJ$11 * 0.876) - (AJ$11 * $N39)) * 0.25,
        0
    )
)</f>
        <v>0</v>
      </c>
      <c r="AK39" s="36">
        <f>IF(
    AND($H39 &gt; $BN$7, Tabella01MarzoInverter[[#This Row],[Active power TX2-INV-7]] &lt;= 0, Tabella01MarzoInverter[[#This Row],[Active power TX3-INV-4]] &lt;= 0),
    MIN(($H39 / 1000) * AK$10 * $BN$4, AK$11 * 0.876) * 0.25,
    IF(
        AND($H39 &gt; $BN$7, Tabella01MarzoInverter[[#This Row],[Active power TX2-INV-7]] &lt;= 0),
        Tabella01MarzoInverter[[#This Row],[Active power TX3-INV-4]] * 0.25,
        0
    )
    +
    IF(
        $N39 &lt; 0.875,
        MAX(0, MIN(($H39 / 1000) * AK$10 * $BN$4, AK$11 * 0.876) - (AK$11 * $N39)) * 0.25,
        0
    )
)</f>
        <v>0</v>
      </c>
      <c r="AL39" s="36">
        <f>IF(
    AND($H39 &gt; $BN$7, Tabella01MarzoInverter[[#This Row],[Active power TX2-INV-8]] &lt;= 0, Tabella01MarzoInverter[[#This Row],[Active power TX3-INV-5]] &lt;= 0),
    MIN(($H39 / 1000) * AL$10 * $BN$4, AL$11 * 0.876) * 0.25,
    IF(
        AND($H39 &gt; $BN$7, Tabella01MarzoInverter[[#This Row],[Active power TX2-INV-8]] &lt;= 0),
        Tabella01MarzoInverter[[#This Row],[Active power TX3-INV-5]] * 0.25,
        0
    )
    +
    IF(
        $N39 &lt; 0.875,
        MAX(0, MIN(($H39 / 1000) * AL$10 * $BN$4, AL$11 * 0.876) - (AL$11 * $N39)) * 0.25,
        0
    )
)</f>
        <v>0</v>
      </c>
      <c r="AM39" s="36">
        <f>IF(
    AND($H39 &gt; $BN$7, Tabella01MarzoInverter[[#This Row],[Active power TX2-INV-9]] &lt;= 0, Tabella01MarzoInverter[[#This Row],[Active power TX3-INV-6]] &lt;= 0),
    MIN(($H39 / 1000) * AM$10 * $BN$4, AM$11 * 0.876) * 0.25,
    IF(
        AND($H39 &gt; $BN$7, Tabella01MarzoInverter[[#This Row],[Active power TX2-INV-9]] &lt;= 0),
        Tabella01MarzoInverter[[#This Row],[Active power TX3-INV-6]] * 0.25,
        0
    )
    +
    IF(
        $N39 &lt; 0.875,
        MAX(0, MIN(($H39 / 1000) * AM$10 * $BN$4, AM$11 * 0.876) - (AM$11 * $N39)) * 0.25,
        0
    )
)</f>
        <v>0</v>
      </c>
      <c r="AN39" s="36">
        <f>IF(
    AND($H39 &gt; $BN$7, Tabella01MarzoInverter[[#This Row],[Active power TX2-INV-10]] &lt;= 0, Tabella01MarzoInverter[[#This Row],[Active power TX3-INV-7]] &lt;= 0),
    MIN(($H39 / 1000) * AN$10 * $BN$4, AN$11 * 0.876) * 0.25,
    IF(
        AND($H39 &gt; $BN$7, Tabella01MarzoInverter[[#This Row],[Active power TX2-INV-10]] &lt;= 0),
        Tabella01MarzoInverter[[#This Row],[Active power TX3-INV-7]] * 0.25,
        0
    )
    +
    IF(
        $N39 &lt; 0.875,
        MAX(0, MIN(($H39 / 1000) * AN$10 * $BN$4, AN$11 * 0.876) - (AN$11 * $N39)) * 0.25,
        0
    )
)</f>
        <v>0</v>
      </c>
      <c r="AO39" s="36">
        <f>IF(
    AND($H39 &gt; $BN$7, Tabella01MarzoInverter[[#This Row],[Active power TX2-INV-11]] &lt;= 0, Tabella01MarzoInverter[[#This Row],[Active power TX3-INV-8]] &lt;= 0),
    MIN(($H39 / 1000) * AO$10 * $BN$4, AO$11 * 0.876) * 0.25,
    IF(
        AND($H39 &gt; $BN$7, Tabella01MarzoInverter[[#This Row],[Active power TX2-INV-11]] &lt;= 0),
        Tabella01MarzoInverter[[#This Row],[Active power TX3-INV-8]] * 0.25,
        0
    )
    +
    IF(
        $N39 &lt; 0.875,
        MAX(0, MIN(($H39 / 1000) * AO$10 * $BN$4, AO$11 * 0.876) - (AO$11 * $N39)) * 0.25,
        0
    )
)</f>
        <v>0</v>
      </c>
      <c r="AP39" s="36">
        <f>IF(
    AND($H39 &gt; $BN$7, Tabella01MarzoInverter[[#This Row],[Active power TX2-INV-12]] &lt;= 0, Tabella01MarzoInverter[[#This Row],[Active power TX3-INV-9]] &lt;= 0),
    MIN(($H39 / 1000) * AP$10 * $BN$4, AP$11 * 0.876) * 0.25,
    IF(
        AND($H39 &gt; $BN$7, Tabella01MarzoInverter[[#This Row],[Active power TX2-INV-12]] &lt;= 0),
        Tabella01MarzoInverter[[#This Row],[Active power TX3-INV-9]] * 0.25,
        0
    )
    +
    IF(
        $N39 &lt; 0.875,
        MAX(0, MIN(($H39 / 1000) * AP$10 * $BN$4, AP$11 * 0.876) - (AP$11 * $N39)) * 0.25,
        0
    )
)</f>
        <v>0</v>
      </c>
      <c r="AQ39" s="8">
        <f>AVERAGE(TabellaMar2026[[#This Row],[Colonna39]:[Colonna6]])</f>
        <v>0</v>
      </c>
      <c r="AR39" s="8">
        <f>MAX(TabellaMar2026[[#This Row],[Colonna39]:[Colonna6]])</f>
        <v>0</v>
      </c>
      <c r="AS39" s="35">
        <f>MIN(TabellaMar2026[[#This Row],[Colonna39]:[Colonna6]])</f>
        <v>0</v>
      </c>
      <c r="AT39" s="48">
        <f>SUM(TabellaMar2026[[#This Row],[Colonna39]:[Colonna6]])</f>
        <v>0</v>
      </c>
      <c r="AU39" s="36" cm="1">
        <f t="array" ref="AU39">IF(
    AND($H39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($H39 / 1000) * AU$10 * $BN$4 * 0.25
    ),
    0
)
+
IF(
    $N39 &lt; 0.875,
    MAX(0, MIN(($H39 / 1000) * AU$10 * $BN$4, AU$11 * 0.876) - (AU$11 * $N39)) * 0.25,
    0
)</f>
        <v>0</v>
      </c>
      <c r="AV39" s="36" cm="1">
        <f t="array" ref="AV39">IF(
    AND($H39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($H39 / 1000) * AV$10 * $BN$4 * 0.25
    ),
    0
)
+
IF(
    $N39 &lt; 0.875,
    MAX(0, MIN(($H39 / 1000) * AV$10 * $BN$4, AV$11 * 0.876) - (AV$11 * $N39)) * 0.25,
    0
)</f>
        <v>0</v>
      </c>
      <c r="AW39" s="36" cm="1">
        <f t="array" ref="AW39">IF(
    AND($H39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($H39 / 1000) * AW$10 * $BN$4 * 0.25
    ),
    0
)
+
IF(
    $N39 &lt; 0.875,
    MAX(0, MIN(($H39 / 1000) * AW$10 * $BN$4, AW$11 * 0.876) - (AW$11 * $N39)) * 0.25,
    0
)</f>
        <v>0</v>
      </c>
      <c r="AX39" s="36" cm="1">
        <f t="array" ref="AX39">IF(
    AND($H39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($H39 / 1000) * AX$10 * $BN$4 * 0.25
    ),
    0
)
+
IF(
    $N39 &lt; 0.875,
    MAX(0, MIN(($H39 / 1000) * AX$10 * $BN$4, AX$11 * 0.876) - (AX$11 * $N39)) * 0.25,
    0
)</f>
        <v>0</v>
      </c>
      <c r="AY39" s="36" cm="1">
        <f t="array" ref="AY39">IF(
    AND($H39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($H39 / 1000) * AY$10 * $BN$4 * 0.25
    ),
    0
)
+
IF(
    $N39 &lt; 0.875,
    MAX(0, MIN(($H39 / 1000) * AY$10 * $BN$4, AY$11 * 0.876) - (AY$11 * $N39)) * 0.25,
    0
)</f>
        <v>0</v>
      </c>
      <c r="AZ39" s="36" cm="1">
        <f t="array" ref="AZ39">IF(
    AND($H39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($H39 / 1000) * AZ$10 * $BN$4 * 0.25
    ),
    0
)
+
IF(
    $N39 &lt; 0.875,
    MAX(0, MIN(($H39 / 1000) * AZ$10 * $BN$4, AZ$11 * 0.876) - (AZ$11 * $N39)) * 0.25,
    0
)</f>
        <v>0</v>
      </c>
      <c r="BA39" s="36" cm="1">
        <f t="array" ref="BA39">IF(
    AND($H39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($H39 / 1000) * BA$10 * $BN$4 * 0.25
    ),
    0
)
+
IF(
    $N39 &lt; 0.875,
    MAX(0, MIN(($H39 / 1000) * BA$10 * $BN$4, BA$11 * 0.876) - (BA$11 * $N39)) * 0.25,
    0
)</f>
        <v>0</v>
      </c>
      <c r="BB39" s="36" cm="1">
        <f t="array" ref="BB39">IF(
    AND($H39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($H39 / 1000) * BB$10 * $BN$4 * 0.25
    ),
    0
)
+
IF(
    $N39 &lt; 0.875,
    MAX(0, MIN(($H39 / 1000) * BB$10 * $BN$4, BB$11 * 0.876) - (BB$11 * $N39)) * 0.25,
    0
)</f>
        <v>0</v>
      </c>
      <c r="BC39" s="36" cm="1">
        <f t="array" ref="BC39">IF(
    AND($H39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($H39 / 1000) * BC$10 * $BN$4 * 0.25
    ),
    0
)
+
IF(
    $N39 &lt; 0.875,
    MAX(0, MIN(($H39 / 1000) * BC$10 * $BN$4, BC$11 * 0.876) - (BC$11 * $N39)) * 0.25,
    0
)</f>
        <v>0</v>
      </c>
      <c r="BD39" s="36" cm="1">
        <f t="array" ref="BD39">IF(
    AND($H39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($H39 / 1000) * BD$10 * $BN$4 * 0.25
    ),
    0
)
+
IF(
    $N39 &lt; 0.875,
    MAX(0, MIN(($H39 / 1000) * BD$10 * $BN$4, BD$11 * 0.876) - (BD$11 * $N39)) * 0.25,
    0
)</f>
        <v>0</v>
      </c>
      <c r="BE39" s="36" cm="1">
        <f t="array" ref="BE39">IF(
    AND($H39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($H39 / 1000) * BE$10 * $BN$4 * 0.25
    ),
    0
)
+
IF(
    $N39 &lt; 0.875,
    MAX(0, MIN(($H39 / 1000) * BE$10 * $BN$4, BE$11 * 0.876) - (BE$11 * $N39)) * 0.25,
    0
)</f>
        <v>0</v>
      </c>
      <c r="BF39" s="36" cm="1">
        <f t="array" ref="BF39">IF(
    AND($H39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($H39 / 1000) * BF$10 * $BN$4 * 0.25
    ),
    0
)
+
IF(
    $N39 &lt; 0.875,
    MAX(0, MIN(($H39 / 1000) * BF$10 * $BN$4, BF$11 * 0.876) - (BF$11 * $N39)) * 0.25,
    0
)</f>
        <v>0</v>
      </c>
      <c r="BG39" s="8">
        <f>AVERAGE(TabellaMar2026[[#This Row],[Colonna55]:[Colonna53]])</f>
        <v>0</v>
      </c>
      <c r="BH39" s="8">
        <f>MAX(TabellaMar2026[[#This Row],[Colonna55]:[Colonna53]])</f>
        <v>0</v>
      </c>
      <c r="BI39" s="35">
        <f>MIN(TabellaMar2026[[#This Row],[Colonna55]:[Colonna53]])</f>
        <v>0</v>
      </c>
      <c r="BJ39" s="48">
        <f>SUM(TabellaMar2026[[#This Row],[Colonna54]:[Colonna53]])</f>
        <v>0</v>
      </c>
      <c r="BK39" s="54">
        <f>(SUM(Tabella01MarzoInverter[[Active power TX1-INV-1]:[Active power TX3-INV-12]]) * 0.25) / (12625 * (SUM($G$15:$H$110) * 0.25 / 1000))</f>
        <v>1.014229628761051</v>
      </c>
      <c r="BL39" s="5"/>
      <c r="BM39" s="5"/>
      <c r="BN39" s="8"/>
      <c r="BO39" s="8"/>
      <c r="BP39" s="19"/>
    </row>
    <row r="40" spans="1:68" x14ac:dyDescent="0.25">
      <c r="A40" s="18">
        <v>46147</v>
      </c>
      <c r="B40" t="s">
        <v>40</v>
      </c>
      <c r="C40" s="5">
        <v>1.8</v>
      </c>
      <c r="D40" s="6">
        <v>4.4999999999999999E-4</v>
      </c>
      <c r="E40" s="6">
        <v>2.1</v>
      </c>
      <c r="F40" s="6">
        <v>5.2500000000000008E-4</v>
      </c>
      <c r="G40" s="6">
        <f>IFERROR((D40+F40)/2, 0)</f>
        <v>4.8750000000000003E-4</v>
      </c>
      <c r="H40" s="7">
        <f>IFERROR(IF(AVERAGE(C40,E40)&gt;$BN$7,AVERAGE(C40,E40),0), 0)</f>
        <v>0</v>
      </c>
      <c r="I40" s="7">
        <f>IFERROR(IF(AND(D40=0,F40=0),0,IF(H40&gt;$BN$6,MAX(D40,F40),G40)), 0)</f>
        <v>4.8750000000000003E-4</v>
      </c>
      <c r="J40" s="6">
        <f>IFERROR(IF(AND(D40&gt;0,F40&gt;0),ABS(D40-F40)/AVERAGE(D40,F40),0), 0)</f>
        <v>0.15384615384615402</v>
      </c>
      <c r="K40" s="6">
        <v>30386.2</v>
      </c>
      <c r="L40" s="6">
        <v>30386.2</v>
      </c>
      <c r="M40" s="8">
        <f>IFERROR((L40-K40)*1000, 0)</f>
        <v>0</v>
      </c>
      <c r="N40" s="6">
        <v>0.87599999999999989</v>
      </c>
      <c r="O40" s="8" cm="1">
        <f t="array" ref="O40">IF(
    AND($H40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($H40 / 1000) * O$10 * $BN$4 * 0.25
    ),
    0
)
+
IF(
    $N40 &lt; 0.875,
    MAX(0, MIN(($H40 / 1000) * O$10 * $BN$4, O$11 * 0.876) - (O$11 * $N40)) * 0.25,
    0
)</f>
        <v>0</v>
      </c>
      <c r="P40" s="8" cm="1">
        <f t="array" ref="P40">IF(
    AND($H40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($H40 / 1000) * P$10 * $BN$4 * 0.25
    ),
    0
)
+
IF(
    $N40 &lt; 0.875,
    MAX(0, MIN(($H40 / 1000) * P$10 * $BN$4, P$11 * 0.876) - (P$11 * $N40)) * 0.25,
    0
)</f>
        <v>0</v>
      </c>
      <c r="Q40" s="8" cm="1">
        <f t="array" ref="Q40">IF(
    AND($H40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($H40 / 1000) * Q$10 * $BN$4 * 0.25
    ),
    0
)
+
IF(
    $N40 &lt; 0.875,
    MAX(0, MIN(($H40 / 1000) * Q$10 * $BN$4, Q$11 * 0.876) - (Q$11 * $N40)) * 0.25,
    0
)</f>
        <v>0</v>
      </c>
      <c r="R40" s="8" cm="1">
        <f t="array" ref="R40">IF(
    AND($H40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($H40 / 1000) * R$10 * $BN$4 * 0.25
    ),
    0
)
+
IF(
    $N40 &lt; 0.875,
    MAX(0, MIN(($H40 / 1000) * R$10 * $BN$4, R$11 * 0.876) - (R$11 * $N40)) * 0.25,
    0
)</f>
        <v>0</v>
      </c>
      <c r="S40" s="8" cm="1">
        <f t="array" ref="S40">IF(
    AND($H40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($H40 / 1000) * S$10 * $BN$4 * 0.25
    ),
    0
)
+
IF(
    $N40 &lt; 0.875,
    MAX(0, MIN(($H40 / 1000) * S$10 * $BN$4, S$11 * 0.876) - (S$11 * $N40)) * 0.25,
    0
)</f>
        <v>0</v>
      </c>
      <c r="T40" s="8" cm="1">
        <f t="array" ref="T40">IF(
    AND($H40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($H40 / 1000) * T$10 * $BN$4 * 0.25
    ),
    0
)
+
IF(
    $N40 &lt; 0.875,
    MAX(0, MIN(($H40 / 1000) * T$10 * $BN$4, T$11 * 0.876) - (T$11 * $N40)) * 0.25,
    0
)</f>
        <v>0</v>
      </c>
      <c r="U40" s="8" cm="1">
        <f t="array" ref="U40">IF(
    AND($H40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($H40 / 1000) * U$10 * $BN$4 * 0.25
    ),
    0
)
+
IF(
    $N40 &lt; 0.875,
    MAX(0, MIN(($H40 / 1000) * U$10 * $BN$4, U$11 * 0.876) - (U$11 * $N40)) * 0.25,
    0
)</f>
        <v>0</v>
      </c>
      <c r="V40" s="8" cm="1">
        <f t="array" ref="V40">IF(
    AND($H40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($H40 / 1000) * V$10 * $BN$4 * 0.25
    ),
    0
)
+
IF(
    $N40 &lt; 0.875,
    MAX(0, MIN(($H40 / 1000) * V$10 * $BN$4, V$11 * 0.876) - (V$11 * $N40)) * 0.25,
    0
)</f>
        <v>0</v>
      </c>
      <c r="W40" s="8" cm="1">
        <f t="array" ref="W40">IF(
    AND($H40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($H40 / 1000) * W$10 * $BN$4 * 0.25
    ),
    0
)
+
IF(
    $N40 &lt; 0.875,
    MAX(0, MIN(($H40 / 1000) * W$10 * $BN$4, W$11 * 0.876) - (W$11 * $N40)) * 0.25,
    0
)</f>
        <v>0</v>
      </c>
      <c r="X40" s="8" cm="1">
        <f t="array" ref="X40">IF(
    AND($H40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($H40 / 1000) * X$10 * $BN$4 * 0.25
    ),
    0
)
+
IF(
    $N40 &lt; 0.875,
    MAX(0, MIN(($H40 / 1000) * X$10 * $BN$4, X$11 * 0.876) - (X$11 * $N40)) * 0.25,
    0
)</f>
        <v>0</v>
      </c>
      <c r="Y40" s="8" cm="1">
        <f t="array" ref="Y40">IF(
    AND($H40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($H40 / 1000) * Y$10 * $BN$4 * 0.25
    ),
    0
)
+
IF(
    $N40 &lt; 0.875,
    MAX(0, MIN(($H40 / 1000) * Y$10 * $BN$4, Y$11 * 0.876) - (Y$11 * $N40)) * 0.25,
    0
)</f>
        <v>0</v>
      </c>
      <c r="Z40" s="8" cm="1">
        <f t="array" ref="Z40">IF(
    AND($H40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($H40 / 1000) * Z$10 * $BN$4 * 0.25
    ),
    0
)
+
IF(
    $N40 &lt; 0.875,
    MAX(0, MIN(($H40 / 1000) * Z$10 * $BN$4, Z$11 * 0.876) - (Z$11 * $N40)) * 0.25,
    0
)</f>
        <v>0</v>
      </c>
      <c r="AA40" s="8">
        <f>AVERAGE(TabellaMar2026[[#This Row],[Colonna24]:[Colonna20]])</f>
        <v>0</v>
      </c>
      <c r="AB40" s="8">
        <f>MAX(TabellaMar2026[[#This Row],[Colonna24]:[Colonna20]])</f>
        <v>0</v>
      </c>
      <c r="AC40" s="35">
        <f>MIN(TabellaMar2026[[#This Row],[Colonna24]:[Colonna20]])</f>
        <v>0</v>
      </c>
      <c r="AD40" s="44">
        <f>SUM(TabellaMar2026[[#This Row],[Colonna24]:[Colonna20]])</f>
        <v>0</v>
      </c>
      <c r="AE40" s="36">
        <f>IF(
    AND($H40 &gt; $BN$7, Tabella01MarzoInverter[[#This Row],[Active power TX2-INV-1]] &lt;= 0, Tabella01MarzoInverter[[#This Row],[TX2 - Average Power]] &lt;= 0),
    MIN(($H40 / 1000) * AE$10 * $BN$4, AE$11 * 0.876) * 0.25,
    IF(
        AND($H40 &gt; $BN$7, Tabella01MarzoInverter[[#This Row],[Active power TX2-INV-1]] &lt;= 0),
        Tabella01MarzoInverter[[#This Row],[TX2 - Average Power]] * 0.25,
        0
    )
    +
    IF(
        $N40 &lt; 0.875,
        MAX(0, MIN(($H40 / 1000) * AE$10 * $BN$4, AE$11 * 0.876) - (AE$11 * $N40)) * 0.25,
        0
    )
)</f>
        <v>0</v>
      </c>
      <c r="AF40" s="36">
        <f>IF(
    AND($H40 &gt; $BN$7, Tabella01MarzoInverter[[#This Row],[Active power TX2-INV-2]] &lt;= 0, Tabella01MarzoInverter[[#This Row],[TX2 - Max Power]] &lt;= 0),
    MIN(($H40 / 1000) * AF$10 * $BN$4, AF$11 * 0.876) * 0.25,
    IF(
        AND($H40 &gt; $BN$7, Tabella01MarzoInverter[[#This Row],[Active power TX2-INV-2]] &lt;= 0),
        Tabella01MarzoInverter[[#This Row],[TX2 - Max Power]] * 0.25,
        0
    )
    +
    IF(
        $N40 &lt; 0.875,
        MAX(0, MIN(($H40 / 1000) * AF$10 * $BN$4, AF$11 * 0.876) - (AF$11 * $N40)) * 0.25,
        0
    )
)</f>
        <v>0</v>
      </c>
      <c r="AG40" s="36">
        <f>IF(
    AND($H40 &gt; $BN$7, Tabella01MarzoInverter[[#This Row],[Active power TX2-INV-3]] &lt;= 0, Tabella01MarzoInverter[[#This Row],[TX2 - Min Power]] &lt;= 0),
    MIN(($H40 / 1000) * AG$10 * $BN$4, AG$11 * 0.876) * 0.25,
    IF(
        AND($H40 &gt; $BN$7, Tabella01MarzoInverter[[#This Row],[Active power TX2-INV-3]] &lt;= 0),
        Tabella01MarzoInverter[[#This Row],[TX2 - Min Power]] * 0.25,
        0
    )
    +
    IF(
        $N40 &lt; 0.875,
        MAX(0, MIN(($H40 / 1000) * AG$10 * $BN$4, AG$11 * 0.876) - (AG$11 * $N40)) * 0.25,
        0
    )
)</f>
        <v>0</v>
      </c>
      <c r="AH40" s="36">
        <f>IF(
    AND($H40 &gt; $BN$7, Tabella01MarzoInverter[[#This Row],[Active power TX2-INV-4]] &lt;= 0, Tabella01MarzoInverter[[#This Row],[Active power TX3-INV-1]] &lt;= 0),
    MIN(($H40 / 1000) * AH$10 * $BN$4, AH$11 * 0.876) * 0.25,
    IF(
        AND($H40 &gt; $BN$7, Tabella01MarzoInverter[[#This Row],[Active power TX2-INV-4]] &lt;= 0),
        Tabella01MarzoInverter[[#This Row],[Active power TX3-INV-1]] * 0.25,
        0
    )
    +
    IF(
        $N40 &lt; 0.875,
        MAX(0, MIN(($H40 / 1000) * AH$10 * $BN$4, AH$11 * 0.876) - (AH$11 * $N40)) * 0.25,
        0
    )
)</f>
        <v>0</v>
      </c>
      <c r="AI40" s="36">
        <f>IF(
    AND($H40 &gt; $BN$7, Tabella01MarzoInverter[[#This Row],[Active power TX2-INV-5]] &lt;= 0, Tabella01MarzoInverter[[#This Row],[Active power TX3-INV-2]] &lt;= 0),
    MIN(($H40 / 1000) * AI$10 * $BN$4, AI$11 * 0.876) * 0.25,
    IF(
        AND($H40 &gt; $BN$7, Tabella01MarzoInverter[[#This Row],[Active power TX2-INV-5]] &lt;= 0),
        Tabella01MarzoInverter[[#This Row],[Active power TX3-INV-2]] * 0.25,
        0
    )
    +
    IF(
        $N40 &lt; 0.875,
        MAX(0, MIN(($H40 / 1000) * AI$10 * $BN$4, AI$11 * 0.876) - (AI$11 * $N40)) * 0.25,
        0
    )
)</f>
        <v>0</v>
      </c>
      <c r="AJ40" s="36">
        <f>IF(
    AND($H40 &gt; $BN$7, Tabella01MarzoInverter[[#This Row],[Active power TX2-INV-6]] &lt;= 0, Tabella01MarzoInverter[[#This Row],[Active power TX3-INV-3]] &lt;= 0),
    MIN(($H40 / 1000) * AJ$10 * $BN$4, AJ$11 * 0.876) * 0.25,
    IF(
        AND($H40 &gt; $BN$7, Tabella01MarzoInverter[[#This Row],[Active power TX2-INV-6]] &lt;= 0),
        Tabella01MarzoInverter[[#This Row],[Active power TX3-INV-3]] * 0.25,
        0
    )
    +
    IF(
        $N40 &lt; 0.875,
        MAX(0, MIN(($H40 / 1000) * AJ$10 * $BN$4, AJ$11 * 0.876) - (AJ$11 * $N40)) * 0.25,
        0
    )
)</f>
        <v>0</v>
      </c>
      <c r="AK40" s="36">
        <f>IF(
    AND($H40 &gt; $BN$7, Tabella01MarzoInverter[[#This Row],[Active power TX2-INV-7]] &lt;= 0, Tabella01MarzoInverter[[#This Row],[Active power TX3-INV-4]] &lt;= 0),
    MIN(($H40 / 1000) * AK$10 * $BN$4, AK$11 * 0.876) * 0.25,
    IF(
        AND($H40 &gt; $BN$7, Tabella01MarzoInverter[[#This Row],[Active power TX2-INV-7]] &lt;= 0),
        Tabella01MarzoInverter[[#This Row],[Active power TX3-INV-4]] * 0.25,
        0
    )
    +
    IF(
        $N40 &lt; 0.875,
        MAX(0, MIN(($H40 / 1000) * AK$10 * $BN$4, AK$11 * 0.876) - (AK$11 * $N40)) * 0.25,
        0
    )
)</f>
        <v>0</v>
      </c>
      <c r="AL40" s="36">
        <f>IF(
    AND($H40 &gt; $BN$7, Tabella01MarzoInverter[[#This Row],[Active power TX2-INV-8]] &lt;= 0, Tabella01MarzoInverter[[#This Row],[Active power TX3-INV-5]] &lt;= 0),
    MIN(($H40 / 1000) * AL$10 * $BN$4, AL$11 * 0.876) * 0.25,
    IF(
        AND($H40 &gt; $BN$7, Tabella01MarzoInverter[[#This Row],[Active power TX2-INV-8]] &lt;= 0),
        Tabella01MarzoInverter[[#This Row],[Active power TX3-INV-5]] * 0.25,
        0
    )
    +
    IF(
        $N40 &lt; 0.875,
        MAX(0, MIN(($H40 / 1000) * AL$10 * $BN$4, AL$11 * 0.876) - (AL$11 * $N40)) * 0.25,
        0
    )
)</f>
        <v>0</v>
      </c>
      <c r="AM40" s="36">
        <f>IF(
    AND($H40 &gt; $BN$7, Tabella01MarzoInverter[[#This Row],[Active power TX2-INV-9]] &lt;= 0, Tabella01MarzoInverter[[#This Row],[Active power TX3-INV-6]] &lt;= 0),
    MIN(($H40 / 1000) * AM$10 * $BN$4, AM$11 * 0.876) * 0.25,
    IF(
        AND($H40 &gt; $BN$7, Tabella01MarzoInverter[[#This Row],[Active power TX2-INV-9]] &lt;= 0),
        Tabella01MarzoInverter[[#This Row],[Active power TX3-INV-6]] * 0.25,
        0
    )
    +
    IF(
        $N40 &lt; 0.875,
        MAX(0, MIN(($H40 / 1000) * AM$10 * $BN$4, AM$11 * 0.876) - (AM$11 * $N40)) * 0.25,
        0
    )
)</f>
        <v>0</v>
      </c>
      <c r="AN40" s="36">
        <f>IF(
    AND($H40 &gt; $BN$7, Tabella01MarzoInverter[[#This Row],[Active power TX2-INV-10]] &lt;= 0, Tabella01MarzoInverter[[#This Row],[Active power TX3-INV-7]] &lt;= 0),
    MIN(($H40 / 1000) * AN$10 * $BN$4, AN$11 * 0.876) * 0.25,
    IF(
        AND($H40 &gt; $BN$7, Tabella01MarzoInverter[[#This Row],[Active power TX2-INV-10]] &lt;= 0),
        Tabella01MarzoInverter[[#This Row],[Active power TX3-INV-7]] * 0.25,
        0
    )
    +
    IF(
        $N40 &lt; 0.875,
        MAX(0, MIN(($H40 / 1000) * AN$10 * $BN$4, AN$11 * 0.876) - (AN$11 * $N40)) * 0.25,
        0
    )
)</f>
        <v>0</v>
      </c>
      <c r="AO40" s="36">
        <f>IF(
    AND($H40 &gt; $BN$7, Tabella01MarzoInverter[[#This Row],[Active power TX2-INV-11]] &lt;= 0, Tabella01MarzoInverter[[#This Row],[Active power TX3-INV-8]] &lt;= 0),
    MIN(($H40 / 1000) * AO$10 * $BN$4, AO$11 * 0.876) * 0.25,
    IF(
        AND($H40 &gt; $BN$7, Tabella01MarzoInverter[[#This Row],[Active power TX2-INV-11]] &lt;= 0),
        Tabella01MarzoInverter[[#This Row],[Active power TX3-INV-8]] * 0.25,
        0
    )
    +
    IF(
        $N40 &lt; 0.875,
        MAX(0, MIN(($H40 / 1000) * AO$10 * $BN$4, AO$11 * 0.876) - (AO$11 * $N40)) * 0.25,
        0
    )
)</f>
        <v>0</v>
      </c>
      <c r="AP40" s="36">
        <f>IF(
    AND($H40 &gt; $BN$7, Tabella01MarzoInverter[[#This Row],[Active power TX2-INV-12]] &lt;= 0, Tabella01MarzoInverter[[#This Row],[Active power TX3-INV-9]] &lt;= 0),
    MIN(($H40 / 1000) * AP$10 * $BN$4, AP$11 * 0.876) * 0.25,
    IF(
        AND($H40 &gt; $BN$7, Tabella01MarzoInverter[[#This Row],[Active power TX2-INV-12]] &lt;= 0),
        Tabella01MarzoInverter[[#This Row],[Active power TX3-INV-9]] * 0.25,
        0
    )
    +
    IF(
        $N40 &lt; 0.875,
        MAX(0, MIN(($H40 / 1000) * AP$10 * $BN$4, AP$11 * 0.876) - (AP$11 * $N40)) * 0.25,
        0
    )
)</f>
        <v>0</v>
      </c>
      <c r="AQ40" s="8">
        <f>AVERAGE(TabellaMar2026[[#This Row],[Colonna39]:[Colonna6]])</f>
        <v>0</v>
      </c>
      <c r="AR40" s="8">
        <f>MAX(TabellaMar2026[[#This Row],[Colonna39]:[Colonna6]])</f>
        <v>0</v>
      </c>
      <c r="AS40" s="35">
        <f>MIN(TabellaMar2026[[#This Row],[Colonna39]:[Colonna6]])</f>
        <v>0</v>
      </c>
      <c r="AT40" s="48">
        <f>SUM(TabellaMar2026[[#This Row],[Colonna39]:[Colonna6]])</f>
        <v>0</v>
      </c>
      <c r="AU40" s="36" cm="1">
        <f t="array" ref="AU40">IF(
    AND($H40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($H40 / 1000) * AU$10 * $BN$4 * 0.25
    ),
    0
)
+
IF(
    $N40 &lt; 0.875,
    MAX(0, MIN(($H40 / 1000) * AU$10 * $BN$4, AU$11 * 0.876) - (AU$11 * $N40)) * 0.25,
    0
)</f>
        <v>0</v>
      </c>
      <c r="AV40" s="36" cm="1">
        <f t="array" ref="AV40">IF(
    AND($H40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($H40 / 1000) * AV$10 * $BN$4 * 0.25
    ),
    0
)
+
IF(
    $N40 &lt; 0.875,
    MAX(0, MIN(($H40 / 1000) * AV$10 * $BN$4, AV$11 * 0.876) - (AV$11 * $N40)) * 0.25,
    0
)</f>
        <v>0</v>
      </c>
      <c r="AW40" s="36" cm="1">
        <f t="array" ref="AW40">IF(
    AND($H40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($H40 / 1000) * AW$10 * $BN$4 * 0.25
    ),
    0
)
+
IF(
    $N40 &lt; 0.875,
    MAX(0, MIN(($H40 / 1000) * AW$10 * $BN$4, AW$11 * 0.876) - (AW$11 * $N40)) * 0.25,
    0
)</f>
        <v>0</v>
      </c>
      <c r="AX40" s="36" cm="1">
        <f t="array" ref="AX40">IF(
    AND($H40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($H40 / 1000) * AX$10 * $BN$4 * 0.25
    ),
    0
)
+
IF(
    $N40 &lt; 0.875,
    MAX(0, MIN(($H40 / 1000) * AX$10 * $BN$4, AX$11 * 0.876) - (AX$11 * $N40)) * 0.25,
    0
)</f>
        <v>0</v>
      </c>
      <c r="AY40" s="36" cm="1">
        <f t="array" ref="AY40">IF(
    AND($H40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($H40 / 1000) * AY$10 * $BN$4 * 0.25
    ),
    0
)
+
IF(
    $N40 &lt; 0.875,
    MAX(0, MIN(($H40 / 1000) * AY$10 * $BN$4, AY$11 * 0.876) - (AY$11 * $N40)) * 0.25,
    0
)</f>
        <v>0</v>
      </c>
      <c r="AZ40" s="36" cm="1">
        <f t="array" ref="AZ40">IF(
    AND($H40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($H40 / 1000) * AZ$10 * $BN$4 * 0.25
    ),
    0
)
+
IF(
    $N40 &lt; 0.875,
    MAX(0, MIN(($H40 / 1000) * AZ$10 * $BN$4, AZ$11 * 0.876) - (AZ$11 * $N40)) * 0.25,
    0
)</f>
        <v>0</v>
      </c>
      <c r="BA40" s="36" cm="1">
        <f t="array" ref="BA40">IF(
    AND($H40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($H40 / 1000) * BA$10 * $BN$4 * 0.25
    ),
    0
)
+
IF(
    $N40 &lt; 0.875,
    MAX(0, MIN(($H40 / 1000) * BA$10 * $BN$4, BA$11 * 0.876) - (BA$11 * $N40)) * 0.25,
    0
)</f>
        <v>0</v>
      </c>
      <c r="BB40" s="36" cm="1">
        <f t="array" ref="BB40">IF(
    AND($H40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($H40 / 1000) * BB$10 * $BN$4 * 0.25
    ),
    0
)
+
IF(
    $N40 &lt; 0.875,
    MAX(0, MIN(($H40 / 1000) * BB$10 * $BN$4, BB$11 * 0.876) - (BB$11 * $N40)) * 0.25,
    0
)</f>
        <v>0</v>
      </c>
      <c r="BC40" s="36" cm="1">
        <f t="array" ref="BC40">IF(
    AND($H40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($H40 / 1000) * BC$10 * $BN$4 * 0.25
    ),
    0
)
+
IF(
    $N40 &lt; 0.875,
    MAX(0, MIN(($H40 / 1000) * BC$10 * $BN$4, BC$11 * 0.876) - (BC$11 * $N40)) * 0.25,
    0
)</f>
        <v>0</v>
      </c>
      <c r="BD40" s="36" cm="1">
        <f t="array" ref="BD40">IF(
    AND($H40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($H40 / 1000) * BD$10 * $BN$4 * 0.25
    ),
    0
)
+
IF(
    $N40 &lt; 0.875,
    MAX(0, MIN(($H40 / 1000) * BD$10 * $BN$4, BD$11 * 0.876) - (BD$11 * $N40)) * 0.25,
    0
)</f>
        <v>0</v>
      </c>
      <c r="BE40" s="36" cm="1">
        <f t="array" ref="BE40">IF(
    AND($H40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($H40 / 1000) * BE$10 * $BN$4 * 0.25
    ),
    0
)
+
IF(
    $N40 &lt; 0.875,
    MAX(0, MIN(($H40 / 1000) * BE$10 * $BN$4, BE$11 * 0.876) - (BE$11 * $N40)) * 0.25,
    0
)</f>
        <v>0</v>
      </c>
      <c r="BF40" s="36" cm="1">
        <f t="array" ref="BF40">IF(
    AND($H40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($H40 / 1000) * BF$10 * $BN$4 * 0.25
    ),
    0
)
+
IF(
    $N40 &lt; 0.875,
    MAX(0, MIN(($H40 / 1000) * BF$10 * $BN$4, BF$11 * 0.876) - (BF$11 * $N40)) * 0.25,
    0
)</f>
        <v>0</v>
      </c>
      <c r="BG40" s="8">
        <f>AVERAGE(TabellaMar2026[[#This Row],[Colonna55]:[Colonna53]])</f>
        <v>0</v>
      </c>
      <c r="BH40" s="8">
        <f>MAX(TabellaMar2026[[#This Row],[Colonna55]:[Colonna53]])</f>
        <v>0</v>
      </c>
      <c r="BI40" s="35">
        <f>MIN(TabellaMar2026[[#This Row],[Colonna55]:[Colonna53]])</f>
        <v>0</v>
      </c>
      <c r="BJ40" s="48">
        <f>SUM(TabellaMar2026[[#This Row],[Colonna54]:[Colonna53]])</f>
        <v>0</v>
      </c>
      <c r="BK40" s="54">
        <f>(SUM(Tabella01MarzoInverter[[Active power TX1-INV-1]:[Active power TX3-INV-12]]) * 0.25) / (12625 * (SUM($G$15:$H$110) * 0.25 / 1000))</f>
        <v>1.014229628761051</v>
      </c>
      <c r="BL40" s="5"/>
      <c r="BM40" s="5"/>
      <c r="BN40" s="8"/>
      <c r="BO40" s="8"/>
      <c r="BP40" s="19"/>
    </row>
    <row r="41" spans="1:68" x14ac:dyDescent="0.25">
      <c r="A41" s="18">
        <v>46147</v>
      </c>
      <c r="B41" t="s">
        <v>41</v>
      </c>
      <c r="C41" s="5">
        <v>13.7</v>
      </c>
      <c r="D41" s="6">
        <v>3.4249999999999997E-3</v>
      </c>
      <c r="E41" s="6">
        <v>13.8</v>
      </c>
      <c r="F41" s="6">
        <v>3.4500000000000004E-3</v>
      </c>
      <c r="G41" s="6">
        <f>IFERROR((D41+F41)/2, 0)</f>
        <v>3.4375E-3</v>
      </c>
      <c r="H41" s="7">
        <f>IFERROR(IF(AVERAGE(C41,E41)&gt;$BN$7,AVERAGE(C41,E41),0), 0)</f>
        <v>0</v>
      </c>
      <c r="I41" s="7">
        <f>IFERROR(IF(AND(D41=0,F41=0),0,IF(H41&gt;$BN$6,MAX(D41,F41),G41)), 0)</f>
        <v>3.4375E-3</v>
      </c>
      <c r="J41" s="6">
        <f>IFERROR(IF(AND(D41&gt;0,F41&gt;0),ABS(D41-F41)/AVERAGE(D41,F41),0), 0)</f>
        <v>7.2727272727274809E-3</v>
      </c>
      <c r="K41" s="6">
        <v>30386.2</v>
      </c>
      <c r="L41" s="6">
        <v>30386.2</v>
      </c>
      <c r="M41" s="8">
        <f>IFERROR((L41-K41)*1000, 0)</f>
        <v>0</v>
      </c>
      <c r="N41" s="6">
        <v>0.87599999999999989</v>
      </c>
      <c r="O41" s="8" cm="1">
        <f t="array" ref="O41">IF(
    AND($H41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($H41 / 1000) * O$10 * $BN$4 * 0.25
    ),
    0
)
+
IF(
    $N41 &lt; 0.875,
    MAX(0, MIN(($H41 / 1000) * O$10 * $BN$4, O$11 * 0.876) - (O$11 * $N41)) * 0.25,
    0
)</f>
        <v>0</v>
      </c>
      <c r="P41" s="8" cm="1">
        <f t="array" ref="P41">IF(
    AND($H41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($H41 / 1000) * P$10 * $BN$4 * 0.25
    ),
    0
)
+
IF(
    $N41 &lt; 0.875,
    MAX(0, MIN(($H41 / 1000) * P$10 * $BN$4, P$11 * 0.876) - (P$11 * $N41)) * 0.25,
    0
)</f>
        <v>0</v>
      </c>
      <c r="Q41" s="8" cm="1">
        <f t="array" ref="Q41">IF(
    AND($H41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($H41 / 1000) * Q$10 * $BN$4 * 0.25
    ),
    0
)
+
IF(
    $N41 &lt; 0.875,
    MAX(0, MIN(($H41 / 1000) * Q$10 * $BN$4, Q$11 * 0.876) - (Q$11 * $N41)) * 0.25,
    0
)</f>
        <v>0</v>
      </c>
      <c r="R41" s="8" cm="1">
        <f t="array" ref="R41">IF(
    AND($H41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($H41 / 1000) * R$10 * $BN$4 * 0.25
    ),
    0
)
+
IF(
    $N41 &lt; 0.875,
    MAX(0, MIN(($H41 / 1000) * R$10 * $BN$4, R$11 * 0.876) - (R$11 * $N41)) * 0.25,
    0
)</f>
        <v>0</v>
      </c>
      <c r="S41" s="8" cm="1">
        <f t="array" ref="S41">IF(
    AND($H41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($H41 / 1000) * S$10 * $BN$4 * 0.25
    ),
    0
)
+
IF(
    $N41 &lt; 0.875,
    MAX(0, MIN(($H41 / 1000) * S$10 * $BN$4, S$11 * 0.876) - (S$11 * $N41)) * 0.25,
    0
)</f>
        <v>0</v>
      </c>
      <c r="T41" s="8" cm="1">
        <f t="array" ref="T41">IF(
    AND($H41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($H41 / 1000) * T$10 * $BN$4 * 0.25
    ),
    0
)
+
IF(
    $N41 &lt; 0.875,
    MAX(0, MIN(($H41 / 1000) * T$10 * $BN$4, T$11 * 0.876) - (T$11 * $N41)) * 0.25,
    0
)</f>
        <v>0</v>
      </c>
      <c r="U41" s="8" cm="1">
        <f t="array" ref="U41">IF(
    AND($H41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($H41 / 1000) * U$10 * $BN$4 * 0.25
    ),
    0
)
+
IF(
    $N41 &lt; 0.875,
    MAX(0, MIN(($H41 / 1000) * U$10 * $BN$4, U$11 * 0.876) - (U$11 * $N41)) * 0.25,
    0
)</f>
        <v>0</v>
      </c>
      <c r="V41" s="8" cm="1">
        <f t="array" ref="V41">IF(
    AND($H41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($H41 / 1000) * V$10 * $BN$4 * 0.25
    ),
    0
)
+
IF(
    $N41 &lt; 0.875,
    MAX(0, MIN(($H41 / 1000) * V$10 * $BN$4, V$11 * 0.876) - (V$11 * $N41)) * 0.25,
    0
)</f>
        <v>0</v>
      </c>
      <c r="W41" s="8" cm="1">
        <f t="array" ref="W41">IF(
    AND($H41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($H41 / 1000) * W$10 * $BN$4 * 0.25
    ),
    0
)
+
IF(
    $N41 &lt; 0.875,
    MAX(0, MIN(($H41 / 1000) * W$10 * $BN$4, W$11 * 0.876) - (W$11 * $N41)) * 0.25,
    0
)</f>
        <v>0</v>
      </c>
      <c r="X41" s="8" cm="1">
        <f t="array" ref="X41">IF(
    AND($H41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($H41 / 1000) * X$10 * $BN$4 * 0.25
    ),
    0
)
+
IF(
    $N41 &lt; 0.875,
    MAX(0, MIN(($H41 / 1000) * X$10 * $BN$4, X$11 * 0.876) - (X$11 * $N41)) * 0.25,
    0
)</f>
        <v>0</v>
      </c>
      <c r="Y41" s="8" cm="1">
        <f t="array" ref="Y41">IF(
    AND($H41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($H41 / 1000) * Y$10 * $BN$4 * 0.25
    ),
    0
)
+
IF(
    $N41 &lt; 0.875,
    MAX(0, MIN(($H41 / 1000) * Y$10 * $BN$4, Y$11 * 0.876) - (Y$11 * $N41)) * 0.25,
    0
)</f>
        <v>0</v>
      </c>
      <c r="Z41" s="8" cm="1">
        <f t="array" ref="Z41">IF(
    AND($H41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($H41 / 1000) * Z$10 * $BN$4 * 0.25
    ),
    0
)
+
IF(
    $N41 &lt; 0.875,
    MAX(0, MIN(($H41 / 1000) * Z$10 * $BN$4, Z$11 * 0.876) - (Z$11 * $N41)) * 0.25,
    0
)</f>
        <v>0</v>
      </c>
      <c r="AA41" s="8">
        <f>AVERAGE(TabellaMar2026[[#This Row],[Colonna24]:[Colonna20]])</f>
        <v>0</v>
      </c>
      <c r="AB41" s="8">
        <f>MAX(TabellaMar2026[[#This Row],[Colonna24]:[Colonna20]])</f>
        <v>0</v>
      </c>
      <c r="AC41" s="35">
        <f>MIN(TabellaMar2026[[#This Row],[Colonna24]:[Colonna20]])</f>
        <v>0</v>
      </c>
      <c r="AD41" s="44">
        <f>SUM(TabellaMar2026[[#This Row],[Colonna24]:[Colonna20]])</f>
        <v>0</v>
      </c>
      <c r="AE41" s="36">
        <f>IF(
    AND($H41 &gt; $BN$7, Tabella01MarzoInverter[[#This Row],[Active power TX2-INV-1]] &lt;= 0, Tabella01MarzoInverter[[#This Row],[TX2 - Average Power]] &lt;= 0),
    MIN(($H41 / 1000) * AE$10 * $BN$4, AE$11 * 0.876) * 0.25,
    IF(
        AND($H41 &gt; $BN$7, Tabella01MarzoInverter[[#This Row],[Active power TX2-INV-1]] &lt;= 0),
        Tabella01MarzoInverter[[#This Row],[TX2 - Average Power]] * 0.25,
        0
    )
    +
    IF(
        $N41 &lt; 0.875,
        MAX(0, MIN(($H41 / 1000) * AE$10 * $BN$4, AE$11 * 0.876) - (AE$11 * $N41)) * 0.25,
        0
    )
)</f>
        <v>0</v>
      </c>
      <c r="AF41" s="36">
        <f>IF(
    AND($H41 &gt; $BN$7, Tabella01MarzoInverter[[#This Row],[Active power TX2-INV-2]] &lt;= 0, Tabella01MarzoInverter[[#This Row],[TX2 - Max Power]] &lt;= 0),
    MIN(($H41 / 1000) * AF$10 * $BN$4, AF$11 * 0.876) * 0.25,
    IF(
        AND($H41 &gt; $BN$7, Tabella01MarzoInverter[[#This Row],[Active power TX2-INV-2]] &lt;= 0),
        Tabella01MarzoInverter[[#This Row],[TX2 - Max Power]] * 0.25,
        0
    )
    +
    IF(
        $N41 &lt; 0.875,
        MAX(0, MIN(($H41 / 1000) * AF$10 * $BN$4, AF$11 * 0.876) - (AF$11 * $N41)) * 0.25,
        0
    )
)</f>
        <v>0</v>
      </c>
      <c r="AG41" s="36">
        <f>IF(
    AND($H41 &gt; $BN$7, Tabella01MarzoInverter[[#This Row],[Active power TX2-INV-3]] &lt;= 0, Tabella01MarzoInverter[[#This Row],[TX2 - Min Power]] &lt;= 0),
    MIN(($H41 / 1000) * AG$10 * $BN$4, AG$11 * 0.876) * 0.25,
    IF(
        AND($H41 &gt; $BN$7, Tabella01MarzoInverter[[#This Row],[Active power TX2-INV-3]] &lt;= 0),
        Tabella01MarzoInverter[[#This Row],[TX2 - Min Power]] * 0.25,
        0
    )
    +
    IF(
        $N41 &lt; 0.875,
        MAX(0, MIN(($H41 / 1000) * AG$10 * $BN$4, AG$11 * 0.876) - (AG$11 * $N41)) * 0.25,
        0
    )
)</f>
        <v>0</v>
      </c>
      <c r="AH41" s="36">
        <f>IF(
    AND($H41 &gt; $BN$7, Tabella01MarzoInverter[[#This Row],[Active power TX2-INV-4]] &lt;= 0, Tabella01MarzoInverter[[#This Row],[Active power TX3-INV-1]] &lt;= 0),
    MIN(($H41 / 1000) * AH$10 * $BN$4, AH$11 * 0.876) * 0.25,
    IF(
        AND($H41 &gt; $BN$7, Tabella01MarzoInverter[[#This Row],[Active power TX2-INV-4]] &lt;= 0),
        Tabella01MarzoInverter[[#This Row],[Active power TX3-INV-1]] * 0.25,
        0
    )
    +
    IF(
        $N41 &lt; 0.875,
        MAX(0, MIN(($H41 / 1000) * AH$10 * $BN$4, AH$11 * 0.876) - (AH$11 * $N41)) * 0.25,
        0
    )
)</f>
        <v>0</v>
      </c>
      <c r="AI41" s="36">
        <f>IF(
    AND($H41 &gt; $BN$7, Tabella01MarzoInverter[[#This Row],[Active power TX2-INV-5]] &lt;= 0, Tabella01MarzoInverter[[#This Row],[Active power TX3-INV-2]] &lt;= 0),
    MIN(($H41 / 1000) * AI$10 * $BN$4, AI$11 * 0.876) * 0.25,
    IF(
        AND($H41 &gt; $BN$7, Tabella01MarzoInverter[[#This Row],[Active power TX2-INV-5]] &lt;= 0),
        Tabella01MarzoInverter[[#This Row],[Active power TX3-INV-2]] * 0.25,
        0
    )
    +
    IF(
        $N41 &lt; 0.875,
        MAX(0, MIN(($H41 / 1000) * AI$10 * $BN$4, AI$11 * 0.876) - (AI$11 * $N41)) * 0.25,
        0
    )
)</f>
        <v>0</v>
      </c>
      <c r="AJ41" s="36">
        <f>IF(
    AND($H41 &gt; $BN$7, Tabella01MarzoInverter[[#This Row],[Active power TX2-INV-6]] &lt;= 0, Tabella01MarzoInverter[[#This Row],[Active power TX3-INV-3]] &lt;= 0),
    MIN(($H41 / 1000) * AJ$10 * $BN$4, AJ$11 * 0.876) * 0.25,
    IF(
        AND($H41 &gt; $BN$7, Tabella01MarzoInverter[[#This Row],[Active power TX2-INV-6]] &lt;= 0),
        Tabella01MarzoInverter[[#This Row],[Active power TX3-INV-3]] * 0.25,
        0
    )
    +
    IF(
        $N41 &lt; 0.875,
        MAX(0, MIN(($H41 / 1000) * AJ$10 * $BN$4, AJ$11 * 0.876) - (AJ$11 * $N41)) * 0.25,
        0
    )
)</f>
        <v>0</v>
      </c>
      <c r="AK41" s="36">
        <f>IF(
    AND($H41 &gt; $BN$7, Tabella01MarzoInverter[[#This Row],[Active power TX2-INV-7]] &lt;= 0, Tabella01MarzoInverter[[#This Row],[Active power TX3-INV-4]] &lt;= 0),
    MIN(($H41 / 1000) * AK$10 * $BN$4, AK$11 * 0.876) * 0.25,
    IF(
        AND($H41 &gt; $BN$7, Tabella01MarzoInverter[[#This Row],[Active power TX2-INV-7]] &lt;= 0),
        Tabella01MarzoInverter[[#This Row],[Active power TX3-INV-4]] * 0.25,
        0
    )
    +
    IF(
        $N41 &lt; 0.875,
        MAX(0, MIN(($H41 / 1000) * AK$10 * $BN$4, AK$11 * 0.876) - (AK$11 * $N41)) * 0.25,
        0
    )
)</f>
        <v>0</v>
      </c>
      <c r="AL41" s="36">
        <f>IF(
    AND($H41 &gt; $BN$7, Tabella01MarzoInverter[[#This Row],[Active power TX2-INV-8]] &lt;= 0, Tabella01MarzoInverter[[#This Row],[Active power TX3-INV-5]] &lt;= 0),
    MIN(($H41 / 1000) * AL$10 * $BN$4, AL$11 * 0.876) * 0.25,
    IF(
        AND($H41 &gt; $BN$7, Tabella01MarzoInverter[[#This Row],[Active power TX2-INV-8]] &lt;= 0),
        Tabella01MarzoInverter[[#This Row],[Active power TX3-INV-5]] * 0.25,
        0
    )
    +
    IF(
        $N41 &lt; 0.875,
        MAX(0, MIN(($H41 / 1000) * AL$10 * $BN$4, AL$11 * 0.876) - (AL$11 * $N41)) * 0.25,
        0
    )
)</f>
        <v>0</v>
      </c>
      <c r="AM41" s="36">
        <f>IF(
    AND($H41 &gt; $BN$7, Tabella01MarzoInverter[[#This Row],[Active power TX2-INV-9]] &lt;= 0, Tabella01MarzoInverter[[#This Row],[Active power TX3-INV-6]] &lt;= 0),
    MIN(($H41 / 1000) * AM$10 * $BN$4, AM$11 * 0.876) * 0.25,
    IF(
        AND($H41 &gt; $BN$7, Tabella01MarzoInverter[[#This Row],[Active power TX2-INV-9]] &lt;= 0),
        Tabella01MarzoInverter[[#This Row],[Active power TX3-INV-6]] * 0.25,
        0
    )
    +
    IF(
        $N41 &lt; 0.875,
        MAX(0, MIN(($H41 / 1000) * AM$10 * $BN$4, AM$11 * 0.876) - (AM$11 * $N41)) * 0.25,
        0
    )
)</f>
        <v>0</v>
      </c>
      <c r="AN41" s="36">
        <f>IF(
    AND($H41 &gt; $BN$7, Tabella01MarzoInverter[[#This Row],[Active power TX2-INV-10]] &lt;= 0, Tabella01MarzoInverter[[#This Row],[Active power TX3-INV-7]] &lt;= 0),
    MIN(($H41 / 1000) * AN$10 * $BN$4, AN$11 * 0.876) * 0.25,
    IF(
        AND($H41 &gt; $BN$7, Tabella01MarzoInverter[[#This Row],[Active power TX2-INV-10]] &lt;= 0),
        Tabella01MarzoInverter[[#This Row],[Active power TX3-INV-7]] * 0.25,
        0
    )
    +
    IF(
        $N41 &lt; 0.875,
        MAX(0, MIN(($H41 / 1000) * AN$10 * $BN$4, AN$11 * 0.876) - (AN$11 * $N41)) * 0.25,
        0
    )
)</f>
        <v>0</v>
      </c>
      <c r="AO41" s="36">
        <f>IF(
    AND($H41 &gt; $BN$7, Tabella01MarzoInverter[[#This Row],[Active power TX2-INV-11]] &lt;= 0, Tabella01MarzoInverter[[#This Row],[Active power TX3-INV-8]] &lt;= 0),
    MIN(($H41 / 1000) * AO$10 * $BN$4, AO$11 * 0.876) * 0.25,
    IF(
        AND($H41 &gt; $BN$7, Tabella01MarzoInverter[[#This Row],[Active power TX2-INV-11]] &lt;= 0),
        Tabella01MarzoInverter[[#This Row],[Active power TX3-INV-8]] * 0.25,
        0
    )
    +
    IF(
        $N41 &lt; 0.875,
        MAX(0, MIN(($H41 / 1000) * AO$10 * $BN$4, AO$11 * 0.876) - (AO$11 * $N41)) * 0.25,
        0
    )
)</f>
        <v>0</v>
      </c>
      <c r="AP41" s="36">
        <f>IF(
    AND($H41 &gt; $BN$7, Tabella01MarzoInverter[[#This Row],[Active power TX2-INV-12]] &lt;= 0, Tabella01MarzoInverter[[#This Row],[Active power TX3-INV-9]] &lt;= 0),
    MIN(($H41 / 1000) * AP$10 * $BN$4, AP$11 * 0.876) * 0.25,
    IF(
        AND($H41 &gt; $BN$7, Tabella01MarzoInverter[[#This Row],[Active power TX2-INV-12]] &lt;= 0),
        Tabella01MarzoInverter[[#This Row],[Active power TX3-INV-9]] * 0.25,
        0
    )
    +
    IF(
        $N41 &lt; 0.875,
        MAX(0, MIN(($H41 / 1000) * AP$10 * $BN$4, AP$11 * 0.876) - (AP$11 * $N41)) * 0.25,
        0
    )
)</f>
        <v>0</v>
      </c>
      <c r="AQ41" s="8">
        <f>AVERAGE(TabellaMar2026[[#This Row],[Colonna39]:[Colonna6]])</f>
        <v>0</v>
      </c>
      <c r="AR41" s="8">
        <f>MAX(TabellaMar2026[[#This Row],[Colonna39]:[Colonna6]])</f>
        <v>0</v>
      </c>
      <c r="AS41" s="35">
        <f>MIN(TabellaMar2026[[#This Row],[Colonna39]:[Colonna6]])</f>
        <v>0</v>
      </c>
      <c r="AT41" s="48">
        <f>SUM(TabellaMar2026[[#This Row],[Colonna39]:[Colonna6]])</f>
        <v>0</v>
      </c>
      <c r="AU41" s="36" cm="1">
        <f t="array" ref="AU41">IF(
    AND($H41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($H41 / 1000) * AU$10 * $BN$4 * 0.25
    ),
    0
)
+
IF(
    $N41 &lt; 0.875,
    MAX(0, MIN(($H41 / 1000) * AU$10 * $BN$4, AU$11 * 0.876) - (AU$11 * $N41)) * 0.25,
    0
)</f>
        <v>0</v>
      </c>
      <c r="AV41" s="36" cm="1">
        <f t="array" ref="AV41">IF(
    AND($H41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($H41 / 1000) * AV$10 * $BN$4 * 0.25
    ),
    0
)
+
IF(
    $N41 &lt; 0.875,
    MAX(0, MIN(($H41 / 1000) * AV$10 * $BN$4, AV$11 * 0.876) - (AV$11 * $N41)) * 0.25,
    0
)</f>
        <v>0</v>
      </c>
      <c r="AW41" s="36" cm="1">
        <f t="array" ref="AW41">IF(
    AND($H41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($H41 / 1000) * AW$10 * $BN$4 * 0.25
    ),
    0
)
+
IF(
    $N41 &lt; 0.875,
    MAX(0, MIN(($H41 / 1000) * AW$10 * $BN$4, AW$11 * 0.876) - (AW$11 * $N41)) * 0.25,
    0
)</f>
        <v>0</v>
      </c>
      <c r="AX41" s="36" cm="1">
        <f t="array" ref="AX41">IF(
    AND($H41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($H41 / 1000) * AX$10 * $BN$4 * 0.25
    ),
    0
)
+
IF(
    $N41 &lt; 0.875,
    MAX(0, MIN(($H41 / 1000) * AX$10 * $BN$4, AX$11 * 0.876) - (AX$11 * $N41)) * 0.25,
    0
)</f>
        <v>0</v>
      </c>
      <c r="AY41" s="36" cm="1">
        <f t="array" ref="AY41">IF(
    AND($H41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($H41 / 1000) * AY$10 * $BN$4 * 0.25
    ),
    0
)
+
IF(
    $N41 &lt; 0.875,
    MAX(0, MIN(($H41 / 1000) * AY$10 * $BN$4, AY$11 * 0.876) - (AY$11 * $N41)) * 0.25,
    0
)</f>
        <v>0</v>
      </c>
      <c r="AZ41" s="36" cm="1">
        <f t="array" ref="AZ41">IF(
    AND($H41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($H41 / 1000) * AZ$10 * $BN$4 * 0.25
    ),
    0
)
+
IF(
    $N41 &lt; 0.875,
    MAX(0, MIN(($H41 / 1000) * AZ$10 * $BN$4, AZ$11 * 0.876) - (AZ$11 * $N41)) * 0.25,
    0
)</f>
        <v>0</v>
      </c>
      <c r="BA41" s="36" cm="1">
        <f t="array" ref="BA41">IF(
    AND($H41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($H41 / 1000) * BA$10 * $BN$4 * 0.25
    ),
    0
)
+
IF(
    $N41 &lt; 0.875,
    MAX(0, MIN(($H41 / 1000) * BA$10 * $BN$4, BA$11 * 0.876) - (BA$11 * $N41)) * 0.25,
    0
)</f>
        <v>0</v>
      </c>
      <c r="BB41" s="36" cm="1">
        <f t="array" ref="BB41">IF(
    AND($H41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($H41 / 1000) * BB$10 * $BN$4 * 0.25
    ),
    0
)
+
IF(
    $N41 &lt; 0.875,
    MAX(0, MIN(($H41 / 1000) * BB$10 * $BN$4, BB$11 * 0.876) - (BB$11 * $N41)) * 0.25,
    0
)</f>
        <v>0</v>
      </c>
      <c r="BC41" s="36" cm="1">
        <f t="array" ref="BC41">IF(
    AND($H41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($H41 / 1000) * BC$10 * $BN$4 * 0.25
    ),
    0
)
+
IF(
    $N41 &lt; 0.875,
    MAX(0, MIN(($H41 / 1000) * BC$10 * $BN$4, BC$11 * 0.876) - (BC$11 * $N41)) * 0.25,
    0
)</f>
        <v>0</v>
      </c>
      <c r="BD41" s="36" cm="1">
        <f t="array" ref="BD41">IF(
    AND($H41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($H41 / 1000) * BD$10 * $BN$4 * 0.25
    ),
    0
)
+
IF(
    $N41 &lt; 0.875,
    MAX(0, MIN(($H41 / 1000) * BD$10 * $BN$4, BD$11 * 0.876) - (BD$11 * $N41)) * 0.25,
    0
)</f>
        <v>0</v>
      </c>
      <c r="BE41" s="36" cm="1">
        <f t="array" ref="BE41">IF(
    AND($H41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($H41 / 1000) * BE$10 * $BN$4 * 0.25
    ),
    0
)
+
IF(
    $N41 &lt; 0.875,
    MAX(0, MIN(($H41 / 1000) * BE$10 * $BN$4, BE$11 * 0.876) - (BE$11 * $N41)) * 0.25,
    0
)</f>
        <v>0</v>
      </c>
      <c r="BF41" s="36" cm="1">
        <f t="array" ref="BF41">IF(
    AND($H41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($H41 / 1000) * BF$10 * $BN$4 * 0.25
    ),
    0
)
+
IF(
    $N41 &lt; 0.875,
    MAX(0, MIN(($H41 / 1000) * BF$10 * $BN$4, BF$11 * 0.876) - (BF$11 * $N41)) * 0.25,
    0
)</f>
        <v>0</v>
      </c>
      <c r="BG41" s="8">
        <f>AVERAGE(TabellaMar2026[[#This Row],[Colonna55]:[Colonna53]])</f>
        <v>0</v>
      </c>
      <c r="BH41" s="8">
        <f>MAX(TabellaMar2026[[#This Row],[Colonna55]:[Colonna53]])</f>
        <v>0</v>
      </c>
      <c r="BI41" s="35">
        <f>MIN(TabellaMar2026[[#This Row],[Colonna55]:[Colonna53]])</f>
        <v>0</v>
      </c>
      <c r="BJ41" s="48">
        <f>SUM(TabellaMar2026[[#This Row],[Colonna54]:[Colonna53]])</f>
        <v>0</v>
      </c>
      <c r="BK41" s="54">
        <f>(SUM(Tabella01MarzoInverter[[Active power TX1-INV-1]:[Active power TX3-INV-12]]) * 0.25) / (12625 * (SUM($G$15:$H$110) * 0.25 / 1000))</f>
        <v>1.014229628761051</v>
      </c>
      <c r="BL41" s="5"/>
      <c r="BM41" s="5"/>
      <c r="BN41" s="8"/>
      <c r="BO41" s="8"/>
      <c r="BP41" s="19"/>
    </row>
    <row r="42" spans="1:68" x14ac:dyDescent="0.25">
      <c r="A42" s="18">
        <v>46147</v>
      </c>
      <c r="B42" t="s">
        <v>42</v>
      </c>
      <c r="C42" s="5">
        <v>30.2</v>
      </c>
      <c r="D42" s="6">
        <v>7.5499999999999994E-3</v>
      </c>
      <c r="E42" s="6">
        <v>30.5</v>
      </c>
      <c r="F42" s="6">
        <v>7.6249999999999998E-3</v>
      </c>
      <c r="G42" s="6">
        <f>IFERROR((D42+F42)/2, 0)</f>
        <v>7.5874999999999996E-3</v>
      </c>
      <c r="H42" s="7">
        <f>IFERROR(IF(AVERAGE(C42,E42)&gt;$BN$7,AVERAGE(C42,E42),0), 0)</f>
        <v>0</v>
      </c>
      <c r="I42" s="7">
        <f>IFERROR(IF(AND(D42=0,F42=0),0,IF(H42&gt;$BN$6,MAX(D42,F42),G42)), 0)</f>
        <v>7.5874999999999996E-3</v>
      </c>
      <c r="J42" s="6">
        <f>IFERROR(IF(AND(D42&gt;0,F42&gt;0),ABS(D42-F42)/AVERAGE(D42,F42),0), 0)</f>
        <v>9.8846787479407467E-3</v>
      </c>
      <c r="K42" s="6">
        <v>30386.2</v>
      </c>
      <c r="L42" s="6">
        <v>30386.2</v>
      </c>
      <c r="M42" s="8">
        <f>IFERROR((L42-K42)*1000, 0)</f>
        <v>0</v>
      </c>
      <c r="N42" s="6">
        <v>0.87599999999999989</v>
      </c>
      <c r="O42" s="8" cm="1">
        <f t="array" ref="O42">IF(
    AND($H42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($H42 / 1000) * O$10 * $BN$4 * 0.25
    ),
    0
)
+
IF(
    $N42 &lt; 0.875,
    MAX(0, MIN(($H42 / 1000) * O$10 * $BN$4, O$11 * 0.876) - (O$11 * $N42)) * 0.25,
    0
)</f>
        <v>0</v>
      </c>
      <c r="P42" s="8" cm="1">
        <f t="array" ref="P42">IF(
    AND($H42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($H42 / 1000) * P$10 * $BN$4 * 0.25
    ),
    0
)
+
IF(
    $N42 &lt; 0.875,
    MAX(0, MIN(($H42 / 1000) * P$10 * $BN$4, P$11 * 0.876) - (P$11 * $N42)) * 0.25,
    0
)</f>
        <v>0</v>
      </c>
      <c r="Q42" s="8" cm="1">
        <f t="array" ref="Q42">IF(
    AND($H42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($H42 / 1000) * Q$10 * $BN$4 * 0.25
    ),
    0
)
+
IF(
    $N42 &lt; 0.875,
    MAX(0, MIN(($H42 / 1000) * Q$10 * $BN$4, Q$11 * 0.876) - (Q$11 * $N42)) * 0.25,
    0
)</f>
        <v>0</v>
      </c>
      <c r="R42" s="8" cm="1">
        <f t="array" ref="R42">IF(
    AND($H42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($H42 / 1000) * R$10 * $BN$4 * 0.25
    ),
    0
)
+
IF(
    $N42 &lt; 0.875,
    MAX(0, MIN(($H42 / 1000) * R$10 * $BN$4, R$11 * 0.876) - (R$11 * $N42)) * 0.25,
    0
)</f>
        <v>0</v>
      </c>
      <c r="S42" s="8" cm="1">
        <f t="array" ref="S42">IF(
    AND($H42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($H42 / 1000) * S$10 * $BN$4 * 0.25
    ),
    0
)
+
IF(
    $N42 &lt; 0.875,
    MAX(0, MIN(($H42 / 1000) * S$10 * $BN$4, S$11 * 0.876) - (S$11 * $N42)) * 0.25,
    0
)</f>
        <v>0</v>
      </c>
      <c r="T42" s="8" cm="1">
        <f t="array" ref="T42">IF(
    AND($H42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($H42 / 1000) * T$10 * $BN$4 * 0.25
    ),
    0
)
+
IF(
    $N42 &lt; 0.875,
    MAX(0, MIN(($H42 / 1000) * T$10 * $BN$4, T$11 * 0.876) - (T$11 * $N42)) * 0.25,
    0
)</f>
        <v>0</v>
      </c>
      <c r="U42" s="8" cm="1">
        <f t="array" ref="U42">IF(
    AND($H42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($H42 / 1000) * U$10 * $BN$4 * 0.25
    ),
    0
)
+
IF(
    $N42 &lt; 0.875,
    MAX(0, MIN(($H42 / 1000) * U$10 * $BN$4, U$11 * 0.876) - (U$11 * $N42)) * 0.25,
    0
)</f>
        <v>0</v>
      </c>
      <c r="V42" s="8" cm="1">
        <f t="array" ref="V42">IF(
    AND($H42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($H42 / 1000) * V$10 * $BN$4 * 0.25
    ),
    0
)
+
IF(
    $N42 &lt; 0.875,
    MAX(0, MIN(($H42 / 1000) * V$10 * $BN$4, V$11 * 0.876) - (V$11 * $N42)) * 0.25,
    0
)</f>
        <v>0</v>
      </c>
      <c r="W42" s="8" cm="1">
        <f t="array" ref="W42">IF(
    AND($H42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($H42 / 1000) * W$10 * $BN$4 * 0.25
    ),
    0
)
+
IF(
    $N42 &lt; 0.875,
    MAX(0, MIN(($H42 / 1000) * W$10 * $BN$4, W$11 * 0.876) - (W$11 * $N42)) * 0.25,
    0
)</f>
        <v>0</v>
      </c>
      <c r="X42" s="8" cm="1">
        <f t="array" ref="X42">IF(
    AND($H42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($H42 / 1000) * X$10 * $BN$4 * 0.25
    ),
    0
)
+
IF(
    $N42 &lt; 0.875,
    MAX(0, MIN(($H42 / 1000) * X$10 * $BN$4, X$11 * 0.876) - (X$11 * $N42)) * 0.25,
    0
)</f>
        <v>0</v>
      </c>
      <c r="Y42" s="8" cm="1">
        <f t="array" ref="Y42">IF(
    AND($H42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($H42 / 1000) * Y$10 * $BN$4 * 0.25
    ),
    0
)
+
IF(
    $N42 &lt; 0.875,
    MAX(0, MIN(($H42 / 1000) * Y$10 * $BN$4, Y$11 * 0.876) - (Y$11 * $N42)) * 0.25,
    0
)</f>
        <v>0</v>
      </c>
      <c r="Z42" s="8" cm="1">
        <f t="array" ref="Z42">IF(
    AND($H42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($H42 / 1000) * Z$10 * $BN$4 * 0.25
    ),
    0
)
+
IF(
    $N42 &lt; 0.875,
    MAX(0, MIN(($H42 / 1000) * Z$10 * $BN$4, Z$11 * 0.876) - (Z$11 * $N42)) * 0.25,
    0
)</f>
        <v>0</v>
      </c>
      <c r="AA42" s="8">
        <f>AVERAGE(TabellaMar2026[[#This Row],[Colonna24]:[Colonna20]])</f>
        <v>0</v>
      </c>
      <c r="AB42" s="8">
        <f>MAX(TabellaMar2026[[#This Row],[Colonna24]:[Colonna20]])</f>
        <v>0</v>
      </c>
      <c r="AC42" s="35">
        <f>MIN(TabellaMar2026[[#This Row],[Colonna24]:[Colonna20]])</f>
        <v>0</v>
      </c>
      <c r="AD42" s="44">
        <f>SUM(TabellaMar2026[[#This Row],[Colonna24]:[Colonna20]])</f>
        <v>0</v>
      </c>
      <c r="AE42" s="36">
        <f>IF(
    AND($H42 &gt; $BN$7, Tabella01MarzoInverter[[#This Row],[Active power TX2-INV-1]] &lt;= 0, Tabella01MarzoInverter[[#This Row],[TX2 - Average Power]] &lt;= 0),
    MIN(($H42 / 1000) * AE$10 * $BN$4, AE$11 * 0.876) * 0.25,
    IF(
        AND($H42 &gt; $BN$7, Tabella01MarzoInverter[[#This Row],[Active power TX2-INV-1]] &lt;= 0),
        Tabella01MarzoInverter[[#This Row],[TX2 - Average Power]] * 0.25,
        0
    )
    +
    IF(
        $N42 &lt; 0.875,
        MAX(0, MIN(($H42 / 1000) * AE$10 * $BN$4, AE$11 * 0.876) - (AE$11 * $N42)) * 0.25,
        0
    )
)</f>
        <v>0</v>
      </c>
      <c r="AF42" s="36">
        <f>IF(
    AND($H42 &gt; $BN$7, Tabella01MarzoInverter[[#This Row],[Active power TX2-INV-2]] &lt;= 0, Tabella01MarzoInverter[[#This Row],[TX2 - Max Power]] &lt;= 0),
    MIN(($H42 / 1000) * AF$10 * $BN$4, AF$11 * 0.876) * 0.25,
    IF(
        AND($H42 &gt; $BN$7, Tabella01MarzoInverter[[#This Row],[Active power TX2-INV-2]] &lt;= 0),
        Tabella01MarzoInverter[[#This Row],[TX2 - Max Power]] * 0.25,
        0
    )
    +
    IF(
        $N42 &lt; 0.875,
        MAX(0, MIN(($H42 / 1000) * AF$10 * $BN$4, AF$11 * 0.876) - (AF$11 * $N42)) * 0.25,
        0
    )
)</f>
        <v>0</v>
      </c>
      <c r="AG42" s="36">
        <f>IF(
    AND($H42 &gt; $BN$7, Tabella01MarzoInverter[[#This Row],[Active power TX2-INV-3]] &lt;= 0, Tabella01MarzoInverter[[#This Row],[TX2 - Min Power]] &lt;= 0),
    MIN(($H42 / 1000) * AG$10 * $BN$4, AG$11 * 0.876) * 0.25,
    IF(
        AND($H42 &gt; $BN$7, Tabella01MarzoInverter[[#This Row],[Active power TX2-INV-3]] &lt;= 0),
        Tabella01MarzoInverter[[#This Row],[TX2 - Min Power]] * 0.25,
        0
    )
    +
    IF(
        $N42 &lt; 0.875,
        MAX(0, MIN(($H42 / 1000) * AG$10 * $BN$4, AG$11 * 0.876) - (AG$11 * $N42)) * 0.25,
        0
    )
)</f>
        <v>0</v>
      </c>
      <c r="AH42" s="36">
        <f>IF(
    AND($H42 &gt; $BN$7, Tabella01MarzoInverter[[#This Row],[Active power TX2-INV-4]] &lt;= 0, Tabella01MarzoInverter[[#This Row],[Active power TX3-INV-1]] &lt;= 0),
    MIN(($H42 / 1000) * AH$10 * $BN$4, AH$11 * 0.876) * 0.25,
    IF(
        AND($H42 &gt; $BN$7, Tabella01MarzoInverter[[#This Row],[Active power TX2-INV-4]] &lt;= 0),
        Tabella01MarzoInverter[[#This Row],[Active power TX3-INV-1]] * 0.25,
        0
    )
    +
    IF(
        $N42 &lt; 0.875,
        MAX(0, MIN(($H42 / 1000) * AH$10 * $BN$4, AH$11 * 0.876) - (AH$11 * $N42)) * 0.25,
        0
    )
)</f>
        <v>0</v>
      </c>
      <c r="AI42" s="36">
        <f>IF(
    AND($H42 &gt; $BN$7, Tabella01MarzoInverter[[#This Row],[Active power TX2-INV-5]] &lt;= 0, Tabella01MarzoInverter[[#This Row],[Active power TX3-INV-2]] &lt;= 0),
    MIN(($H42 / 1000) * AI$10 * $BN$4, AI$11 * 0.876) * 0.25,
    IF(
        AND($H42 &gt; $BN$7, Tabella01MarzoInverter[[#This Row],[Active power TX2-INV-5]] &lt;= 0),
        Tabella01MarzoInverter[[#This Row],[Active power TX3-INV-2]] * 0.25,
        0
    )
    +
    IF(
        $N42 &lt; 0.875,
        MAX(0, MIN(($H42 / 1000) * AI$10 * $BN$4, AI$11 * 0.876) - (AI$11 * $N42)) * 0.25,
        0
    )
)</f>
        <v>0</v>
      </c>
      <c r="AJ42" s="36">
        <f>IF(
    AND($H42 &gt; $BN$7, Tabella01MarzoInverter[[#This Row],[Active power TX2-INV-6]] &lt;= 0, Tabella01MarzoInverter[[#This Row],[Active power TX3-INV-3]] &lt;= 0),
    MIN(($H42 / 1000) * AJ$10 * $BN$4, AJ$11 * 0.876) * 0.25,
    IF(
        AND($H42 &gt; $BN$7, Tabella01MarzoInverter[[#This Row],[Active power TX2-INV-6]] &lt;= 0),
        Tabella01MarzoInverter[[#This Row],[Active power TX3-INV-3]] * 0.25,
        0
    )
    +
    IF(
        $N42 &lt; 0.875,
        MAX(0, MIN(($H42 / 1000) * AJ$10 * $BN$4, AJ$11 * 0.876) - (AJ$11 * $N42)) * 0.25,
        0
    )
)</f>
        <v>0</v>
      </c>
      <c r="AK42" s="36">
        <f>IF(
    AND($H42 &gt; $BN$7, Tabella01MarzoInverter[[#This Row],[Active power TX2-INV-7]] &lt;= 0, Tabella01MarzoInverter[[#This Row],[Active power TX3-INV-4]] &lt;= 0),
    MIN(($H42 / 1000) * AK$10 * $BN$4, AK$11 * 0.876) * 0.25,
    IF(
        AND($H42 &gt; $BN$7, Tabella01MarzoInverter[[#This Row],[Active power TX2-INV-7]] &lt;= 0),
        Tabella01MarzoInverter[[#This Row],[Active power TX3-INV-4]] * 0.25,
        0
    )
    +
    IF(
        $N42 &lt; 0.875,
        MAX(0, MIN(($H42 / 1000) * AK$10 * $BN$4, AK$11 * 0.876) - (AK$11 * $N42)) * 0.25,
        0
    )
)</f>
        <v>0</v>
      </c>
      <c r="AL42" s="36">
        <f>IF(
    AND($H42 &gt; $BN$7, Tabella01MarzoInverter[[#This Row],[Active power TX2-INV-8]] &lt;= 0, Tabella01MarzoInverter[[#This Row],[Active power TX3-INV-5]] &lt;= 0),
    MIN(($H42 / 1000) * AL$10 * $BN$4, AL$11 * 0.876) * 0.25,
    IF(
        AND($H42 &gt; $BN$7, Tabella01MarzoInverter[[#This Row],[Active power TX2-INV-8]] &lt;= 0),
        Tabella01MarzoInverter[[#This Row],[Active power TX3-INV-5]] * 0.25,
        0
    )
    +
    IF(
        $N42 &lt; 0.875,
        MAX(0, MIN(($H42 / 1000) * AL$10 * $BN$4, AL$11 * 0.876) - (AL$11 * $N42)) * 0.25,
        0
    )
)</f>
        <v>0</v>
      </c>
      <c r="AM42" s="36">
        <f>IF(
    AND($H42 &gt; $BN$7, Tabella01MarzoInverter[[#This Row],[Active power TX2-INV-9]] &lt;= 0, Tabella01MarzoInverter[[#This Row],[Active power TX3-INV-6]] &lt;= 0),
    MIN(($H42 / 1000) * AM$10 * $BN$4, AM$11 * 0.876) * 0.25,
    IF(
        AND($H42 &gt; $BN$7, Tabella01MarzoInverter[[#This Row],[Active power TX2-INV-9]] &lt;= 0),
        Tabella01MarzoInverter[[#This Row],[Active power TX3-INV-6]] * 0.25,
        0
    )
    +
    IF(
        $N42 &lt; 0.875,
        MAX(0, MIN(($H42 / 1000) * AM$10 * $BN$4, AM$11 * 0.876) - (AM$11 * $N42)) * 0.25,
        0
    )
)</f>
        <v>0</v>
      </c>
      <c r="AN42" s="36">
        <f>IF(
    AND($H42 &gt; $BN$7, Tabella01MarzoInverter[[#This Row],[Active power TX2-INV-10]] &lt;= 0, Tabella01MarzoInverter[[#This Row],[Active power TX3-INV-7]] &lt;= 0),
    MIN(($H42 / 1000) * AN$10 * $BN$4, AN$11 * 0.876) * 0.25,
    IF(
        AND($H42 &gt; $BN$7, Tabella01MarzoInverter[[#This Row],[Active power TX2-INV-10]] &lt;= 0),
        Tabella01MarzoInverter[[#This Row],[Active power TX3-INV-7]] * 0.25,
        0
    )
    +
    IF(
        $N42 &lt; 0.875,
        MAX(0, MIN(($H42 / 1000) * AN$10 * $BN$4, AN$11 * 0.876) - (AN$11 * $N42)) * 0.25,
        0
    )
)</f>
        <v>0</v>
      </c>
      <c r="AO42" s="36">
        <f>IF(
    AND($H42 &gt; $BN$7, Tabella01MarzoInverter[[#This Row],[Active power TX2-INV-11]] &lt;= 0, Tabella01MarzoInverter[[#This Row],[Active power TX3-INV-8]] &lt;= 0),
    MIN(($H42 / 1000) * AO$10 * $BN$4, AO$11 * 0.876) * 0.25,
    IF(
        AND($H42 &gt; $BN$7, Tabella01MarzoInverter[[#This Row],[Active power TX2-INV-11]] &lt;= 0),
        Tabella01MarzoInverter[[#This Row],[Active power TX3-INV-8]] * 0.25,
        0
    )
    +
    IF(
        $N42 &lt; 0.875,
        MAX(0, MIN(($H42 / 1000) * AO$10 * $BN$4, AO$11 * 0.876) - (AO$11 * $N42)) * 0.25,
        0
    )
)</f>
        <v>0</v>
      </c>
      <c r="AP42" s="36">
        <f>IF(
    AND($H42 &gt; $BN$7, Tabella01MarzoInverter[[#This Row],[Active power TX2-INV-12]] &lt;= 0, Tabella01MarzoInverter[[#This Row],[Active power TX3-INV-9]] &lt;= 0),
    MIN(($H42 / 1000) * AP$10 * $BN$4, AP$11 * 0.876) * 0.25,
    IF(
        AND($H42 &gt; $BN$7, Tabella01MarzoInverter[[#This Row],[Active power TX2-INV-12]] &lt;= 0),
        Tabella01MarzoInverter[[#This Row],[Active power TX3-INV-9]] * 0.25,
        0
    )
    +
    IF(
        $N42 &lt; 0.875,
        MAX(0, MIN(($H42 / 1000) * AP$10 * $BN$4, AP$11 * 0.876) - (AP$11 * $N42)) * 0.25,
        0
    )
)</f>
        <v>0</v>
      </c>
      <c r="AQ42" s="8">
        <f>AVERAGE(TabellaMar2026[[#This Row],[Colonna39]:[Colonna6]])</f>
        <v>0</v>
      </c>
      <c r="AR42" s="8">
        <f>MAX(TabellaMar2026[[#This Row],[Colonna39]:[Colonna6]])</f>
        <v>0</v>
      </c>
      <c r="AS42" s="35">
        <f>MIN(TabellaMar2026[[#This Row],[Colonna39]:[Colonna6]])</f>
        <v>0</v>
      </c>
      <c r="AT42" s="48">
        <f>SUM(TabellaMar2026[[#This Row],[Colonna39]:[Colonna6]])</f>
        <v>0</v>
      </c>
      <c r="AU42" s="36" cm="1">
        <f t="array" ref="AU42">IF(
    AND($H42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($H42 / 1000) * AU$10 * $BN$4 * 0.25
    ),
    0
)
+
IF(
    $N42 &lt; 0.875,
    MAX(0, MIN(($H42 / 1000) * AU$10 * $BN$4, AU$11 * 0.876) - (AU$11 * $N42)) * 0.25,
    0
)</f>
        <v>0</v>
      </c>
      <c r="AV42" s="36" cm="1">
        <f t="array" ref="AV42">IF(
    AND($H42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($H42 / 1000) * AV$10 * $BN$4 * 0.25
    ),
    0
)
+
IF(
    $N42 &lt; 0.875,
    MAX(0, MIN(($H42 / 1000) * AV$10 * $BN$4, AV$11 * 0.876) - (AV$11 * $N42)) * 0.25,
    0
)</f>
        <v>0</v>
      </c>
      <c r="AW42" s="36" cm="1">
        <f t="array" ref="AW42">IF(
    AND($H42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($H42 / 1000) * AW$10 * $BN$4 * 0.25
    ),
    0
)
+
IF(
    $N42 &lt; 0.875,
    MAX(0, MIN(($H42 / 1000) * AW$10 * $BN$4, AW$11 * 0.876) - (AW$11 * $N42)) * 0.25,
    0
)</f>
        <v>0</v>
      </c>
      <c r="AX42" s="36" cm="1">
        <f t="array" ref="AX42">IF(
    AND($H42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($H42 / 1000) * AX$10 * $BN$4 * 0.25
    ),
    0
)
+
IF(
    $N42 &lt; 0.875,
    MAX(0, MIN(($H42 / 1000) * AX$10 * $BN$4, AX$11 * 0.876) - (AX$11 * $N42)) * 0.25,
    0
)</f>
        <v>0</v>
      </c>
      <c r="AY42" s="36" cm="1">
        <f t="array" ref="AY42">IF(
    AND($H42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($H42 / 1000) * AY$10 * $BN$4 * 0.25
    ),
    0
)
+
IF(
    $N42 &lt; 0.875,
    MAX(0, MIN(($H42 / 1000) * AY$10 * $BN$4, AY$11 * 0.876) - (AY$11 * $N42)) * 0.25,
    0
)</f>
        <v>0</v>
      </c>
      <c r="AZ42" s="36" cm="1">
        <f t="array" ref="AZ42">IF(
    AND($H42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($H42 / 1000) * AZ$10 * $BN$4 * 0.25
    ),
    0
)
+
IF(
    $N42 &lt; 0.875,
    MAX(0, MIN(($H42 / 1000) * AZ$10 * $BN$4, AZ$11 * 0.876) - (AZ$11 * $N42)) * 0.25,
    0
)</f>
        <v>0</v>
      </c>
      <c r="BA42" s="36" cm="1">
        <f t="array" ref="BA42">IF(
    AND($H42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($H42 / 1000) * BA$10 * $BN$4 * 0.25
    ),
    0
)
+
IF(
    $N42 &lt; 0.875,
    MAX(0, MIN(($H42 / 1000) * BA$10 * $BN$4, BA$11 * 0.876) - (BA$11 * $N42)) * 0.25,
    0
)</f>
        <v>0</v>
      </c>
      <c r="BB42" s="36" cm="1">
        <f t="array" ref="BB42">IF(
    AND($H42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($H42 / 1000) * BB$10 * $BN$4 * 0.25
    ),
    0
)
+
IF(
    $N42 &lt; 0.875,
    MAX(0, MIN(($H42 / 1000) * BB$10 * $BN$4, BB$11 * 0.876) - (BB$11 * $N42)) * 0.25,
    0
)</f>
        <v>0</v>
      </c>
      <c r="BC42" s="36" cm="1">
        <f t="array" ref="BC42">IF(
    AND($H42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($H42 / 1000) * BC$10 * $BN$4 * 0.25
    ),
    0
)
+
IF(
    $N42 &lt; 0.875,
    MAX(0, MIN(($H42 / 1000) * BC$10 * $BN$4, BC$11 * 0.876) - (BC$11 * $N42)) * 0.25,
    0
)</f>
        <v>0</v>
      </c>
      <c r="BD42" s="36" cm="1">
        <f t="array" ref="BD42">IF(
    AND($H42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($H42 / 1000) * BD$10 * $BN$4 * 0.25
    ),
    0
)
+
IF(
    $N42 &lt; 0.875,
    MAX(0, MIN(($H42 / 1000) * BD$10 * $BN$4, BD$11 * 0.876) - (BD$11 * $N42)) * 0.25,
    0
)</f>
        <v>0</v>
      </c>
      <c r="BE42" s="36" cm="1">
        <f t="array" ref="BE42">IF(
    AND($H42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($H42 / 1000) * BE$10 * $BN$4 * 0.25
    ),
    0
)
+
IF(
    $N42 &lt; 0.875,
    MAX(0, MIN(($H42 / 1000) * BE$10 * $BN$4, BE$11 * 0.876) - (BE$11 * $N42)) * 0.25,
    0
)</f>
        <v>0</v>
      </c>
      <c r="BF42" s="36" cm="1">
        <f t="array" ref="BF42">IF(
    AND($H42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($H42 / 1000) * BF$10 * $BN$4 * 0.25
    ),
    0
)
+
IF(
    $N42 &lt; 0.875,
    MAX(0, MIN(($H42 / 1000) * BF$10 * $BN$4, BF$11 * 0.876) - (BF$11 * $N42)) * 0.25,
    0
)</f>
        <v>0</v>
      </c>
      <c r="BG42" s="8">
        <f>AVERAGE(TabellaMar2026[[#This Row],[Colonna55]:[Colonna53]])</f>
        <v>0</v>
      </c>
      <c r="BH42" s="8">
        <f>MAX(TabellaMar2026[[#This Row],[Colonna55]:[Colonna53]])</f>
        <v>0</v>
      </c>
      <c r="BI42" s="35">
        <f>MIN(TabellaMar2026[[#This Row],[Colonna55]:[Colonna53]])</f>
        <v>0</v>
      </c>
      <c r="BJ42" s="48">
        <f>SUM(TabellaMar2026[[#This Row],[Colonna54]:[Colonna53]])</f>
        <v>0</v>
      </c>
      <c r="BK42" s="54">
        <f>(SUM(Tabella01MarzoInverter[[Active power TX1-INV-1]:[Active power TX3-INV-12]]) * 0.25) / (12625 * (SUM($G$15:$H$110) * 0.25 / 1000))</f>
        <v>1.014229628761051</v>
      </c>
      <c r="BL42" s="5"/>
      <c r="BM42" s="5"/>
      <c r="BN42" s="8"/>
      <c r="BO42" s="8"/>
      <c r="BP42" s="19"/>
    </row>
    <row r="43" spans="1:68" x14ac:dyDescent="0.25">
      <c r="A43" s="18">
        <v>46147</v>
      </c>
      <c r="B43" t="s">
        <v>43</v>
      </c>
      <c r="C43" s="5">
        <v>62.1</v>
      </c>
      <c r="D43" s="6">
        <v>1.5525000000000001E-2</v>
      </c>
      <c r="E43" s="6">
        <v>63.4</v>
      </c>
      <c r="F43" s="6">
        <v>1.585E-2</v>
      </c>
      <c r="G43" s="6">
        <f>IFERROR((D43+F43)/2, 0)</f>
        <v>1.56875E-2</v>
      </c>
      <c r="H43" s="7">
        <f>IFERROR(IF(AVERAGE(C43,E43)&gt;$BN$7,AVERAGE(C43,E43),0), 0)</f>
        <v>62.75</v>
      </c>
      <c r="I43" s="7">
        <f>IFERROR(IF(AND(D43=0,F43=0),0,IF(H43&gt;$BN$6,MAX(D43,F43),G43)), 0)</f>
        <v>1.585E-2</v>
      </c>
      <c r="J43" s="6">
        <f>IFERROR(IF(AND(D43&gt;0,F43&gt;0),ABS(D43-F43)/AVERAGE(D43,F43),0), 0)</f>
        <v>2.0717131474103517E-2</v>
      </c>
      <c r="K43" s="6">
        <v>30386.2</v>
      </c>
      <c r="L43" s="6">
        <v>30386.400000000001</v>
      </c>
      <c r="M43" s="8">
        <f>IFERROR((L43-K43)*1000, 0)</f>
        <v>200.0000000007276</v>
      </c>
      <c r="N43" s="6">
        <v>0.87599999999999989</v>
      </c>
      <c r="O43" s="8" cm="1">
        <f t="array" ref="O43">IF(
    AND($H43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($H43 / 1000) * O$10 * $BN$4 * 0.25
    ),
    0
)
+
IF(
    $N43 &lt; 0.875,
    MAX(0, MIN(($H43 / 1000) * O$10 * $BN$4, O$11 * 0.876) - (O$11 * $N43)) * 0.25,
    0
)</f>
        <v>0</v>
      </c>
      <c r="P43" s="8" cm="1">
        <f t="array" ref="P43">IF(
    AND($H43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($H43 / 1000) * P$10 * $BN$4 * 0.25
    ),
    0
)
+
IF(
    $N43 &lt; 0.875,
    MAX(0, MIN(($H43 / 1000) * P$10 * $BN$4, P$11 * 0.876) - (P$11 * $N43)) * 0.25,
    0
)</f>
        <v>0</v>
      </c>
      <c r="Q43" s="8" cm="1">
        <f t="array" ref="Q43">IF(
    AND($H43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($H43 / 1000) * Q$10 * $BN$4 * 0.25
    ),
    0
)
+
IF(
    $N43 &lt; 0.875,
    MAX(0, MIN(($H43 / 1000) * Q$10 * $BN$4, Q$11 * 0.876) - (Q$11 * $N43)) * 0.25,
    0
)</f>
        <v>0</v>
      </c>
      <c r="R43" s="8" cm="1">
        <f t="array" ref="R43">IF(
    AND($H43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($H43 / 1000) * R$10 * $BN$4 * 0.25
    ),
    0
)
+
IF(
    $N43 &lt; 0.875,
    MAX(0, MIN(($H43 / 1000) * R$10 * $BN$4, R$11 * 0.876) - (R$11 * $N43)) * 0.25,
    0
)</f>
        <v>0</v>
      </c>
      <c r="S43" s="8" cm="1">
        <f t="array" ref="S43">IF(
    AND($H43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($H43 / 1000) * S$10 * $BN$4 * 0.25
    ),
    0
)
+
IF(
    $N43 &lt; 0.875,
    MAX(0, MIN(($H43 / 1000) * S$10 * $BN$4, S$11 * 0.876) - (S$11 * $N43)) * 0.25,
    0
)</f>
        <v>0</v>
      </c>
      <c r="T43" s="8" cm="1">
        <f t="array" ref="T43">IF(
    AND($H43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($H43 / 1000) * T$10 * $BN$4 * 0.25
    ),
    0
)
+
IF(
    $N43 &lt; 0.875,
    MAX(0, MIN(($H43 / 1000) * T$10 * $BN$4, T$11 * 0.876) - (T$11 * $N43)) * 0.25,
    0
)</f>
        <v>0</v>
      </c>
      <c r="U43" s="8" cm="1">
        <f t="array" ref="U43">IF(
    AND($H43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($H43 / 1000) * U$10 * $BN$4 * 0.25
    ),
    0
)
+
IF(
    $N43 &lt; 0.875,
    MAX(0, MIN(($H43 / 1000) * U$10 * $BN$4, U$11 * 0.876) - (U$11 * $N43)) * 0.25,
    0
)</f>
        <v>0</v>
      </c>
      <c r="V43" s="8" cm="1">
        <f t="array" ref="V43">IF(
    AND($H43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($H43 / 1000) * V$10 * $BN$4 * 0.25
    ),
    0
)
+
IF(
    $N43 &lt; 0.875,
    MAX(0, MIN(($H43 / 1000) * V$10 * $BN$4, V$11 * 0.876) - (V$11 * $N43)) * 0.25,
    0
)</f>
        <v>0</v>
      </c>
      <c r="W43" s="8" cm="1">
        <f t="array" ref="W43">IF(
    AND($H43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($H43 / 1000) * W$10 * $BN$4 * 0.25
    ),
    0
)
+
IF(
    $N43 &lt; 0.875,
    MAX(0, MIN(($H43 / 1000) * W$10 * $BN$4, W$11 * 0.876) - (W$11 * $N43)) * 0.25,
    0
)</f>
        <v>0</v>
      </c>
      <c r="X43" s="8" cm="1">
        <f t="array" ref="X43">IF(
    AND($H43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($H43 / 1000) * X$10 * $BN$4 * 0.25
    ),
    0
)
+
IF(
    $N43 &lt; 0.875,
    MAX(0, MIN(($H43 / 1000) * X$10 * $BN$4, X$11 * 0.876) - (X$11 * $N43)) * 0.25,
    0
)</f>
        <v>0</v>
      </c>
      <c r="Y43" s="8" cm="1">
        <f t="array" ref="Y43">IF(
    AND($H43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($H43 / 1000) * Y$10 * $BN$4 * 0.25
    ),
    0
)
+
IF(
    $N43 &lt; 0.875,
    MAX(0, MIN(($H43 / 1000) * Y$10 * $BN$4, Y$11 * 0.876) - (Y$11 * $N43)) * 0.25,
    0
)</f>
        <v>0</v>
      </c>
      <c r="Z43" s="8" cm="1">
        <f t="array" ref="Z43">IF(
    AND($H43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($H43 / 1000) * Z$10 * $BN$4 * 0.25
    ),
    0
)
+
IF(
    $N43 &lt; 0.875,
    MAX(0, MIN(($H43 / 1000) * Z$10 * $BN$4, Z$11 * 0.876) - (Z$11 * $N43)) * 0.25,
    0
)</f>
        <v>0</v>
      </c>
      <c r="AA43" s="8">
        <f>AVERAGE(TabellaMar2026[[#This Row],[Colonna24]:[Colonna20]])</f>
        <v>0</v>
      </c>
      <c r="AB43" s="8">
        <f>MAX(TabellaMar2026[[#This Row],[Colonna24]:[Colonna20]])</f>
        <v>0</v>
      </c>
      <c r="AC43" s="35">
        <f>MIN(TabellaMar2026[[#This Row],[Colonna24]:[Colonna20]])</f>
        <v>0</v>
      </c>
      <c r="AD43" s="44">
        <f>SUM(TabellaMar2026[[#This Row],[Colonna24]:[Colonna20]])</f>
        <v>0</v>
      </c>
      <c r="AE43" s="36">
        <f>IF(
    AND($H43 &gt; $BN$7, Tabella01MarzoInverter[[#This Row],[Active power TX2-INV-1]] &lt;= 0, Tabella01MarzoInverter[[#This Row],[TX2 - Average Power]] &lt;= 0),
    MIN(($H43 / 1000) * AE$10 * $BN$4, AE$11 * 0.876) * 0.25,
    IF(
        AND($H43 &gt; $BN$7, Tabella01MarzoInverter[[#This Row],[Active power TX2-INV-1]] &lt;= 0),
        Tabella01MarzoInverter[[#This Row],[TX2 - Average Power]] * 0.25,
        0
    )
    +
    IF(
        $N43 &lt; 0.875,
        MAX(0, MIN(($H43 / 1000) * AE$10 * $BN$4, AE$11 * 0.876) - (AE$11 * $N43)) * 0.25,
        0
    )
)</f>
        <v>0</v>
      </c>
      <c r="AF43" s="36">
        <f>IF(
    AND($H43 &gt; $BN$7, Tabella01MarzoInverter[[#This Row],[Active power TX2-INV-2]] &lt;= 0, Tabella01MarzoInverter[[#This Row],[TX2 - Max Power]] &lt;= 0),
    MIN(($H43 / 1000) * AF$10 * $BN$4, AF$11 * 0.876) * 0.25,
    IF(
        AND($H43 &gt; $BN$7, Tabella01MarzoInverter[[#This Row],[Active power TX2-INV-2]] &lt;= 0),
        Tabella01MarzoInverter[[#This Row],[TX2 - Max Power]] * 0.25,
        0
    )
    +
    IF(
        $N43 &lt; 0.875,
        MAX(0, MIN(($H43 / 1000) * AF$10 * $BN$4, AF$11 * 0.876) - (AF$11 * $N43)) * 0.25,
        0
    )
)</f>
        <v>0</v>
      </c>
      <c r="AG43" s="36">
        <f>IF(
    AND($H43 &gt; $BN$7, Tabella01MarzoInverter[[#This Row],[Active power TX2-INV-3]] &lt;= 0, Tabella01MarzoInverter[[#This Row],[TX2 - Min Power]] &lt;= 0),
    MIN(($H43 / 1000) * AG$10 * $BN$4, AG$11 * 0.876) * 0.25,
    IF(
        AND($H43 &gt; $BN$7, Tabella01MarzoInverter[[#This Row],[Active power TX2-INV-3]] &lt;= 0),
        Tabella01MarzoInverter[[#This Row],[TX2 - Min Power]] * 0.25,
        0
    )
    +
    IF(
        $N43 &lt; 0.875,
        MAX(0, MIN(($H43 / 1000) * AG$10 * $BN$4, AG$11 * 0.876) - (AG$11 * $N43)) * 0.25,
        0
    )
)</f>
        <v>0</v>
      </c>
      <c r="AH43" s="36">
        <f>IF(
    AND($H43 &gt; $BN$7, Tabella01MarzoInverter[[#This Row],[Active power TX2-INV-4]] &lt;= 0, Tabella01MarzoInverter[[#This Row],[Active power TX3-INV-1]] &lt;= 0),
    MIN(($H43 / 1000) * AH$10 * $BN$4, AH$11 * 0.876) * 0.25,
    IF(
        AND($H43 &gt; $BN$7, Tabella01MarzoInverter[[#This Row],[Active power TX2-INV-4]] &lt;= 0),
        Tabella01MarzoInverter[[#This Row],[Active power TX3-INV-1]] * 0.25,
        0
    )
    +
    IF(
        $N43 &lt; 0.875,
        MAX(0, MIN(($H43 / 1000) * AH$10 * $BN$4, AH$11 * 0.876) - (AH$11 * $N43)) * 0.25,
        0
    )
)</f>
        <v>0</v>
      </c>
      <c r="AI43" s="36">
        <f>IF(
    AND($H43 &gt; $BN$7, Tabella01MarzoInverter[[#This Row],[Active power TX2-INV-5]] &lt;= 0, Tabella01MarzoInverter[[#This Row],[Active power TX3-INV-2]] &lt;= 0),
    MIN(($H43 / 1000) * AI$10 * $BN$4, AI$11 * 0.876) * 0.25,
    IF(
        AND($H43 &gt; $BN$7, Tabella01MarzoInverter[[#This Row],[Active power TX2-INV-5]] &lt;= 0),
        Tabella01MarzoInverter[[#This Row],[Active power TX3-INV-2]] * 0.25,
        0
    )
    +
    IF(
        $N43 &lt; 0.875,
        MAX(0, MIN(($H43 / 1000) * AI$10 * $BN$4, AI$11 * 0.876) - (AI$11 * $N43)) * 0.25,
        0
    )
)</f>
        <v>0</v>
      </c>
      <c r="AJ43" s="36">
        <f>IF(
    AND($H43 &gt; $BN$7, Tabella01MarzoInverter[[#This Row],[Active power TX2-INV-6]] &lt;= 0, Tabella01MarzoInverter[[#This Row],[Active power TX3-INV-3]] &lt;= 0),
    MIN(($H43 / 1000) * AJ$10 * $BN$4, AJ$11 * 0.876) * 0.25,
    IF(
        AND($H43 &gt; $BN$7, Tabella01MarzoInverter[[#This Row],[Active power TX2-INV-6]] &lt;= 0),
        Tabella01MarzoInverter[[#This Row],[Active power TX3-INV-3]] * 0.25,
        0
    )
    +
    IF(
        $N43 &lt; 0.875,
        MAX(0, MIN(($H43 / 1000) * AJ$10 * $BN$4, AJ$11 * 0.876) - (AJ$11 * $N43)) * 0.25,
        0
    )
)</f>
        <v>0</v>
      </c>
      <c r="AK43" s="36">
        <f>IF(
    AND($H43 &gt; $BN$7, Tabella01MarzoInverter[[#This Row],[Active power TX2-INV-7]] &lt;= 0, Tabella01MarzoInverter[[#This Row],[Active power TX3-INV-4]] &lt;= 0),
    MIN(($H43 / 1000) * AK$10 * $BN$4, AK$11 * 0.876) * 0.25,
    IF(
        AND($H43 &gt; $BN$7, Tabella01MarzoInverter[[#This Row],[Active power TX2-INV-7]] &lt;= 0),
        Tabella01MarzoInverter[[#This Row],[Active power TX3-INV-4]] * 0.25,
        0
    )
    +
    IF(
        $N43 &lt; 0.875,
        MAX(0, MIN(($H43 / 1000) * AK$10 * $BN$4, AK$11 * 0.876) - (AK$11 * $N43)) * 0.25,
        0
    )
)</f>
        <v>0</v>
      </c>
      <c r="AL43" s="36">
        <f>IF(
    AND($H43 &gt; $BN$7, Tabella01MarzoInverter[[#This Row],[Active power TX2-INV-8]] &lt;= 0, Tabella01MarzoInverter[[#This Row],[Active power TX3-INV-5]] &lt;= 0),
    MIN(($H43 / 1000) * AL$10 * $BN$4, AL$11 * 0.876) * 0.25,
    IF(
        AND($H43 &gt; $BN$7, Tabella01MarzoInverter[[#This Row],[Active power TX2-INV-8]] &lt;= 0),
        Tabella01MarzoInverter[[#This Row],[Active power TX3-INV-5]] * 0.25,
        0
    )
    +
    IF(
        $N43 &lt; 0.875,
        MAX(0, MIN(($H43 / 1000) * AL$10 * $BN$4, AL$11 * 0.876) - (AL$11 * $N43)) * 0.25,
        0
    )
)</f>
        <v>0</v>
      </c>
      <c r="AM43" s="36">
        <f>IF(
    AND($H43 &gt; $BN$7, Tabella01MarzoInverter[[#This Row],[Active power TX2-INV-9]] &lt;= 0, Tabella01MarzoInverter[[#This Row],[Active power TX3-INV-6]] &lt;= 0),
    MIN(($H43 / 1000) * AM$10 * $BN$4, AM$11 * 0.876) * 0.25,
    IF(
        AND($H43 &gt; $BN$7, Tabella01MarzoInverter[[#This Row],[Active power TX2-INV-9]] &lt;= 0),
        Tabella01MarzoInverter[[#This Row],[Active power TX3-INV-6]] * 0.25,
        0
    )
    +
    IF(
        $N43 &lt; 0.875,
        MAX(0, MIN(($H43 / 1000) * AM$10 * $BN$4, AM$11 * 0.876) - (AM$11 * $N43)) * 0.25,
        0
    )
)</f>
        <v>0</v>
      </c>
      <c r="AN43" s="36">
        <f>IF(
    AND($H43 &gt; $BN$7, Tabella01MarzoInverter[[#This Row],[Active power TX2-INV-10]] &lt;= 0, Tabella01MarzoInverter[[#This Row],[Active power TX3-INV-7]] &lt;= 0),
    MIN(($H43 / 1000) * AN$10 * $BN$4, AN$11 * 0.876) * 0.25,
    IF(
        AND($H43 &gt; $BN$7, Tabella01MarzoInverter[[#This Row],[Active power TX2-INV-10]] &lt;= 0),
        Tabella01MarzoInverter[[#This Row],[Active power TX3-INV-7]] * 0.25,
        0
    )
    +
    IF(
        $N43 &lt; 0.875,
        MAX(0, MIN(($H43 / 1000) * AN$10 * $BN$4, AN$11 * 0.876) - (AN$11 * $N43)) * 0.25,
        0
    )
)</f>
        <v>0</v>
      </c>
      <c r="AO43" s="36">
        <f>IF(
    AND($H43 &gt; $BN$7, Tabella01MarzoInverter[[#This Row],[Active power TX2-INV-11]] &lt;= 0, Tabella01MarzoInverter[[#This Row],[Active power TX3-INV-8]] &lt;= 0),
    MIN(($H43 / 1000) * AO$10 * $BN$4, AO$11 * 0.876) * 0.25,
    IF(
        AND($H43 &gt; $BN$7, Tabella01MarzoInverter[[#This Row],[Active power TX2-INV-11]] &lt;= 0),
        Tabella01MarzoInverter[[#This Row],[Active power TX3-INV-8]] * 0.25,
        0
    )
    +
    IF(
        $N43 &lt; 0.875,
        MAX(0, MIN(($H43 / 1000) * AO$10 * $BN$4, AO$11 * 0.876) - (AO$11 * $N43)) * 0.25,
        0
    )
)</f>
        <v>0</v>
      </c>
      <c r="AP43" s="36">
        <f>IF(
    AND($H43 &gt; $BN$7, Tabella01MarzoInverter[[#This Row],[Active power TX2-INV-12]] &lt;= 0, Tabella01MarzoInverter[[#This Row],[Active power TX3-INV-9]] &lt;= 0),
    MIN(($H43 / 1000) * AP$10 * $BN$4, AP$11 * 0.876) * 0.25,
    IF(
        AND($H43 &gt; $BN$7, Tabella01MarzoInverter[[#This Row],[Active power TX2-INV-12]] &lt;= 0),
        Tabella01MarzoInverter[[#This Row],[Active power TX3-INV-9]] * 0.25,
        0
    )
    +
    IF(
        $N43 &lt; 0.875,
        MAX(0, MIN(($H43 / 1000) * AP$10 * $BN$4, AP$11 * 0.876) - (AP$11 * $N43)) * 0.25,
        0
    )
)</f>
        <v>0</v>
      </c>
      <c r="AQ43" s="8">
        <f>AVERAGE(TabellaMar2026[[#This Row],[Colonna39]:[Colonna6]])</f>
        <v>0</v>
      </c>
      <c r="AR43" s="8">
        <f>MAX(TabellaMar2026[[#This Row],[Colonna39]:[Colonna6]])</f>
        <v>0</v>
      </c>
      <c r="AS43" s="35">
        <f>MIN(TabellaMar2026[[#This Row],[Colonna39]:[Colonna6]])</f>
        <v>0</v>
      </c>
      <c r="AT43" s="48">
        <f>SUM(TabellaMar2026[[#This Row],[Colonna39]:[Colonna6]])</f>
        <v>0</v>
      </c>
      <c r="AU43" s="36" cm="1">
        <f t="array" ref="AU43">IF(
    AND($H43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($H43 / 1000) * AU$10 * $BN$4 * 0.25
    ),
    0
)
+
IF(
    $N43 &lt; 0.875,
    MAX(0, MIN(($H43 / 1000) * AU$10 * $BN$4, AU$11 * 0.876) - (AU$11 * $N43)) * 0.25,
    0
)</f>
        <v>0</v>
      </c>
      <c r="AV43" s="36" cm="1">
        <f t="array" ref="AV43">IF(
    AND($H43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($H43 / 1000) * AV$10 * $BN$4 * 0.25
    ),
    0
)
+
IF(
    $N43 &lt; 0.875,
    MAX(0, MIN(($H43 / 1000) * AV$10 * $BN$4, AV$11 * 0.876) - (AV$11 * $N43)) * 0.25,
    0
)</f>
        <v>0</v>
      </c>
      <c r="AW43" s="36" cm="1">
        <f t="array" ref="AW43">IF(
    AND($H43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($H43 / 1000) * AW$10 * $BN$4 * 0.25
    ),
    0
)
+
IF(
    $N43 &lt; 0.875,
    MAX(0, MIN(($H43 / 1000) * AW$10 * $BN$4, AW$11 * 0.876) - (AW$11 * $N43)) * 0.25,
    0
)</f>
        <v>0</v>
      </c>
      <c r="AX43" s="36" cm="1">
        <f t="array" ref="AX43">IF(
    AND($H43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($H43 / 1000) * AX$10 * $BN$4 * 0.25
    ),
    0
)
+
IF(
    $N43 &lt; 0.875,
    MAX(0, MIN(($H43 / 1000) * AX$10 * $BN$4, AX$11 * 0.876) - (AX$11 * $N43)) * 0.25,
    0
)</f>
        <v>0</v>
      </c>
      <c r="AY43" s="36" cm="1">
        <f t="array" ref="AY43">IF(
    AND($H43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($H43 / 1000) * AY$10 * $BN$4 * 0.25
    ),
    0
)
+
IF(
    $N43 &lt; 0.875,
    MAX(0, MIN(($H43 / 1000) * AY$10 * $BN$4, AY$11 * 0.876) - (AY$11 * $N43)) * 0.25,
    0
)</f>
        <v>0</v>
      </c>
      <c r="AZ43" s="36" cm="1">
        <f t="array" ref="AZ43">IF(
    AND($H43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($H43 / 1000) * AZ$10 * $BN$4 * 0.25
    ),
    0
)
+
IF(
    $N43 &lt; 0.875,
    MAX(0, MIN(($H43 / 1000) * AZ$10 * $BN$4, AZ$11 * 0.876) - (AZ$11 * $N43)) * 0.25,
    0
)</f>
        <v>0</v>
      </c>
      <c r="BA43" s="36" cm="1">
        <f t="array" ref="BA43">IF(
    AND($H43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($H43 / 1000) * BA$10 * $BN$4 * 0.25
    ),
    0
)
+
IF(
    $N43 &lt; 0.875,
    MAX(0, MIN(($H43 / 1000) * BA$10 * $BN$4, BA$11 * 0.876) - (BA$11 * $N43)) * 0.25,
    0
)</f>
        <v>0</v>
      </c>
      <c r="BB43" s="36" cm="1">
        <f t="array" ref="BB43">IF(
    AND($H43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($H43 / 1000) * BB$10 * $BN$4 * 0.25
    ),
    0
)
+
IF(
    $N43 &lt; 0.875,
    MAX(0, MIN(($H43 / 1000) * BB$10 * $BN$4, BB$11 * 0.876) - (BB$11 * $N43)) * 0.25,
    0
)</f>
        <v>0</v>
      </c>
      <c r="BC43" s="36" cm="1">
        <f t="array" ref="BC43">IF(
    AND($H43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($H43 / 1000) * BC$10 * $BN$4 * 0.25
    ),
    0
)
+
IF(
    $N43 &lt; 0.875,
    MAX(0, MIN(($H43 / 1000) * BC$10 * $BN$4, BC$11 * 0.876) - (BC$11 * $N43)) * 0.25,
    0
)</f>
        <v>0</v>
      </c>
      <c r="BD43" s="36" cm="1">
        <f t="array" ref="BD43">IF(
    AND($H43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($H43 / 1000) * BD$10 * $BN$4 * 0.25
    ),
    0
)
+
IF(
    $N43 &lt; 0.875,
    MAX(0, MIN(($H43 / 1000) * BD$10 * $BN$4, BD$11 * 0.876) - (BD$11 * $N43)) * 0.25,
    0
)</f>
        <v>0</v>
      </c>
      <c r="BE43" s="36" cm="1">
        <f t="array" ref="BE43">IF(
    AND($H43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($H43 / 1000) * BE$10 * $BN$4 * 0.25
    ),
    0
)
+
IF(
    $N43 &lt; 0.875,
    MAX(0, MIN(($H43 / 1000) * BE$10 * $BN$4, BE$11 * 0.876) - (BE$11 * $N43)) * 0.25,
    0
)</f>
        <v>0</v>
      </c>
      <c r="BF43" s="36" cm="1">
        <f t="array" ref="BF43">IF(
    AND($H43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($H43 / 1000) * BF$10 * $BN$4 * 0.25
    ),
    0
)
+
IF(
    $N43 &lt; 0.875,
    MAX(0, MIN(($H43 / 1000) * BF$10 * $BN$4, BF$11 * 0.876) - (BF$11 * $N43)) * 0.25,
    0
)</f>
        <v>0</v>
      </c>
      <c r="BG43" s="8">
        <f>AVERAGE(TabellaMar2026[[#This Row],[Colonna55]:[Colonna53]])</f>
        <v>0</v>
      </c>
      <c r="BH43" s="8">
        <f>MAX(TabellaMar2026[[#This Row],[Colonna55]:[Colonna53]])</f>
        <v>0</v>
      </c>
      <c r="BI43" s="35">
        <f>MIN(TabellaMar2026[[#This Row],[Colonna55]:[Colonna53]])</f>
        <v>0</v>
      </c>
      <c r="BJ43" s="48">
        <f>SUM(TabellaMar2026[[#This Row],[Colonna54]:[Colonna53]])</f>
        <v>0</v>
      </c>
      <c r="BK43" s="54">
        <f>(SUM(Tabella01MarzoInverter[[Active power TX1-INV-1]:[Active power TX3-INV-12]]) * 0.25) / (12625 * (SUM($G$15:$H$110) * 0.25 / 1000))</f>
        <v>1.014229628761051</v>
      </c>
      <c r="BL43" s="5"/>
      <c r="BM43" s="5"/>
      <c r="BN43" s="8"/>
      <c r="BO43" s="8"/>
      <c r="BP43" s="19"/>
    </row>
    <row r="44" spans="1:68" x14ac:dyDescent="0.25">
      <c r="A44" s="18">
        <v>46147</v>
      </c>
      <c r="B44" t="s">
        <v>44</v>
      </c>
      <c r="C44" s="5">
        <v>119.3</v>
      </c>
      <c r="D44" s="6">
        <v>2.9825000000000001E-2</v>
      </c>
      <c r="E44" s="6">
        <v>119.4</v>
      </c>
      <c r="F44" s="6">
        <v>2.9850000000000002E-2</v>
      </c>
      <c r="G44" s="6">
        <f>IFERROR((D44+F44)/2, 0)</f>
        <v>2.9837500000000003E-2</v>
      </c>
      <c r="H44" s="7">
        <f>IFERROR(IF(AVERAGE(C44,E44)&gt;$BN$7,AVERAGE(C44,E44),0), 0)</f>
        <v>119.35</v>
      </c>
      <c r="I44" s="7">
        <f>IFERROR(IF(AND(D44=0,F44=0),0,IF(H44&gt;$BN$6,MAX(D44,F44),G44)), 0)</f>
        <v>2.9850000000000002E-2</v>
      </c>
      <c r="J44" s="6">
        <f>IFERROR(IF(AND(D44&gt;0,F44&gt;0),ABS(D44-F44)/AVERAGE(D44,F44),0), 0)</f>
        <v>8.3787180561376506E-4</v>
      </c>
      <c r="K44" s="6">
        <v>30386.400000000001</v>
      </c>
      <c r="L44" s="6">
        <v>30386.6</v>
      </c>
      <c r="M44" s="8">
        <f>IFERROR((L44-K44)*1000, 0)</f>
        <v>199.99999999708962</v>
      </c>
      <c r="N44" s="6">
        <v>0.87599999999999989</v>
      </c>
      <c r="O44" s="8" cm="1">
        <f t="array" ref="O44">IF(
    AND($H44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($H44 / 1000) * O$10 * $BN$4 * 0.25
    ),
    0
)
+
IF(
    $N44 &lt; 0.875,
    MAX(0, MIN(($H44 / 1000) * O$10 * $BN$4, O$11 * 0.876) - (O$11 * $N44)) * 0.25,
    0
)</f>
        <v>0</v>
      </c>
      <c r="P44" s="8" cm="1">
        <f t="array" ref="P44">IF(
    AND($H44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($H44 / 1000) * P$10 * $BN$4 * 0.25
    ),
    0
)
+
IF(
    $N44 &lt; 0.875,
    MAX(0, MIN(($H44 / 1000) * P$10 * $BN$4, P$11 * 0.876) - (P$11 * $N44)) * 0.25,
    0
)</f>
        <v>0</v>
      </c>
      <c r="Q44" s="8" cm="1">
        <f t="array" ref="Q44">IF(
    AND($H44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($H44 / 1000) * Q$10 * $BN$4 * 0.25
    ),
    0
)
+
IF(
    $N44 &lt; 0.875,
    MAX(0, MIN(($H44 / 1000) * Q$10 * $BN$4, Q$11 * 0.876) - (Q$11 * $N44)) * 0.25,
    0
)</f>
        <v>0</v>
      </c>
      <c r="R44" s="8" cm="1">
        <f t="array" ref="R44">IF(
    AND($H44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($H44 / 1000) * R$10 * $BN$4 * 0.25
    ),
    0
)
+
IF(
    $N44 &lt; 0.875,
    MAX(0, MIN(($H44 / 1000) * R$10 * $BN$4, R$11 * 0.876) - (R$11 * $N44)) * 0.25,
    0
)</f>
        <v>0</v>
      </c>
      <c r="S44" s="8" cm="1">
        <f t="array" ref="S44">IF(
    AND($H44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($H44 / 1000) * S$10 * $BN$4 * 0.25
    ),
    0
)
+
IF(
    $N44 &lt; 0.875,
    MAX(0, MIN(($H44 / 1000) * S$10 * $BN$4, S$11 * 0.876) - (S$11 * $N44)) * 0.25,
    0
)</f>
        <v>0</v>
      </c>
      <c r="T44" s="8" cm="1">
        <f t="array" ref="T44">IF(
    AND($H44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($H44 / 1000) * T$10 * $BN$4 * 0.25
    ),
    0
)
+
IF(
    $N44 &lt; 0.875,
    MAX(0, MIN(($H44 / 1000) * T$10 * $BN$4, T$11 * 0.876) - (T$11 * $N44)) * 0.25,
    0
)</f>
        <v>0</v>
      </c>
      <c r="U44" s="8" cm="1">
        <f t="array" ref="U44">IF(
    AND($H44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($H44 / 1000) * U$10 * $BN$4 * 0.25
    ),
    0
)
+
IF(
    $N44 &lt; 0.875,
    MAX(0, MIN(($H44 / 1000) * U$10 * $BN$4, U$11 * 0.876) - (U$11 * $N44)) * 0.25,
    0
)</f>
        <v>0</v>
      </c>
      <c r="V44" s="8" cm="1">
        <f t="array" ref="V44">IF(
    AND($H44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($H44 / 1000) * V$10 * $BN$4 * 0.25
    ),
    0
)
+
IF(
    $N44 &lt; 0.875,
    MAX(0, MIN(($H44 / 1000) * V$10 * $BN$4, V$11 * 0.876) - (V$11 * $N44)) * 0.25,
    0
)</f>
        <v>0</v>
      </c>
      <c r="W44" s="8" cm="1">
        <f t="array" ref="W44">IF(
    AND($H44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($H44 / 1000) * W$10 * $BN$4 * 0.25
    ),
    0
)
+
IF(
    $N44 &lt; 0.875,
    MAX(0, MIN(($H44 / 1000) * W$10 * $BN$4, W$11 * 0.876) - (W$11 * $N44)) * 0.25,
    0
)</f>
        <v>0</v>
      </c>
      <c r="X44" s="8" cm="1">
        <f t="array" ref="X44">IF(
    AND($H44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($H44 / 1000) * X$10 * $BN$4 * 0.25
    ),
    0
)
+
IF(
    $N44 &lt; 0.875,
    MAX(0, MIN(($H44 / 1000) * X$10 * $BN$4, X$11 * 0.876) - (X$11 * $N44)) * 0.25,
    0
)</f>
        <v>0</v>
      </c>
      <c r="Y44" s="8" cm="1">
        <f t="array" ref="Y44">IF(
    AND($H44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($H44 / 1000) * Y$10 * $BN$4 * 0.25
    ),
    0
)
+
IF(
    $N44 &lt; 0.875,
    MAX(0, MIN(($H44 / 1000) * Y$10 * $BN$4, Y$11 * 0.876) - (Y$11 * $N44)) * 0.25,
    0
)</f>
        <v>0</v>
      </c>
      <c r="Z44" s="8" cm="1">
        <f t="array" ref="Z44">IF(
    AND($H44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($H44 / 1000) * Z$10 * $BN$4 * 0.25
    ),
    0
)
+
IF(
    $N44 &lt; 0.875,
    MAX(0, MIN(($H44 / 1000) * Z$10 * $BN$4, Z$11 * 0.876) - (Z$11 * $N44)) * 0.25,
    0
)</f>
        <v>0</v>
      </c>
      <c r="AA44" s="8">
        <f>AVERAGE(TabellaMar2026[[#This Row],[Colonna24]:[Colonna20]])</f>
        <v>0</v>
      </c>
      <c r="AB44" s="8">
        <f>MAX(TabellaMar2026[[#This Row],[Colonna24]:[Colonna20]])</f>
        <v>0</v>
      </c>
      <c r="AC44" s="35">
        <f>MIN(TabellaMar2026[[#This Row],[Colonna24]:[Colonna20]])</f>
        <v>0</v>
      </c>
      <c r="AD44" s="44">
        <f>SUM(TabellaMar2026[[#This Row],[Colonna24]:[Colonna20]])</f>
        <v>0</v>
      </c>
      <c r="AE44" s="36">
        <f>IF(
    AND($H44 &gt; $BN$7, Tabella01MarzoInverter[[#This Row],[Active power TX2-INV-1]] &lt;= 0, Tabella01MarzoInverter[[#This Row],[TX2 - Average Power]] &lt;= 0),
    MIN(($H44 / 1000) * AE$10 * $BN$4, AE$11 * 0.876) * 0.25,
    IF(
        AND($H44 &gt; $BN$7, Tabella01MarzoInverter[[#This Row],[Active power TX2-INV-1]] &lt;= 0),
        Tabella01MarzoInverter[[#This Row],[TX2 - Average Power]] * 0.25,
        0
    )
    +
    IF(
        $N44 &lt; 0.875,
        MAX(0, MIN(($H44 / 1000) * AE$10 * $BN$4, AE$11 * 0.876) - (AE$11 * $N44)) * 0.25,
        0
    )
)</f>
        <v>0</v>
      </c>
      <c r="AF44" s="36">
        <f>IF(
    AND($H44 &gt; $BN$7, Tabella01MarzoInverter[[#This Row],[Active power TX2-INV-2]] &lt;= 0, Tabella01MarzoInverter[[#This Row],[TX2 - Max Power]] &lt;= 0),
    MIN(($H44 / 1000) * AF$10 * $BN$4, AF$11 * 0.876) * 0.25,
    IF(
        AND($H44 &gt; $BN$7, Tabella01MarzoInverter[[#This Row],[Active power TX2-INV-2]] &lt;= 0),
        Tabella01MarzoInverter[[#This Row],[TX2 - Max Power]] * 0.25,
        0
    )
    +
    IF(
        $N44 &lt; 0.875,
        MAX(0, MIN(($H44 / 1000) * AF$10 * $BN$4, AF$11 * 0.876) - (AF$11 * $N44)) * 0.25,
        0
    )
)</f>
        <v>0</v>
      </c>
      <c r="AG44" s="36">
        <f>IF(
    AND($H44 &gt; $BN$7, Tabella01MarzoInverter[[#This Row],[Active power TX2-INV-3]] &lt;= 0, Tabella01MarzoInverter[[#This Row],[TX2 - Min Power]] &lt;= 0),
    MIN(($H44 / 1000) * AG$10 * $BN$4, AG$11 * 0.876) * 0.25,
    IF(
        AND($H44 &gt; $BN$7, Tabella01MarzoInverter[[#This Row],[Active power TX2-INV-3]] &lt;= 0),
        Tabella01MarzoInverter[[#This Row],[TX2 - Min Power]] * 0.25,
        0
    )
    +
    IF(
        $N44 &lt; 0.875,
        MAX(0, MIN(($H44 / 1000) * AG$10 * $BN$4, AG$11 * 0.876) - (AG$11 * $N44)) * 0.25,
        0
    )
)</f>
        <v>0</v>
      </c>
      <c r="AH44" s="36">
        <f>IF(
    AND($H44 &gt; $BN$7, Tabella01MarzoInverter[[#This Row],[Active power TX2-INV-4]] &lt;= 0, Tabella01MarzoInverter[[#This Row],[Active power TX3-INV-1]] &lt;= 0),
    MIN(($H44 / 1000) * AH$10 * $BN$4, AH$11 * 0.876) * 0.25,
    IF(
        AND($H44 &gt; $BN$7, Tabella01MarzoInverter[[#This Row],[Active power TX2-INV-4]] &lt;= 0),
        Tabella01MarzoInverter[[#This Row],[Active power TX3-INV-1]] * 0.25,
        0
    )
    +
    IF(
        $N44 &lt; 0.875,
        MAX(0, MIN(($H44 / 1000) * AH$10 * $BN$4, AH$11 * 0.876) - (AH$11 * $N44)) * 0.25,
        0
    )
)</f>
        <v>0</v>
      </c>
      <c r="AI44" s="36">
        <f>IF(
    AND($H44 &gt; $BN$7, Tabella01MarzoInverter[[#This Row],[Active power TX2-INV-5]] &lt;= 0, Tabella01MarzoInverter[[#This Row],[Active power TX3-INV-2]] &lt;= 0),
    MIN(($H44 / 1000) * AI$10 * $BN$4, AI$11 * 0.876) * 0.25,
    IF(
        AND($H44 &gt; $BN$7, Tabella01MarzoInverter[[#This Row],[Active power TX2-INV-5]] &lt;= 0),
        Tabella01MarzoInverter[[#This Row],[Active power TX3-INV-2]] * 0.25,
        0
    )
    +
    IF(
        $N44 &lt; 0.875,
        MAX(0, MIN(($H44 / 1000) * AI$10 * $BN$4, AI$11 * 0.876) - (AI$11 * $N44)) * 0.25,
        0
    )
)</f>
        <v>0</v>
      </c>
      <c r="AJ44" s="36">
        <f>IF(
    AND($H44 &gt; $BN$7, Tabella01MarzoInverter[[#This Row],[Active power TX2-INV-6]] &lt;= 0, Tabella01MarzoInverter[[#This Row],[Active power TX3-INV-3]] &lt;= 0),
    MIN(($H44 / 1000) * AJ$10 * $BN$4, AJ$11 * 0.876) * 0.25,
    IF(
        AND($H44 &gt; $BN$7, Tabella01MarzoInverter[[#This Row],[Active power TX2-INV-6]] &lt;= 0),
        Tabella01MarzoInverter[[#This Row],[Active power TX3-INV-3]] * 0.25,
        0
    )
    +
    IF(
        $N44 &lt; 0.875,
        MAX(0, MIN(($H44 / 1000) * AJ$10 * $BN$4, AJ$11 * 0.876) - (AJ$11 * $N44)) * 0.25,
        0
    )
)</f>
        <v>0</v>
      </c>
      <c r="AK44" s="36">
        <f>IF(
    AND($H44 &gt; $BN$7, Tabella01MarzoInverter[[#This Row],[Active power TX2-INV-7]] &lt;= 0, Tabella01MarzoInverter[[#This Row],[Active power TX3-INV-4]] &lt;= 0),
    MIN(($H44 / 1000) * AK$10 * $BN$4, AK$11 * 0.876) * 0.25,
    IF(
        AND($H44 &gt; $BN$7, Tabella01MarzoInverter[[#This Row],[Active power TX2-INV-7]] &lt;= 0),
        Tabella01MarzoInverter[[#This Row],[Active power TX3-INV-4]] * 0.25,
        0
    )
    +
    IF(
        $N44 &lt; 0.875,
        MAX(0, MIN(($H44 / 1000) * AK$10 * $BN$4, AK$11 * 0.876) - (AK$11 * $N44)) * 0.25,
        0
    )
)</f>
        <v>0</v>
      </c>
      <c r="AL44" s="36">
        <f>IF(
    AND($H44 &gt; $BN$7, Tabella01MarzoInverter[[#This Row],[Active power TX2-INV-8]] &lt;= 0, Tabella01MarzoInverter[[#This Row],[Active power TX3-INV-5]] &lt;= 0),
    MIN(($H44 / 1000) * AL$10 * $BN$4, AL$11 * 0.876) * 0.25,
    IF(
        AND($H44 &gt; $BN$7, Tabella01MarzoInverter[[#This Row],[Active power TX2-INV-8]] &lt;= 0),
        Tabella01MarzoInverter[[#This Row],[Active power TX3-INV-5]] * 0.25,
        0
    )
    +
    IF(
        $N44 &lt; 0.875,
        MAX(0, MIN(($H44 / 1000) * AL$10 * $BN$4, AL$11 * 0.876) - (AL$11 * $N44)) * 0.25,
        0
    )
)</f>
        <v>0</v>
      </c>
      <c r="AM44" s="36">
        <f>IF(
    AND($H44 &gt; $BN$7, Tabella01MarzoInverter[[#This Row],[Active power TX2-INV-9]] &lt;= 0, Tabella01MarzoInverter[[#This Row],[Active power TX3-INV-6]] &lt;= 0),
    MIN(($H44 / 1000) * AM$10 * $BN$4, AM$11 * 0.876) * 0.25,
    IF(
        AND($H44 &gt; $BN$7, Tabella01MarzoInverter[[#This Row],[Active power TX2-INV-9]] &lt;= 0),
        Tabella01MarzoInverter[[#This Row],[Active power TX3-INV-6]] * 0.25,
        0
    )
    +
    IF(
        $N44 &lt; 0.875,
        MAX(0, MIN(($H44 / 1000) * AM$10 * $BN$4, AM$11 * 0.876) - (AM$11 * $N44)) * 0.25,
        0
    )
)</f>
        <v>0</v>
      </c>
      <c r="AN44" s="36">
        <f>IF(
    AND($H44 &gt; $BN$7, Tabella01MarzoInverter[[#This Row],[Active power TX2-INV-10]] &lt;= 0, Tabella01MarzoInverter[[#This Row],[Active power TX3-INV-7]] &lt;= 0),
    MIN(($H44 / 1000) * AN$10 * $BN$4, AN$11 * 0.876) * 0.25,
    IF(
        AND($H44 &gt; $BN$7, Tabella01MarzoInverter[[#This Row],[Active power TX2-INV-10]] &lt;= 0),
        Tabella01MarzoInverter[[#This Row],[Active power TX3-INV-7]] * 0.25,
        0
    )
    +
    IF(
        $N44 &lt; 0.875,
        MAX(0, MIN(($H44 / 1000) * AN$10 * $BN$4, AN$11 * 0.876) - (AN$11 * $N44)) * 0.25,
        0
    )
)</f>
        <v>0</v>
      </c>
      <c r="AO44" s="36">
        <f>IF(
    AND($H44 &gt; $BN$7, Tabella01MarzoInverter[[#This Row],[Active power TX2-INV-11]] &lt;= 0, Tabella01MarzoInverter[[#This Row],[Active power TX3-INV-8]] &lt;= 0),
    MIN(($H44 / 1000) * AO$10 * $BN$4, AO$11 * 0.876) * 0.25,
    IF(
        AND($H44 &gt; $BN$7, Tabella01MarzoInverter[[#This Row],[Active power TX2-INV-11]] &lt;= 0),
        Tabella01MarzoInverter[[#This Row],[Active power TX3-INV-8]] * 0.25,
        0
    )
    +
    IF(
        $N44 &lt; 0.875,
        MAX(0, MIN(($H44 / 1000) * AO$10 * $BN$4, AO$11 * 0.876) - (AO$11 * $N44)) * 0.25,
        0
    )
)</f>
        <v>0</v>
      </c>
      <c r="AP44" s="36">
        <f>IF(
    AND($H44 &gt; $BN$7, Tabella01MarzoInverter[[#This Row],[Active power TX2-INV-12]] &lt;= 0, Tabella01MarzoInverter[[#This Row],[Active power TX3-INV-9]] &lt;= 0),
    MIN(($H44 / 1000) * AP$10 * $BN$4, AP$11 * 0.876) * 0.25,
    IF(
        AND($H44 &gt; $BN$7, Tabella01MarzoInverter[[#This Row],[Active power TX2-INV-12]] &lt;= 0),
        Tabella01MarzoInverter[[#This Row],[Active power TX3-INV-9]] * 0.25,
        0
    )
    +
    IF(
        $N44 &lt; 0.875,
        MAX(0, MIN(($H44 / 1000) * AP$10 * $BN$4, AP$11 * 0.876) - (AP$11 * $N44)) * 0.25,
        0
    )
)</f>
        <v>0</v>
      </c>
      <c r="AQ44" s="8">
        <f>AVERAGE(TabellaMar2026[[#This Row],[Colonna39]:[Colonna6]])</f>
        <v>0</v>
      </c>
      <c r="AR44" s="8">
        <f>MAX(TabellaMar2026[[#This Row],[Colonna39]:[Colonna6]])</f>
        <v>0</v>
      </c>
      <c r="AS44" s="35">
        <f>MIN(TabellaMar2026[[#This Row],[Colonna39]:[Colonna6]])</f>
        <v>0</v>
      </c>
      <c r="AT44" s="48">
        <f>SUM(TabellaMar2026[[#This Row],[Colonna39]:[Colonna6]])</f>
        <v>0</v>
      </c>
      <c r="AU44" s="36" cm="1">
        <f t="array" ref="AU44">IF(
    AND($H44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($H44 / 1000) * AU$10 * $BN$4 * 0.25
    ),
    0
)
+
IF(
    $N44 &lt; 0.875,
    MAX(0, MIN(($H44 / 1000) * AU$10 * $BN$4, AU$11 * 0.876) - (AU$11 * $N44)) * 0.25,
    0
)</f>
        <v>0</v>
      </c>
      <c r="AV44" s="36" cm="1">
        <f t="array" ref="AV44">IF(
    AND($H44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($H44 / 1000) * AV$10 * $BN$4 * 0.25
    ),
    0
)
+
IF(
    $N44 &lt; 0.875,
    MAX(0, MIN(($H44 / 1000) * AV$10 * $BN$4, AV$11 * 0.876) - (AV$11 * $N44)) * 0.25,
    0
)</f>
        <v>0</v>
      </c>
      <c r="AW44" s="36" cm="1">
        <f t="array" ref="AW44">IF(
    AND($H44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($H44 / 1000) * AW$10 * $BN$4 * 0.25
    ),
    0
)
+
IF(
    $N44 &lt; 0.875,
    MAX(0, MIN(($H44 / 1000) * AW$10 * $BN$4, AW$11 * 0.876) - (AW$11 * $N44)) * 0.25,
    0
)</f>
        <v>0</v>
      </c>
      <c r="AX44" s="36" cm="1">
        <f t="array" ref="AX44">IF(
    AND($H44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($H44 / 1000) * AX$10 * $BN$4 * 0.25
    ),
    0
)
+
IF(
    $N44 &lt; 0.875,
    MAX(0, MIN(($H44 / 1000) * AX$10 * $BN$4, AX$11 * 0.876) - (AX$11 * $N44)) * 0.25,
    0
)</f>
        <v>0</v>
      </c>
      <c r="AY44" s="36" cm="1">
        <f t="array" ref="AY44">IF(
    AND($H44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($H44 / 1000) * AY$10 * $BN$4 * 0.25
    ),
    0
)
+
IF(
    $N44 &lt; 0.875,
    MAX(0, MIN(($H44 / 1000) * AY$10 * $BN$4, AY$11 * 0.876) - (AY$11 * $N44)) * 0.25,
    0
)</f>
        <v>0</v>
      </c>
      <c r="AZ44" s="36" cm="1">
        <f t="array" ref="AZ44">IF(
    AND($H44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($H44 / 1000) * AZ$10 * $BN$4 * 0.25
    ),
    0
)
+
IF(
    $N44 &lt; 0.875,
    MAX(0, MIN(($H44 / 1000) * AZ$10 * $BN$4, AZ$11 * 0.876) - (AZ$11 * $N44)) * 0.25,
    0
)</f>
        <v>0</v>
      </c>
      <c r="BA44" s="36" cm="1">
        <f t="array" ref="BA44">IF(
    AND($H44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($H44 / 1000) * BA$10 * $BN$4 * 0.25
    ),
    0
)
+
IF(
    $N44 &lt; 0.875,
    MAX(0, MIN(($H44 / 1000) * BA$10 * $BN$4, BA$11 * 0.876) - (BA$11 * $N44)) * 0.25,
    0
)</f>
        <v>0</v>
      </c>
      <c r="BB44" s="36" cm="1">
        <f t="array" ref="BB44">IF(
    AND($H44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($H44 / 1000) * BB$10 * $BN$4 * 0.25
    ),
    0
)
+
IF(
    $N44 &lt; 0.875,
    MAX(0, MIN(($H44 / 1000) * BB$10 * $BN$4, BB$11 * 0.876) - (BB$11 * $N44)) * 0.25,
    0
)</f>
        <v>0</v>
      </c>
      <c r="BC44" s="36" cm="1">
        <f t="array" ref="BC44">IF(
    AND($H44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($H44 / 1000) * BC$10 * $BN$4 * 0.25
    ),
    0
)
+
IF(
    $N44 &lt; 0.875,
    MAX(0, MIN(($H44 / 1000) * BC$10 * $BN$4, BC$11 * 0.876) - (BC$11 * $N44)) * 0.25,
    0
)</f>
        <v>0</v>
      </c>
      <c r="BD44" s="36" cm="1">
        <f t="array" ref="BD44">IF(
    AND($H44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($H44 / 1000) * BD$10 * $BN$4 * 0.25
    ),
    0
)
+
IF(
    $N44 &lt; 0.875,
    MAX(0, MIN(($H44 / 1000) * BD$10 * $BN$4, BD$11 * 0.876) - (BD$11 * $N44)) * 0.25,
    0
)</f>
        <v>0</v>
      </c>
      <c r="BE44" s="36" cm="1">
        <f t="array" ref="BE44">IF(
    AND($H44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($H44 / 1000) * BE$10 * $BN$4 * 0.25
    ),
    0
)
+
IF(
    $N44 &lt; 0.875,
    MAX(0, MIN(($H44 / 1000) * BE$10 * $BN$4, BE$11 * 0.876) - (BE$11 * $N44)) * 0.25,
    0
)</f>
        <v>0</v>
      </c>
      <c r="BF44" s="36" cm="1">
        <f t="array" ref="BF44">IF(
    AND($H44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($H44 / 1000) * BF$10 * $BN$4 * 0.25
    ),
    0
)
+
IF(
    $N44 &lt; 0.875,
    MAX(0, MIN(($H44 / 1000) * BF$10 * $BN$4, BF$11 * 0.876) - (BF$11 * $N44)) * 0.25,
    0
)</f>
        <v>0</v>
      </c>
      <c r="BG44" s="8">
        <f>AVERAGE(TabellaMar2026[[#This Row],[Colonna55]:[Colonna53]])</f>
        <v>0</v>
      </c>
      <c r="BH44" s="8">
        <f>MAX(TabellaMar2026[[#This Row],[Colonna55]:[Colonna53]])</f>
        <v>0</v>
      </c>
      <c r="BI44" s="35">
        <f>MIN(TabellaMar2026[[#This Row],[Colonna55]:[Colonna53]])</f>
        <v>0</v>
      </c>
      <c r="BJ44" s="48">
        <f>SUM(TabellaMar2026[[#This Row],[Colonna54]:[Colonna53]])</f>
        <v>0</v>
      </c>
      <c r="BK44" s="54">
        <f>(SUM(Tabella01MarzoInverter[[Active power TX1-INV-1]:[Active power TX3-INV-12]]) * 0.25) / (12625 * (SUM($G$15:$H$110) * 0.25 / 1000))</f>
        <v>1.014229628761051</v>
      </c>
      <c r="BL44" s="5"/>
      <c r="BM44" s="5"/>
      <c r="BN44" s="8"/>
      <c r="BO44" s="8"/>
      <c r="BP44" s="19"/>
    </row>
    <row r="45" spans="1:68" x14ac:dyDescent="0.25">
      <c r="A45" s="18">
        <v>46147</v>
      </c>
      <c r="B45" t="s">
        <v>45</v>
      </c>
      <c r="C45" s="5">
        <v>73.400000000000006</v>
      </c>
      <c r="D45" s="6">
        <v>1.8350000000000002E-2</v>
      </c>
      <c r="E45" s="6">
        <v>72</v>
      </c>
      <c r="F45" s="6">
        <v>1.7999999999999999E-2</v>
      </c>
      <c r="G45" s="6">
        <f>IFERROR((D45+F45)/2, 0)</f>
        <v>1.8175E-2</v>
      </c>
      <c r="H45" s="7">
        <f>IFERROR(IF(AVERAGE(C45,E45)&gt;$BN$7,AVERAGE(C45,E45),0), 0)</f>
        <v>72.7</v>
      </c>
      <c r="I45" s="7">
        <f>IFERROR(IF(AND(D45=0,F45=0),0,IF(H45&gt;$BN$6,MAX(D45,F45),G45)), 0)</f>
        <v>1.8350000000000002E-2</v>
      </c>
      <c r="J45" s="6">
        <f>IFERROR(IF(AND(D45&gt;0,F45&gt;0),ABS(D45-F45)/AVERAGE(D45,F45),0), 0)</f>
        <v>1.9257221458046939E-2</v>
      </c>
      <c r="K45" s="6">
        <v>30386.6</v>
      </c>
      <c r="L45" s="6">
        <v>30386.9</v>
      </c>
      <c r="M45" s="8">
        <f>IFERROR((L45-K45)*1000, 0)</f>
        <v>300.00000000291038</v>
      </c>
      <c r="N45" s="6">
        <v>0.87599999999999989</v>
      </c>
      <c r="O45" s="8" cm="1">
        <f t="array" ref="O45">IF(
    AND($H45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($H45 / 1000) * O$10 * $BN$4 * 0.25
    ),
    0
)
+
IF(
    $N45 &lt; 0.875,
    MAX(0, MIN(($H45 / 1000) * O$10 * $BN$4, O$11 * 0.876) - (O$11 * $N45)) * 0.25,
    0
)</f>
        <v>0</v>
      </c>
      <c r="P45" s="8" cm="1">
        <f t="array" ref="P45">IF(
    AND($H45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($H45 / 1000) * P$10 * $BN$4 * 0.25
    ),
    0
)
+
IF(
    $N45 &lt; 0.875,
    MAX(0, MIN(($H45 / 1000) * P$10 * $BN$4, P$11 * 0.876) - (P$11 * $N45)) * 0.25,
    0
)</f>
        <v>0</v>
      </c>
      <c r="Q45" s="8" cm="1">
        <f t="array" ref="Q45">IF(
    AND($H45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($H45 / 1000) * Q$10 * $BN$4 * 0.25
    ),
    0
)
+
IF(
    $N45 &lt; 0.875,
    MAX(0, MIN(($H45 / 1000) * Q$10 * $BN$4, Q$11 * 0.876) - (Q$11 * $N45)) * 0.25,
    0
)</f>
        <v>0</v>
      </c>
      <c r="R45" s="8" cm="1">
        <f t="array" ref="R45">IF(
    AND($H45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($H45 / 1000) * R$10 * $BN$4 * 0.25
    ),
    0
)
+
IF(
    $N45 &lt; 0.875,
    MAX(0, MIN(($H45 / 1000) * R$10 * $BN$4, R$11 * 0.876) - (R$11 * $N45)) * 0.25,
    0
)</f>
        <v>0</v>
      </c>
      <c r="S45" s="8" cm="1">
        <f t="array" ref="S45">IF(
    AND($H45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($H45 / 1000) * S$10 * $BN$4 * 0.25
    ),
    0
)
+
IF(
    $N45 &lt; 0.875,
    MAX(0, MIN(($H45 / 1000) * S$10 * $BN$4, S$11 * 0.876) - (S$11 * $N45)) * 0.25,
    0
)</f>
        <v>0</v>
      </c>
      <c r="T45" s="8" cm="1">
        <f t="array" ref="T45">IF(
    AND($H45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($H45 / 1000) * T$10 * $BN$4 * 0.25
    ),
    0
)
+
IF(
    $N45 &lt; 0.875,
    MAX(0, MIN(($H45 / 1000) * T$10 * $BN$4, T$11 * 0.876) - (T$11 * $N45)) * 0.25,
    0
)</f>
        <v>0</v>
      </c>
      <c r="U45" s="8" cm="1">
        <f t="array" ref="U45">IF(
    AND($H45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($H45 / 1000) * U$10 * $BN$4 * 0.25
    ),
    0
)
+
IF(
    $N45 &lt; 0.875,
    MAX(0, MIN(($H45 / 1000) * U$10 * $BN$4, U$11 * 0.876) - (U$11 * $N45)) * 0.25,
    0
)</f>
        <v>0</v>
      </c>
      <c r="V45" s="8" cm="1">
        <f t="array" ref="V45">IF(
    AND($H45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($H45 / 1000) * V$10 * $BN$4 * 0.25
    ),
    0
)
+
IF(
    $N45 &lt; 0.875,
    MAX(0, MIN(($H45 / 1000) * V$10 * $BN$4, V$11 * 0.876) - (V$11 * $N45)) * 0.25,
    0
)</f>
        <v>0</v>
      </c>
      <c r="W45" s="8" cm="1">
        <f t="array" ref="W45">IF(
    AND($H45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($H45 / 1000) * W$10 * $BN$4 * 0.25
    ),
    0
)
+
IF(
    $N45 &lt; 0.875,
    MAX(0, MIN(($H45 / 1000) * W$10 * $BN$4, W$11 * 0.876) - (W$11 * $N45)) * 0.25,
    0
)</f>
        <v>0</v>
      </c>
      <c r="X45" s="8" cm="1">
        <f t="array" ref="X45">IF(
    AND($H45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($H45 / 1000) * X$10 * $BN$4 * 0.25
    ),
    0
)
+
IF(
    $N45 &lt; 0.875,
    MAX(0, MIN(($H45 / 1000) * X$10 * $BN$4, X$11 * 0.876) - (X$11 * $N45)) * 0.25,
    0
)</f>
        <v>0</v>
      </c>
      <c r="Y45" s="8" cm="1">
        <f t="array" ref="Y45">IF(
    AND($H45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($H45 / 1000) * Y$10 * $BN$4 * 0.25
    ),
    0
)
+
IF(
    $N45 &lt; 0.875,
    MAX(0, MIN(($H45 / 1000) * Y$10 * $BN$4, Y$11 * 0.876) - (Y$11 * $N45)) * 0.25,
    0
)</f>
        <v>0</v>
      </c>
      <c r="Z45" s="8" cm="1">
        <f t="array" ref="Z45">IF(
    AND($H45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($H45 / 1000) * Z$10 * $BN$4 * 0.25
    ),
    0
)
+
IF(
    $N45 &lt; 0.875,
    MAX(0, MIN(($H45 / 1000) * Z$10 * $BN$4, Z$11 * 0.876) - (Z$11 * $N45)) * 0.25,
    0
)</f>
        <v>0</v>
      </c>
      <c r="AA45" s="8">
        <f>AVERAGE(TabellaMar2026[[#This Row],[Colonna24]:[Colonna20]])</f>
        <v>0</v>
      </c>
      <c r="AB45" s="8">
        <f>MAX(TabellaMar2026[[#This Row],[Colonna24]:[Colonna20]])</f>
        <v>0</v>
      </c>
      <c r="AC45" s="35">
        <f>MIN(TabellaMar2026[[#This Row],[Colonna24]:[Colonna20]])</f>
        <v>0</v>
      </c>
      <c r="AD45" s="44">
        <f>SUM(TabellaMar2026[[#This Row],[Colonna24]:[Colonna20]])</f>
        <v>0</v>
      </c>
      <c r="AE45" s="36">
        <f>IF(
    AND($H45 &gt; $BN$7, Tabella01MarzoInverter[[#This Row],[Active power TX2-INV-1]] &lt;= 0, Tabella01MarzoInverter[[#This Row],[TX2 - Average Power]] &lt;= 0),
    MIN(($H45 / 1000) * AE$10 * $BN$4, AE$11 * 0.876) * 0.25,
    IF(
        AND($H45 &gt; $BN$7, Tabella01MarzoInverter[[#This Row],[Active power TX2-INV-1]] &lt;= 0),
        Tabella01MarzoInverter[[#This Row],[TX2 - Average Power]] * 0.25,
        0
    )
    +
    IF(
        $N45 &lt; 0.875,
        MAX(0, MIN(($H45 / 1000) * AE$10 * $BN$4, AE$11 * 0.876) - (AE$11 * $N45)) * 0.25,
        0
    )
)</f>
        <v>0</v>
      </c>
      <c r="AF45" s="36">
        <f>IF(
    AND($H45 &gt; $BN$7, Tabella01MarzoInverter[[#This Row],[Active power TX2-INV-2]] &lt;= 0, Tabella01MarzoInverter[[#This Row],[TX2 - Max Power]] &lt;= 0),
    MIN(($H45 / 1000) * AF$10 * $BN$4, AF$11 * 0.876) * 0.25,
    IF(
        AND($H45 &gt; $BN$7, Tabella01MarzoInverter[[#This Row],[Active power TX2-INV-2]] &lt;= 0),
        Tabella01MarzoInverter[[#This Row],[TX2 - Max Power]] * 0.25,
        0
    )
    +
    IF(
        $N45 &lt; 0.875,
        MAX(0, MIN(($H45 / 1000) * AF$10 * $BN$4, AF$11 * 0.876) - (AF$11 * $N45)) * 0.25,
        0
    )
)</f>
        <v>0</v>
      </c>
      <c r="AG45" s="36">
        <f>IF(
    AND($H45 &gt; $BN$7, Tabella01MarzoInverter[[#This Row],[Active power TX2-INV-3]] &lt;= 0, Tabella01MarzoInverter[[#This Row],[TX2 - Min Power]] &lt;= 0),
    MIN(($H45 / 1000) * AG$10 * $BN$4, AG$11 * 0.876) * 0.25,
    IF(
        AND($H45 &gt; $BN$7, Tabella01MarzoInverter[[#This Row],[Active power TX2-INV-3]] &lt;= 0),
        Tabella01MarzoInverter[[#This Row],[TX2 - Min Power]] * 0.25,
        0
    )
    +
    IF(
        $N45 &lt; 0.875,
        MAX(0, MIN(($H45 / 1000) * AG$10 * $BN$4, AG$11 * 0.876) - (AG$11 * $N45)) * 0.25,
        0
    )
)</f>
        <v>0</v>
      </c>
      <c r="AH45" s="36">
        <f>IF(
    AND($H45 &gt; $BN$7, Tabella01MarzoInverter[[#This Row],[Active power TX2-INV-4]] &lt;= 0, Tabella01MarzoInverter[[#This Row],[Active power TX3-INV-1]] &lt;= 0),
    MIN(($H45 / 1000) * AH$10 * $BN$4, AH$11 * 0.876) * 0.25,
    IF(
        AND($H45 &gt; $BN$7, Tabella01MarzoInverter[[#This Row],[Active power TX2-INV-4]] &lt;= 0),
        Tabella01MarzoInverter[[#This Row],[Active power TX3-INV-1]] * 0.25,
        0
    )
    +
    IF(
        $N45 &lt; 0.875,
        MAX(0, MIN(($H45 / 1000) * AH$10 * $BN$4, AH$11 * 0.876) - (AH$11 * $N45)) * 0.25,
        0
    )
)</f>
        <v>0</v>
      </c>
      <c r="AI45" s="36">
        <f>IF(
    AND($H45 &gt; $BN$7, Tabella01MarzoInverter[[#This Row],[Active power TX2-INV-5]] &lt;= 0, Tabella01MarzoInverter[[#This Row],[Active power TX3-INV-2]] &lt;= 0),
    MIN(($H45 / 1000) * AI$10 * $BN$4, AI$11 * 0.876) * 0.25,
    IF(
        AND($H45 &gt; $BN$7, Tabella01MarzoInverter[[#This Row],[Active power TX2-INV-5]] &lt;= 0),
        Tabella01MarzoInverter[[#This Row],[Active power TX3-INV-2]] * 0.25,
        0
    )
    +
    IF(
        $N45 &lt; 0.875,
        MAX(0, MIN(($H45 / 1000) * AI$10 * $BN$4, AI$11 * 0.876) - (AI$11 * $N45)) * 0.25,
        0
    )
)</f>
        <v>0</v>
      </c>
      <c r="AJ45" s="36">
        <f>IF(
    AND($H45 &gt; $BN$7, Tabella01MarzoInverter[[#This Row],[Active power TX2-INV-6]] &lt;= 0, Tabella01MarzoInverter[[#This Row],[Active power TX3-INV-3]] &lt;= 0),
    MIN(($H45 / 1000) * AJ$10 * $BN$4, AJ$11 * 0.876) * 0.25,
    IF(
        AND($H45 &gt; $BN$7, Tabella01MarzoInverter[[#This Row],[Active power TX2-INV-6]] &lt;= 0),
        Tabella01MarzoInverter[[#This Row],[Active power TX3-INV-3]] * 0.25,
        0
    )
    +
    IF(
        $N45 &lt; 0.875,
        MAX(0, MIN(($H45 / 1000) * AJ$10 * $BN$4, AJ$11 * 0.876) - (AJ$11 * $N45)) * 0.25,
        0
    )
)</f>
        <v>0</v>
      </c>
      <c r="AK45" s="36">
        <f>IF(
    AND($H45 &gt; $BN$7, Tabella01MarzoInverter[[#This Row],[Active power TX2-INV-7]] &lt;= 0, Tabella01MarzoInverter[[#This Row],[Active power TX3-INV-4]] &lt;= 0),
    MIN(($H45 / 1000) * AK$10 * $BN$4, AK$11 * 0.876) * 0.25,
    IF(
        AND($H45 &gt; $BN$7, Tabella01MarzoInverter[[#This Row],[Active power TX2-INV-7]] &lt;= 0),
        Tabella01MarzoInverter[[#This Row],[Active power TX3-INV-4]] * 0.25,
        0
    )
    +
    IF(
        $N45 &lt; 0.875,
        MAX(0, MIN(($H45 / 1000) * AK$10 * $BN$4, AK$11 * 0.876) - (AK$11 * $N45)) * 0.25,
        0
    )
)</f>
        <v>0</v>
      </c>
      <c r="AL45" s="36">
        <f>IF(
    AND($H45 &gt; $BN$7, Tabella01MarzoInverter[[#This Row],[Active power TX2-INV-8]] &lt;= 0, Tabella01MarzoInverter[[#This Row],[Active power TX3-INV-5]] &lt;= 0),
    MIN(($H45 / 1000) * AL$10 * $BN$4, AL$11 * 0.876) * 0.25,
    IF(
        AND($H45 &gt; $BN$7, Tabella01MarzoInverter[[#This Row],[Active power TX2-INV-8]] &lt;= 0),
        Tabella01MarzoInverter[[#This Row],[Active power TX3-INV-5]] * 0.25,
        0
    )
    +
    IF(
        $N45 &lt; 0.875,
        MAX(0, MIN(($H45 / 1000) * AL$10 * $BN$4, AL$11 * 0.876) - (AL$11 * $N45)) * 0.25,
        0
    )
)</f>
        <v>0</v>
      </c>
      <c r="AM45" s="36">
        <f>IF(
    AND($H45 &gt; $BN$7, Tabella01MarzoInverter[[#This Row],[Active power TX2-INV-9]] &lt;= 0, Tabella01MarzoInverter[[#This Row],[Active power TX3-INV-6]] &lt;= 0),
    MIN(($H45 / 1000) * AM$10 * $BN$4, AM$11 * 0.876) * 0.25,
    IF(
        AND($H45 &gt; $BN$7, Tabella01MarzoInverter[[#This Row],[Active power TX2-INV-9]] &lt;= 0),
        Tabella01MarzoInverter[[#This Row],[Active power TX3-INV-6]] * 0.25,
        0
    )
    +
    IF(
        $N45 &lt; 0.875,
        MAX(0, MIN(($H45 / 1000) * AM$10 * $BN$4, AM$11 * 0.876) - (AM$11 * $N45)) * 0.25,
        0
    )
)</f>
        <v>0</v>
      </c>
      <c r="AN45" s="36">
        <f>IF(
    AND($H45 &gt; $BN$7, Tabella01MarzoInverter[[#This Row],[Active power TX2-INV-10]] &lt;= 0, Tabella01MarzoInverter[[#This Row],[Active power TX3-INV-7]] &lt;= 0),
    MIN(($H45 / 1000) * AN$10 * $BN$4, AN$11 * 0.876) * 0.25,
    IF(
        AND($H45 &gt; $BN$7, Tabella01MarzoInverter[[#This Row],[Active power TX2-INV-10]] &lt;= 0),
        Tabella01MarzoInverter[[#This Row],[Active power TX3-INV-7]] * 0.25,
        0
    )
    +
    IF(
        $N45 &lt; 0.875,
        MAX(0, MIN(($H45 / 1000) * AN$10 * $BN$4, AN$11 * 0.876) - (AN$11 * $N45)) * 0.25,
        0
    )
)</f>
        <v>0</v>
      </c>
      <c r="AO45" s="36">
        <f>IF(
    AND($H45 &gt; $BN$7, Tabella01MarzoInverter[[#This Row],[Active power TX2-INV-11]] &lt;= 0, Tabella01MarzoInverter[[#This Row],[Active power TX3-INV-8]] &lt;= 0),
    MIN(($H45 / 1000) * AO$10 * $BN$4, AO$11 * 0.876) * 0.25,
    IF(
        AND($H45 &gt; $BN$7, Tabella01MarzoInverter[[#This Row],[Active power TX2-INV-11]] &lt;= 0),
        Tabella01MarzoInverter[[#This Row],[Active power TX3-INV-8]] * 0.25,
        0
    )
    +
    IF(
        $N45 &lt; 0.875,
        MAX(0, MIN(($H45 / 1000) * AO$10 * $BN$4, AO$11 * 0.876) - (AO$11 * $N45)) * 0.25,
        0
    )
)</f>
        <v>0</v>
      </c>
      <c r="AP45" s="36">
        <f>IF(
    AND($H45 &gt; $BN$7, Tabella01MarzoInverter[[#This Row],[Active power TX2-INV-12]] &lt;= 0, Tabella01MarzoInverter[[#This Row],[Active power TX3-INV-9]] &lt;= 0),
    MIN(($H45 / 1000) * AP$10 * $BN$4, AP$11 * 0.876) * 0.25,
    IF(
        AND($H45 &gt; $BN$7, Tabella01MarzoInverter[[#This Row],[Active power TX2-INV-12]] &lt;= 0),
        Tabella01MarzoInverter[[#This Row],[Active power TX3-INV-9]] * 0.25,
        0
    )
    +
    IF(
        $N45 &lt; 0.875,
        MAX(0, MIN(($H45 / 1000) * AP$10 * $BN$4, AP$11 * 0.876) - (AP$11 * $N45)) * 0.25,
        0
    )
)</f>
        <v>0</v>
      </c>
      <c r="AQ45" s="8">
        <f>AVERAGE(TabellaMar2026[[#This Row],[Colonna39]:[Colonna6]])</f>
        <v>0</v>
      </c>
      <c r="AR45" s="8">
        <f>MAX(TabellaMar2026[[#This Row],[Colonna39]:[Colonna6]])</f>
        <v>0</v>
      </c>
      <c r="AS45" s="35">
        <f>MIN(TabellaMar2026[[#This Row],[Colonna39]:[Colonna6]])</f>
        <v>0</v>
      </c>
      <c r="AT45" s="48">
        <f>SUM(TabellaMar2026[[#This Row],[Colonna39]:[Colonna6]])</f>
        <v>0</v>
      </c>
      <c r="AU45" s="36" cm="1">
        <f t="array" ref="AU45">IF(
    AND($H45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($H45 / 1000) * AU$10 * $BN$4 * 0.25
    ),
    0
)
+
IF(
    $N45 &lt; 0.875,
    MAX(0, MIN(($H45 / 1000) * AU$10 * $BN$4, AU$11 * 0.876) - (AU$11 * $N45)) * 0.25,
    0
)</f>
        <v>0</v>
      </c>
      <c r="AV45" s="36" cm="1">
        <f t="array" ref="AV45">IF(
    AND($H45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($H45 / 1000) * AV$10 * $BN$4 * 0.25
    ),
    0
)
+
IF(
    $N45 &lt; 0.875,
    MAX(0, MIN(($H45 / 1000) * AV$10 * $BN$4, AV$11 * 0.876) - (AV$11 * $N45)) * 0.25,
    0
)</f>
        <v>0</v>
      </c>
      <c r="AW45" s="36" cm="1">
        <f t="array" ref="AW45">IF(
    AND($H45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($H45 / 1000) * AW$10 * $BN$4 * 0.25
    ),
    0
)
+
IF(
    $N45 &lt; 0.875,
    MAX(0, MIN(($H45 / 1000) * AW$10 * $BN$4, AW$11 * 0.876) - (AW$11 * $N45)) * 0.25,
    0
)</f>
        <v>0</v>
      </c>
      <c r="AX45" s="36" cm="1">
        <f t="array" ref="AX45">IF(
    AND($H45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($H45 / 1000) * AX$10 * $BN$4 * 0.25
    ),
    0
)
+
IF(
    $N45 &lt; 0.875,
    MAX(0, MIN(($H45 / 1000) * AX$10 * $BN$4, AX$11 * 0.876) - (AX$11 * $N45)) * 0.25,
    0
)</f>
        <v>0</v>
      </c>
      <c r="AY45" s="36" cm="1">
        <f t="array" ref="AY45">IF(
    AND($H45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($H45 / 1000) * AY$10 * $BN$4 * 0.25
    ),
    0
)
+
IF(
    $N45 &lt; 0.875,
    MAX(0, MIN(($H45 / 1000) * AY$10 * $BN$4, AY$11 * 0.876) - (AY$11 * $N45)) * 0.25,
    0
)</f>
        <v>0</v>
      </c>
      <c r="AZ45" s="36" cm="1">
        <f t="array" ref="AZ45">IF(
    AND($H45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($H45 / 1000) * AZ$10 * $BN$4 * 0.25
    ),
    0
)
+
IF(
    $N45 &lt; 0.875,
    MAX(0, MIN(($H45 / 1000) * AZ$10 * $BN$4, AZ$11 * 0.876) - (AZ$11 * $N45)) * 0.25,
    0
)</f>
        <v>0</v>
      </c>
      <c r="BA45" s="36" cm="1">
        <f t="array" ref="BA45">IF(
    AND($H45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($H45 / 1000) * BA$10 * $BN$4 * 0.25
    ),
    0
)
+
IF(
    $N45 &lt; 0.875,
    MAX(0, MIN(($H45 / 1000) * BA$10 * $BN$4, BA$11 * 0.876) - (BA$11 * $N45)) * 0.25,
    0
)</f>
        <v>0</v>
      </c>
      <c r="BB45" s="36" cm="1">
        <f t="array" ref="BB45">IF(
    AND($H45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($H45 / 1000) * BB$10 * $BN$4 * 0.25
    ),
    0
)
+
IF(
    $N45 &lt; 0.875,
    MAX(0, MIN(($H45 / 1000) * BB$10 * $BN$4, BB$11 * 0.876) - (BB$11 * $N45)) * 0.25,
    0
)</f>
        <v>0</v>
      </c>
      <c r="BC45" s="36" cm="1">
        <f t="array" ref="BC45">IF(
    AND($H45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($H45 / 1000) * BC$10 * $BN$4 * 0.25
    ),
    0
)
+
IF(
    $N45 &lt; 0.875,
    MAX(0, MIN(($H45 / 1000) * BC$10 * $BN$4, BC$11 * 0.876) - (BC$11 * $N45)) * 0.25,
    0
)</f>
        <v>0</v>
      </c>
      <c r="BD45" s="36" cm="1">
        <f t="array" ref="BD45">IF(
    AND($H45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($H45 / 1000) * BD$10 * $BN$4 * 0.25
    ),
    0
)
+
IF(
    $N45 &lt; 0.875,
    MAX(0, MIN(($H45 / 1000) * BD$10 * $BN$4, BD$11 * 0.876) - (BD$11 * $N45)) * 0.25,
    0
)</f>
        <v>0</v>
      </c>
      <c r="BE45" s="36" cm="1">
        <f t="array" ref="BE45">IF(
    AND($H45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($H45 / 1000) * BE$10 * $BN$4 * 0.25
    ),
    0
)
+
IF(
    $N45 &lt; 0.875,
    MAX(0, MIN(($H45 / 1000) * BE$10 * $BN$4, BE$11 * 0.876) - (BE$11 * $N45)) * 0.25,
    0
)</f>
        <v>0</v>
      </c>
      <c r="BF45" s="36" cm="1">
        <f t="array" ref="BF45">IF(
    AND($H45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($H45 / 1000) * BF$10 * $BN$4 * 0.25
    ),
    0
)
+
IF(
    $N45 &lt; 0.875,
    MAX(0, MIN(($H45 / 1000) * BF$10 * $BN$4, BF$11 * 0.876) - (BF$11 * $N45)) * 0.25,
    0
)</f>
        <v>0</v>
      </c>
      <c r="BG45" s="8">
        <f>AVERAGE(TabellaMar2026[[#This Row],[Colonna55]:[Colonna53]])</f>
        <v>0</v>
      </c>
      <c r="BH45" s="8">
        <f>MAX(TabellaMar2026[[#This Row],[Colonna55]:[Colonna53]])</f>
        <v>0</v>
      </c>
      <c r="BI45" s="35">
        <f>MIN(TabellaMar2026[[#This Row],[Colonna55]:[Colonna53]])</f>
        <v>0</v>
      </c>
      <c r="BJ45" s="48">
        <f>SUM(TabellaMar2026[[#This Row],[Colonna54]:[Colonna53]])</f>
        <v>0</v>
      </c>
      <c r="BK45" s="54">
        <f>(SUM(Tabella01MarzoInverter[[Active power TX1-INV-1]:[Active power TX3-INV-12]]) * 0.25) / (12625 * (SUM($G$15:$H$110) * 0.25 / 1000))</f>
        <v>1.014229628761051</v>
      </c>
      <c r="BL45" s="5"/>
      <c r="BM45" s="5"/>
      <c r="BN45" s="8"/>
      <c r="BO45" s="8"/>
      <c r="BP45" s="19"/>
    </row>
    <row r="46" spans="1:68" x14ac:dyDescent="0.25">
      <c r="A46" s="18">
        <v>46147</v>
      </c>
      <c r="B46" t="s">
        <v>46</v>
      </c>
      <c r="C46" s="5">
        <v>28.7</v>
      </c>
      <c r="D46" s="6">
        <v>7.175E-3</v>
      </c>
      <c r="E46" s="6">
        <v>28.5</v>
      </c>
      <c r="F46" s="6">
        <v>7.1250000000000003E-3</v>
      </c>
      <c r="G46" s="6">
        <f>IFERROR((D46+F46)/2, 0)</f>
        <v>7.1500000000000001E-3</v>
      </c>
      <c r="H46" s="7">
        <f>IFERROR(IF(AVERAGE(C46,E46)&gt;$BN$7,AVERAGE(C46,E46),0), 0)</f>
        <v>0</v>
      </c>
      <c r="I46" s="7">
        <f>IFERROR(IF(AND(D46=0,F46=0),0,IF(H46&gt;$BN$6,MAX(D46,F46),G46)), 0)</f>
        <v>7.1500000000000001E-3</v>
      </c>
      <c r="J46" s="6">
        <f>IFERROR(IF(AND(D46&gt;0,F46&gt;0),ABS(D46-F46)/AVERAGE(D46,F46),0), 0)</f>
        <v>6.9930069930069505E-3</v>
      </c>
      <c r="K46" s="6">
        <v>30386.9</v>
      </c>
      <c r="L46" s="6">
        <v>30387.1</v>
      </c>
      <c r="M46" s="8">
        <f>IFERROR((L46-K46)*1000, 0)</f>
        <v>199.99999999708962</v>
      </c>
      <c r="N46" s="6">
        <v>0.87599999999999989</v>
      </c>
      <c r="O46" s="8" cm="1">
        <f t="array" ref="O46">IF(
    AND($H46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($H46 / 1000) * O$10 * $BN$4 * 0.25
    ),
    0
)
+
IF(
    $N46 &lt; 0.875,
    MAX(0, MIN(($H46 / 1000) * O$10 * $BN$4, O$11 * 0.876) - (O$11 * $N46)) * 0.25,
    0
)</f>
        <v>0</v>
      </c>
      <c r="P46" s="8" cm="1">
        <f t="array" ref="P46">IF(
    AND($H46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($H46 / 1000) * P$10 * $BN$4 * 0.25
    ),
    0
)
+
IF(
    $N46 &lt; 0.875,
    MAX(0, MIN(($H46 / 1000) * P$10 * $BN$4, P$11 * 0.876) - (P$11 * $N46)) * 0.25,
    0
)</f>
        <v>0</v>
      </c>
      <c r="Q46" s="8" cm="1">
        <f t="array" ref="Q46">IF(
    AND($H46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($H46 / 1000) * Q$10 * $BN$4 * 0.25
    ),
    0
)
+
IF(
    $N46 &lt; 0.875,
    MAX(0, MIN(($H46 / 1000) * Q$10 * $BN$4, Q$11 * 0.876) - (Q$11 * $N46)) * 0.25,
    0
)</f>
        <v>0</v>
      </c>
      <c r="R46" s="8" cm="1">
        <f t="array" ref="R46">IF(
    AND($H46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($H46 / 1000) * R$10 * $BN$4 * 0.25
    ),
    0
)
+
IF(
    $N46 &lt; 0.875,
    MAX(0, MIN(($H46 / 1000) * R$10 * $BN$4, R$11 * 0.876) - (R$11 * $N46)) * 0.25,
    0
)</f>
        <v>0</v>
      </c>
      <c r="S46" s="8" cm="1">
        <f t="array" ref="S46">IF(
    AND($H46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($H46 / 1000) * S$10 * $BN$4 * 0.25
    ),
    0
)
+
IF(
    $N46 &lt; 0.875,
    MAX(0, MIN(($H46 / 1000) * S$10 * $BN$4, S$11 * 0.876) - (S$11 * $N46)) * 0.25,
    0
)</f>
        <v>0</v>
      </c>
      <c r="T46" s="8" cm="1">
        <f t="array" ref="T46">IF(
    AND($H46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($H46 / 1000) * T$10 * $BN$4 * 0.25
    ),
    0
)
+
IF(
    $N46 &lt; 0.875,
    MAX(0, MIN(($H46 / 1000) * T$10 * $BN$4, T$11 * 0.876) - (T$11 * $N46)) * 0.25,
    0
)</f>
        <v>0</v>
      </c>
      <c r="U46" s="8" cm="1">
        <f t="array" ref="U46">IF(
    AND($H46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($H46 / 1000) * U$10 * $BN$4 * 0.25
    ),
    0
)
+
IF(
    $N46 &lt; 0.875,
    MAX(0, MIN(($H46 / 1000) * U$10 * $BN$4, U$11 * 0.876) - (U$11 * $N46)) * 0.25,
    0
)</f>
        <v>0</v>
      </c>
      <c r="V46" s="8" cm="1">
        <f t="array" ref="V46">IF(
    AND($H46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($H46 / 1000) * V$10 * $BN$4 * 0.25
    ),
    0
)
+
IF(
    $N46 &lt; 0.875,
    MAX(0, MIN(($H46 / 1000) * V$10 * $BN$4, V$11 * 0.876) - (V$11 * $N46)) * 0.25,
    0
)</f>
        <v>0</v>
      </c>
      <c r="W46" s="8" cm="1">
        <f t="array" ref="W46">IF(
    AND($H46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($H46 / 1000) * W$10 * $BN$4 * 0.25
    ),
    0
)
+
IF(
    $N46 &lt; 0.875,
    MAX(0, MIN(($H46 / 1000) * W$10 * $BN$4, W$11 * 0.876) - (W$11 * $N46)) * 0.25,
    0
)</f>
        <v>0</v>
      </c>
      <c r="X46" s="8" cm="1">
        <f t="array" ref="X46">IF(
    AND($H46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($H46 / 1000) * X$10 * $BN$4 * 0.25
    ),
    0
)
+
IF(
    $N46 &lt; 0.875,
    MAX(0, MIN(($H46 / 1000) * X$10 * $BN$4, X$11 * 0.876) - (X$11 * $N46)) * 0.25,
    0
)</f>
        <v>0</v>
      </c>
      <c r="Y46" s="8" cm="1">
        <f t="array" ref="Y46">IF(
    AND($H46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($H46 / 1000) * Y$10 * $BN$4 * 0.25
    ),
    0
)
+
IF(
    $N46 &lt; 0.875,
    MAX(0, MIN(($H46 / 1000) * Y$10 * $BN$4, Y$11 * 0.876) - (Y$11 * $N46)) * 0.25,
    0
)</f>
        <v>0</v>
      </c>
      <c r="Z46" s="8" cm="1">
        <f t="array" ref="Z46">IF(
    AND($H46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($H46 / 1000) * Z$10 * $BN$4 * 0.25
    ),
    0
)
+
IF(
    $N46 &lt; 0.875,
    MAX(0, MIN(($H46 / 1000) * Z$10 * $BN$4, Z$11 * 0.876) - (Z$11 * $N46)) * 0.25,
    0
)</f>
        <v>0</v>
      </c>
      <c r="AA46" s="8">
        <f>AVERAGE(TabellaMar2026[[#This Row],[Colonna24]:[Colonna20]])</f>
        <v>0</v>
      </c>
      <c r="AB46" s="8">
        <f>MAX(TabellaMar2026[[#This Row],[Colonna24]:[Colonna20]])</f>
        <v>0</v>
      </c>
      <c r="AC46" s="35">
        <f>MIN(TabellaMar2026[[#This Row],[Colonna24]:[Colonna20]])</f>
        <v>0</v>
      </c>
      <c r="AD46" s="44">
        <f>SUM(TabellaMar2026[[#This Row],[Colonna24]:[Colonna20]])</f>
        <v>0</v>
      </c>
      <c r="AE46" s="36">
        <f>IF(
    AND($H46 &gt; $BN$7, Tabella01MarzoInverter[[#This Row],[Active power TX2-INV-1]] &lt;= 0, Tabella01MarzoInverter[[#This Row],[TX2 - Average Power]] &lt;= 0),
    MIN(($H46 / 1000) * AE$10 * $BN$4, AE$11 * 0.876) * 0.25,
    IF(
        AND($H46 &gt; $BN$7, Tabella01MarzoInverter[[#This Row],[Active power TX2-INV-1]] &lt;= 0),
        Tabella01MarzoInverter[[#This Row],[TX2 - Average Power]] * 0.25,
        0
    )
    +
    IF(
        $N46 &lt; 0.875,
        MAX(0, MIN(($H46 / 1000) * AE$10 * $BN$4, AE$11 * 0.876) - (AE$11 * $N46)) * 0.25,
        0
    )
)</f>
        <v>0</v>
      </c>
      <c r="AF46" s="36">
        <f>IF(
    AND($H46 &gt; $BN$7, Tabella01MarzoInverter[[#This Row],[Active power TX2-INV-2]] &lt;= 0, Tabella01MarzoInverter[[#This Row],[TX2 - Max Power]] &lt;= 0),
    MIN(($H46 / 1000) * AF$10 * $BN$4, AF$11 * 0.876) * 0.25,
    IF(
        AND($H46 &gt; $BN$7, Tabella01MarzoInverter[[#This Row],[Active power TX2-INV-2]] &lt;= 0),
        Tabella01MarzoInverter[[#This Row],[TX2 - Max Power]] * 0.25,
        0
    )
    +
    IF(
        $N46 &lt; 0.875,
        MAX(0, MIN(($H46 / 1000) * AF$10 * $BN$4, AF$11 * 0.876) - (AF$11 * $N46)) * 0.25,
        0
    )
)</f>
        <v>0</v>
      </c>
      <c r="AG46" s="36">
        <f>IF(
    AND($H46 &gt; $BN$7, Tabella01MarzoInverter[[#This Row],[Active power TX2-INV-3]] &lt;= 0, Tabella01MarzoInverter[[#This Row],[TX2 - Min Power]] &lt;= 0),
    MIN(($H46 / 1000) * AG$10 * $BN$4, AG$11 * 0.876) * 0.25,
    IF(
        AND($H46 &gt; $BN$7, Tabella01MarzoInverter[[#This Row],[Active power TX2-INV-3]] &lt;= 0),
        Tabella01MarzoInverter[[#This Row],[TX2 - Min Power]] * 0.25,
        0
    )
    +
    IF(
        $N46 &lt; 0.875,
        MAX(0, MIN(($H46 / 1000) * AG$10 * $BN$4, AG$11 * 0.876) - (AG$11 * $N46)) * 0.25,
        0
    )
)</f>
        <v>0</v>
      </c>
      <c r="AH46" s="36">
        <f>IF(
    AND($H46 &gt; $BN$7, Tabella01MarzoInverter[[#This Row],[Active power TX2-INV-4]] &lt;= 0, Tabella01MarzoInverter[[#This Row],[Active power TX3-INV-1]] &lt;= 0),
    MIN(($H46 / 1000) * AH$10 * $BN$4, AH$11 * 0.876) * 0.25,
    IF(
        AND($H46 &gt; $BN$7, Tabella01MarzoInverter[[#This Row],[Active power TX2-INV-4]] &lt;= 0),
        Tabella01MarzoInverter[[#This Row],[Active power TX3-INV-1]] * 0.25,
        0
    )
    +
    IF(
        $N46 &lt; 0.875,
        MAX(0, MIN(($H46 / 1000) * AH$10 * $BN$4, AH$11 * 0.876) - (AH$11 * $N46)) * 0.25,
        0
    )
)</f>
        <v>0</v>
      </c>
      <c r="AI46" s="36">
        <f>IF(
    AND($H46 &gt; $BN$7, Tabella01MarzoInverter[[#This Row],[Active power TX2-INV-5]] &lt;= 0, Tabella01MarzoInverter[[#This Row],[Active power TX3-INV-2]] &lt;= 0),
    MIN(($H46 / 1000) * AI$10 * $BN$4, AI$11 * 0.876) * 0.25,
    IF(
        AND($H46 &gt; $BN$7, Tabella01MarzoInverter[[#This Row],[Active power TX2-INV-5]] &lt;= 0),
        Tabella01MarzoInverter[[#This Row],[Active power TX3-INV-2]] * 0.25,
        0
    )
    +
    IF(
        $N46 &lt; 0.875,
        MAX(0, MIN(($H46 / 1000) * AI$10 * $BN$4, AI$11 * 0.876) - (AI$11 * $N46)) * 0.25,
        0
    )
)</f>
        <v>0</v>
      </c>
      <c r="AJ46" s="36">
        <f>IF(
    AND($H46 &gt; $BN$7, Tabella01MarzoInverter[[#This Row],[Active power TX2-INV-6]] &lt;= 0, Tabella01MarzoInverter[[#This Row],[Active power TX3-INV-3]] &lt;= 0),
    MIN(($H46 / 1000) * AJ$10 * $BN$4, AJ$11 * 0.876) * 0.25,
    IF(
        AND($H46 &gt; $BN$7, Tabella01MarzoInverter[[#This Row],[Active power TX2-INV-6]] &lt;= 0),
        Tabella01MarzoInverter[[#This Row],[Active power TX3-INV-3]] * 0.25,
        0
    )
    +
    IF(
        $N46 &lt; 0.875,
        MAX(0, MIN(($H46 / 1000) * AJ$10 * $BN$4, AJ$11 * 0.876) - (AJ$11 * $N46)) * 0.25,
        0
    )
)</f>
        <v>0</v>
      </c>
      <c r="AK46" s="36">
        <f>IF(
    AND($H46 &gt; $BN$7, Tabella01MarzoInverter[[#This Row],[Active power TX2-INV-7]] &lt;= 0, Tabella01MarzoInverter[[#This Row],[Active power TX3-INV-4]] &lt;= 0),
    MIN(($H46 / 1000) * AK$10 * $BN$4, AK$11 * 0.876) * 0.25,
    IF(
        AND($H46 &gt; $BN$7, Tabella01MarzoInverter[[#This Row],[Active power TX2-INV-7]] &lt;= 0),
        Tabella01MarzoInverter[[#This Row],[Active power TX3-INV-4]] * 0.25,
        0
    )
    +
    IF(
        $N46 &lt; 0.875,
        MAX(0, MIN(($H46 / 1000) * AK$10 * $BN$4, AK$11 * 0.876) - (AK$11 * $N46)) * 0.25,
        0
    )
)</f>
        <v>0</v>
      </c>
      <c r="AL46" s="36">
        <f>IF(
    AND($H46 &gt; $BN$7, Tabella01MarzoInverter[[#This Row],[Active power TX2-INV-8]] &lt;= 0, Tabella01MarzoInverter[[#This Row],[Active power TX3-INV-5]] &lt;= 0),
    MIN(($H46 / 1000) * AL$10 * $BN$4, AL$11 * 0.876) * 0.25,
    IF(
        AND($H46 &gt; $BN$7, Tabella01MarzoInverter[[#This Row],[Active power TX2-INV-8]] &lt;= 0),
        Tabella01MarzoInverter[[#This Row],[Active power TX3-INV-5]] * 0.25,
        0
    )
    +
    IF(
        $N46 &lt; 0.875,
        MAX(0, MIN(($H46 / 1000) * AL$10 * $BN$4, AL$11 * 0.876) - (AL$11 * $N46)) * 0.25,
        0
    )
)</f>
        <v>0</v>
      </c>
      <c r="AM46" s="36">
        <f>IF(
    AND($H46 &gt; $BN$7, Tabella01MarzoInverter[[#This Row],[Active power TX2-INV-9]] &lt;= 0, Tabella01MarzoInverter[[#This Row],[Active power TX3-INV-6]] &lt;= 0),
    MIN(($H46 / 1000) * AM$10 * $BN$4, AM$11 * 0.876) * 0.25,
    IF(
        AND($H46 &gt; $BN$7, Tabella01MarzoInverter[[#This Row],[Active power TX2-INV-9]] &lt;= 0),
        Tabella01MarzoInverter[[#This Row],[Active power TX3-INV-6]] * 0.25,
        0
    )
    +
    IF(
        $N46 &lt; 0.875,
        MAX(0, MIN(($H46 / 1000) * AM$10 * $BN$4, AM$11 * 0.876) - (AM$11 * $N46)) * 0.25,
        0
    )
)</f>
        <v>0</v>
      </c>
      <c r="AN46" s="36">
        <f>IF(
    AND($H46 &gt; $BN$7, Tabella01MarzoInverter[[#This Row],[Active power TX2-INV-10]] &lt;= 0, Tabella01MarzoInverter[[#This Row],[Active power TX3-INV-7]] &lt;= 0),
    MIN(($H46 / 1000) * AN$10 * $BN$4, AN$11 * 0.876) * 0.25,
    IF(
        AND($H46 &gt; $BN$7, Tabella01MarzoInverter[[#This Row],[Active power TX2-INV-10]] &lt;= 0),
        Tabella01MarzoInverter[[#This Row],[Active power TX3-INV-7]] * 0.25,
        0
    )
    +
    IF(
        $N46 &lt; 0.875,
        MAX(0, MIN(($H46 / 1000) * AN$10 * $BN$4, AN$11 * 0.876) - (AN$11 * $N46)) * 0.25,
        0
    )
)</f>
        <v>0</v>
      </c>
      <c r="AO46" s="36">
        <f>IF(
    AND($H46 &gt; $BN$7, Tabella01MarzoInverter[[#This Row],[Active power TX2-INV-11]] &lt;= 0, Tabella01MarzoInverter[[#This Row],[Active power TX3-INV-8]] &lt;= 0),
    MIN(($H46 / 1000) * AO$10 * $BN$4, AO$11 * 0.876) * 0.25,
    IF(
        AND($H46 &gt; $BN$7, Tabella01MarzoInverter[[#This Row],[Active power TX2-INV-11]] &lt;= 0),
        Tabella01MarzoInverter[[#This Row],[Active power TX3-INV-8]] * 0.25,
        0
    )
    +
    IF(
        $N46 &lt; 0.875,
        MAX(0, MIN(($H46 / 1000) * AO$10 * $BN$4, AO$11 * 0.876) - (AO$11 * $N46)) * 0.25,
        0
    )
)</f>
        <v>0</v>
      </c>
      <c r="AP46" s="36">
        <f>IF(
    AND($H46 &gt; $BN$7, Tabella01MarzoInverter[[#This Row],[Active power TX2-INV-12]] &lt;= 0, Tabella01MarzoInverter[[#This Row],[Active power TX3-INV-9]] &lt;= 0),
    MIN(($H46 / 1000) * AP$10 * $BN$4, AP$11 * 0.876) * 0.25,
    IF(
        AND($H46 &gt; $BN$7, Tabella01MarzoInverter[[#This Row],[Active power TX2-INV-12]] &lt;= 0),
        Tabella01MarzoInverter[[#This Row],[Active power TX3-INV-9]] * 0.25,
        0
    )
    +
    IF(
        $N46 &lt; 0.875,
        MAX(0, MIN(($H46 / 1000) * AP$10 * $BN$4, AP$11 * 0.876) - (AP$11 * $N46)) * 0.25,
        0
    )
)</f>
        <v>0</v>
      </c>
      <c r="AQ46" s="8">
        <f>AVERAGE(TabellaMar2026[[#This Row],[Colonna39]:[Colonna6]])</f>
        <v>0</v>
      </c>
      <c r="AR46" s="8">
        <f>MAX(TabellaMar2026[[#This Row],[Colonna39]:[Colonna6]])</f>
        <v>0</v>
      </c>
      <c r="AS46" s="35">
        <f>MIN(TabellaMar2026[[#This Row],[Colonna39]:[Colonna6]])</f>
        <v>0</v>
      </c>
      <c r="AT46" s="48">
        <f>SUM(TabellaMar2026[[#This Row],[Colonna39]:[Colonna6]])</f>
        <v>0</v>
      </c>
      <c r="AU46" s="36" cm="1">
        <f t="array" ref="AU46">IF(
    AND($H46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($H46 / 1000) * AU$10 * $BN$4 * 0.25
    ),
    0
)
+
IF(
    $N46 &lt; 0.875,
    MAX(0, MIN(($H46 / 1000) * AU$10 * $BN$4, AU$11 * 0.876) - (AU$11 * $N46)) * 0.25,
    0
)</f>
        <v>0</v>
      </c>
      <c r="AV46" s="36" cm="1">
        <f t="array" ref="AV46">IF(
    AND($H46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($H46 / 1000) * AV$10 * $BN$4 * 0.25
    ),
    0
)
+
IF(
    $N46 &lt; 0.875,
    MAX(0, MIN(($H46 / 1000) * AV$10 * $BN$4, AV$11 * 0.876) - (AV$11 * $N46)) * 0.25,
    0
)</f>
        <v>0</v>
      </c>
      <c r="AW46" s="36" cm="1">
        <f t="array" ref="AW46">IF(
    AND($H46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($H46 / 1000) * AW$10 * $BN$4 * 0.25
    ),
    0
)
+
IF(
    $N46 &lt; 0.875,
    MAX(0, MIN(($H46 / 1000) * AW$10 * $BN$4, AW$11 * 0.876) - (AW$11 * $N46)) * 0.25,
    0
)</f>
        <v>0</v>
      </c>
      <c r="AX46" s="36" cm="1">
        <f t="array" ref="AX46">IF(
    AND($H46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($H46 / 1000) * AX$10 * $BN$4 * 0.25
    ),
    0
)
+
IF(
    $N46 &lt; 0.875,
    MAX(0, MIN(($H46 / 1000) * AX$10 * $BN$4, AX$11 * 0.876) - (AX$11 * $N46)) * 0.25,
    0
)</f>
        <v>0</v>
      </c>
      <c r="AY46" s="36" cm="1">
        <f t="array" ref="AY46">IF(
    AND($H46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($H46 / 1000) * AY$10 * $BN$4 * 0.25
    ),
    0
)
+
IF(
    $N46 &lt; 0.875,
    MAX(0, MIN(($H46 / 1000) * AY$10 * $BN$4, AY$11 * 0.876) - (AY$11 * $N46)) * 0.25,
    0
)</f>
        <v>0</v>
      </c>
      <c r="AZ46" s="36" cm="1">
        <f t="array" ref="AZ46">IF(
    AND($H46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($H46 / 1000) * AZ$10 * $BN$4 * 0.25
    ),
    0
)
+
IF(
    $N46 &lt; 0.875,
    MAX(0, MIN(($H46 / 1000) * AZ$10 * $BN$4, AZ$11 * 0.876) - (AZ$11 * $N46)) * 0.25,
    0
)</f>
        <v>0</v>
      </c>
      <c r="BA46" s="36" cm="1">
        <f t="array" ref="BA46">IF(
    AND($H46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($H46 / 1000) * BA$10 * $BN$4 * 0.25
    ),
    0
)
+
IF(
    $N46 &lt; 0.875,
    MAX(0, MIN(($H46 / 1000) * BA$10 * $BN$4, BA$11 * 0.876) - (BA$11 * $N46)) * 0.25,
    0
)</f>
        <v>0</v>
      </c>
      <c r="BB46" s="36" cm="1">
        <f t="array" ref="BB46">IF(
    AND($H46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($H46 / 1000) * BB$10 * $BN$4 * 0.25
    ),
    0
)
+
IF(
    $N46 &lt; 0.875,
    MAX(0, MIN(($H46 / 1000) * BB$10 * $BN$4, BB$11 * 0.876) - (BB$11 * $N46)) * 0.25,
    0
)</f>
        <v>0</v>
      </c>
      <c r="BC46" s="36" cm="1">
        <f t="array" ref="BC46">IF(
    AND($H46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($H46 / 1000) * BC$10 * $BN$4 * 0.25
    ),
    0
)
+
IF(
    $N46 &lt; 0.875,
    MAX(0, MIN(($H46 / 1000) * BC$10 * $BN$4, BC$11 * 0.876) - (BC$11 * $N46)) * 0.25,
    0
)</f>
        <v>0</v>
      </c>
      <c r="BD46" s="36" cm="1">
        <f t="array" ref="BD46">IF(
    AND($H46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($H46 / 1000) * BD$10 * $BN$4 * 0.25
    ),
    0
)
+
IF(
    $N46 &lt; 0.875,
    MAX(0, MIN(($H46 / 1000) * BD$10 * $BN$4, BD$11 * 0.876) - (BD$11 * $N46)) * 0.25,
    0
)</f>
        <v>0</v>
      </c>
      <c r="BE46" s="36" cm="1">
        <f t="array" ref="BE46">IF(
    AND($H46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($H46 / 1000) * BE$10 * $BN$4 * 0.25
    ),
    0
)
+
IF(
    $N46 &lt; 0.875,
    MAX(0, MIN(($H46 / 1000) * BE$10 * $BN$4, BE$11 * 0.876) - (BE$11 * $N46)) * 0.25,
    0
)</f>
        <v>0</v>
      </c>
      <c r="BF46" s="36" cm="1">
        <f t="array" ref="BF46">IF(
    AND($H46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($H46 / 1000) * BF$10 * $BN$4 * 0.25
    ),
    0
)
+
IF(
    $N46 &lt; 0.875,
    MAX(0, MIN(($H46 / 1000) * BF$10 * $BN$4, BF$11 * 0.876) - (BF$11 * $N46)) * 0.25,
    0
)</f>
        <v>0</v>
      </c>
      <c r="BG46" s="8">
        <f>AVERAGE(TabellaMar2026[[#This Row],[Colonna55]:[Colonna53]])</f>
        <v>0</v>
      </c>
      <c r="BH46" s="8">
        <f>MAX(TabellaMar2026[[#This Row],[Colonna55]:[Colonna53]])</f>
        <v>0</v>
      </c>
      <c r="BI46" s="35">
        <f>MIN(TabellaMar2026[[#This Row],[Colonna55]:[Colonna53]])</f>
        <v>0</v>
      </c>
      <c r="BJ46" s="48">
        <f>SUM(TabellaMar2026[[#This Row],[Colonna54]:[Colonna53]])</f>
        <v>0</v>
      </c>
      <c r="BK46" s="54">
        <f>(SUM(Tabella01MarzoInverter[[Active power TX1-INV-1]:[Active power TX3-INV-12]]) * 0.25) / (12625 * (SUM($G$15:$H$110) * 0.25 / 1000))</f>
        <v>1.014229628761051</v>
      </c>
      <c r="BL46" s="5"/>
      <c r="BM46" s="5"/>
      <c r="BN46" s="8"/>
      <c r="BO46" s="8"/>
      <c r="BP46" s="19"/>
    </row>
    <row r="47" spans="1:68" x14ac:dyDescent="0.25">
      <c r="A47" s="18">
        <v>46147</v>
      </c>
      <c r="B47" t="s">
        <v>47</v>
      </c>
      <c r="C47" s="5">
        <v>29</v>
      </c>
      <c r="D47" s="6">
        <v>7.2500000000000004E-3</v>
      </c>
      <c r="E47" s="6">
        <v>29.1</v>
      </c>
      <c r="F47" s="6">
        <v>7.2750000000000002E-3</v>
      </c>
      <c r="G47" s="6">
        <f>IFERROR((D47+F47)/2, 0)</f>
        <v>7.2624999999999999E-3</v>
      </c>
      <c r="H47" s="7">
        <f>IFERROR(IF(AVERAGE(C47,E47)&gt;$BN$7,AVERAGE(C47,E47),0), 0)</f>
        <v>0</v>
      </c>
      <c r="I47" s="7">
        <f>IFERROR(IF(AND(D47=0,F47=0),0,IF(H47&gt;$BN$6,MAX(D47,F47),G47)), 0)</f>
        <v>7.2624999999999999E-3</v>
      </c>
      <c r="J47" s="6">
        <f>IFERROR(IF(AND(D47&gt;0,F47&gt;0),ABS(D47-F47)/AVERAGE(D47,F47),0), 0)</f>
        <v>3.4423407917383614E-3</v>
      </c>
      <c r="K47" s="6">
        <v>30387.1</v>
      </c>
      <c r="L47" s="6">
        <v>30387.200000000001</v>
      </c>
      <c r="M47" s="8">
        <f>IFERROR((L47-K47)*1000, 0)</f>
        <v>100.00000000218279</v>
      </c>
      <c r="N47" s="6">
        <v>0.87599999999999989</v>
      </c>
      <c r="O47" s="8" cm="1">
        <f t="array" ref="O47">IF(
    AND($H47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($H47 / 1000) * O$10 * $BN$4 * 0.25
    ),
    0
)
+
IF(
    $N47 &lt; 0.875,
    MAX(0, MIN(($H47 / 1000) * O$10 * $BN$4, O$11 * 0.876) - (O$11 * $N47)) * 0.25,
    0
)</f>
        <v>0</v>
      </c>
      <c r="P47" s="8" cm="1">
        <f t="array" ref="P47">IF(
    AND($H47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($H47 / 1000) * P$10 * $BN$4 * 0.25
    ),
    0
)
+
IF(
    $N47 &lt; 0.875,
    MAX(0, MIN(($H47 / 1000) * P$10 * $BN$4, P$11 * 0.876) - (P$11 * $N47)) * 0.25,
    0
)</f>
        <v>0</v>
      </c>
      <c r="Q47" s="8" cm="1">
        <f t="array" ref="Q47">IF(
    AND($H47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($H47 / 1000) * Q$10 * $BN$4 * 0.25
    ),
    0
)
+
IF(
    $N47 &lt; 0.875,
    MAX(0, MIN(($H47 / 1000) * Q$10 * $BN$4, Q$11 * 0.876) - (Q$11 * $N47)) * 0.25,
    0
)</f>
        <v>0</v>
      </c>
      <c r="R47" s="8" cm="1">
        <f t="array" ref="R47">IF(
    AND($H47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($H47 / 1000) * R$10 * $BN$4 * 0.25
    ),
    0
)
+
IF(
    $N47 &lt; 0.875,
    MAX(0, MIN(($H47 / 1000) * R$10 * $BN$4, R$11 * 0.876) - (R$11 * $N47)) * 0.25,
    0
)</f>
        <v>0</v>
      </c>
      <c r="S47" s="8" cm="1">
        <f t="array" ref="S47">IF(
    AND($H47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($H47 / 1000) * S$10 * $BN$4 * 0.25
    ),
    0
)
+
IF(
    $N47 &lt; 0.875,
    MAX(0, MIN(($H47 / 1000) * S$10 * $BN$4, S$11 * 0.876) - (S$11 * $N47)) * 0.25,
    0
)</f>
        <v>0</v>
      </c>
      <c r="T47" s="8" cm="1">
        <f t="array" ref="T47">IF(
    AND($H47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($H47 / 1000) * T$10 * $BN$4 * 0.25
    ),
    0
)
+
IF(
    $N47 &lt; 0.875,
    MAX(0, MIN(($H47 / 1000) * T$10 * $BN$4, T$11 * 0.876) - (T$11 * $N47)) * 0.25,
    0
)</f>
        <v>0</v>
      </c>
      <c r="U47" s="8" cm="1">
        <f t="array" ref="U47">IF(
    AND($H47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($H47 / 1000) * U$10 * $BN$4 * 0.25
    ),
    0
)
+
IF(
    $N47 &lt; 0.875,
    MAX(0, MIN(($H47 / 1000) * U$10 * $BN$4, U$11 * 0.876) - (U$11 * $N47)) * 0.25,
    0
)</f>
        <v>0</v>
      </c>
      <c r="V47" s="8" cm="1">
        <f t="array" ref="V47">IF(
    AND($H47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($H47 / 1000) * V$10 * $BN$4 * 0.25
    ),
    0
)
+
IF(
    $N47 &lt; 0.875,
    MAX(0, MIN(($H47 / 1000) * V$10 * $BN$4, V$11 * 0.876) - (V$11 * $N47)) * 0.25,
    0
)</f>
        <v>0</v>
      </c>
      <c r="W47" s="8" cm="1">
        <f t="array" ref="W47">IF(
    AND($H47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($H47 / 1000) * W$10 * $BN$4 * 0.25
    ),
    0
)
+
IF(
    $N47 &lt; 0.875,
    MAX(0, MIN(($H47 / 1000) * W$10 * $BN$4, W$11 * 0.876) - (W$11 * $N47)) * 0.25,
    0
)</f>
        <v>0</v>
      </c>
      <c r="X47" s="8" cm="1">
        <f t="array" ref="X47">IF(
    AND($H47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($H47 / 1000) * X$10 * $BN$4 * 0.25
    ),
    0
)
+
IF(
    $N47 &lt; 0.875,
    MAX(0, MIN(($H47 / 1000) * X$10 * $BN$4, X$11 * 0.876) - (X$11 * $N47)) * 0.25,
    0
)</f>
        <v>0</v>
      </c>
      <c r="Y47" s="8" cm="1">
        <f t="array" ref="Y47">IF(
    AND($H47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($H47 / 1000) * Y$10 * $BN$4 * 0.25
    ),
    0
)
+
IF(
    $N47 &lt; 0.875,
    MAX(0, MIN(($H47 / 1000) * Y$10 * $BN$4, Y$11 * 0.876) - (Y$11 * $N47)) * 0.25,
    0
)</f>
        <v>0</v>
      </c>
      <c r="Z47" s="8" cm="1">
        <f t="array" ref="Z47">IF(
    AND($H47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($H47 / 1000) * Z$10 * $BN$4 * 0.25
    ),
    0
)
+
IF(
    $N47 &lt; 0.875,
    MAX(0, MIN(($H47 / 1000) * Z$10 * $BN$4, Z$11 * 0.876) - (Z$11 * $N47)) * 0.25,
    0
)</f>
        <v>0</v>
      </c>
      <c r="AA47" s="8">
        <f>AVERAGE(TabellaMar2026[[#This Row],[Colonna24]:[Colonna20]])</f>
        <v>0</v>
      </c>
      <c r="AB47" s="8">
        <f>MAX(TabellaMar2026[[#This Row],[Colonna24]:[Colonna20]])</f>
        <v>0</v>
      </c>
      <c r="AC47" s="35">
        <f>MIN(TabellaMar2026[[#This Row],[Colonna24]:[Colonna20]])</f>
        <v>0</v>
      </c>
      <c r="AD47" s="44">
        <f>SUM(TabellaMar2026[[#This Row],[Colonna24]:[Colonna20]])</f>
        <v>0</v>
      </c>
      <c r="AE47" s="36">
        <f>IF(
    AND($H47 &gt; $BN$7, Tabella01MarzoInverter[[#This Row],[Active power TX2-INV-1]] &lt;= 0, Tabella01MarzoInverter[[#This Row],[TX2 - Average Power]] &lt;= 0),
    MIN(($H47 / 1000) * AE$10 * $BN$4, AE$11 * 0.876) * 0.25,
    IF(
        AND($H47 &gt; $BN$7, Tabella01MarzoInverter[[#This Row],[Active power TX2-INV-1]] &lt;= 0),
        Tabella01MarzoInverter[[#This Row],[TX2 - Average Power]] * 0.25,
        0
    )
    +
    IF(
        $N47 &lt; 0.875,
        MAX(0, MIN(($H47 / 1000) * AE$10 * $BN$4, AE$11 * 0.876) - (AE$11 * $N47)) * 0.25,
        0
    )
)</f>
        <v>0</v>
      </c>
      <c r="AF47" s="36">
        <f>IF(
    AND($H47 &gt; $BN$7, Tabella01MarzoInverter[[#This Row],[Active power TX2-INV-2]] &lt;= 0, Tabella01MarzoInverter[[#This Row],[TX2 - Max Power]] &lt;= 0),
    MIN(($H47 / 1000) * AF$10 * $BN$4, AF$11 * 0.876) * 0.25,
    IF(
        AND($H47 &gt; $BN$7, Tabella01MarzoInverter[[#This Row],[Active power TX2-INV-2]] &lt;= 0),
        Tabella01MarzoInverter[[#This Row],[TX2 - Max Power]] * 0.25,
        0
    )
    +
    IF(
        $N47 &lt; 0.875,
        MAX(0, MIN(($H47 / 1000) * AF$10 * $BN$4, AF$11 * 0.876) - (AF$11 * $N47)) * 0.25,
        0
    )
)</f>
        <v>0</v>
      </c>
      <c r="AG47" s="36">
        <f>IF(
    AND($H47 &gt; $BN$7, Tabella01MarzoInverter[[#This Row],[Active power TX2-INV-3]] &lt;= 0, Tabella01MarzoInverter[[#This Row],[TX2 - Min Power]] &lt;= 0),
    MIN(($H47 / 1000) * AG$10 * $BN$4, AG$11 * 0.876) * 0.25,
    IF(
        AND($H47 &gt; $BN$7, Tabella01MarzoInverter[[#This Row],[Active power TX2-INV-3]] &lt;= 0),
        Tabella01MarzoInverter[[#This Row],[TX2 - Min Power]] * 0.25,
        0
    )
    +
    IF(
        $N47 &lt; 0.875,
        MAX(0, MIN(($H47 / 1000) * AG$10 * $BN$4, AG$11 * 0.876) - (AG$11 * $N47)) * 0.25,
        0
    )
)</f>
        <v>0</v>
      </c>
      <c r="AH47" s="36">
        <f>IF(
    AND($H47 &gt; $BN$7, Tabella01MarzoInverter[[#This Row],[Active power TX2-INV-4]] &lt;= 0, Tabella01MarzoInverter[[#This Row],[Active power TX3-INV-1]] &lt;= 0),
    MIN(($H47 / 1000) * AH$10 * $BN$4, AH$11 * 0.876) * 0.25,
    IF(
        AND($H47 &gt; $BN$7, Tabella01MarzoInverter[[#This Row],[Active power TX2-INV-4]] &lt;= 0),
        Tabella01MarzoInverter[[#This Row],[Active power TX3-INV-1]] * 0.25,
        0
    )
    +
    IF(
        $N47 &lt; 0.875,
        MAX(0, MIN(($H47 / 1000) * AH$10 * $BN$4, AH$11 * 0.876) - (AH$11 * $N47)) * 0.25,
        0
    )
)</f>
        <v>0</v>
      </c>
      <c r="AI47" s="36">
        <f>IF(
    AND($H47 &gt; $BN$7, Tabella01MarzoInverter[[#This Row],[Active power TX2-INV-5]] &lt;= 0, Tabella01MarzoInverter[[#This Row],[Active power TX3-INV-2]] &lt;= 0),
    MIN(($H47 / 1000) * AI$10 * $BN$4, AI$11 * 0.876) * 0.25,
    IF(
        AND($H47 &gt; $BN$7, Tabella01MarzoInverter[[#This Row],[Active power TX2-INV-5]] &lt;= 0),
        Tabella01MarzoInverter[[#This Row],[Active power TX3-INV-2]] * 0.25,
        0
    )
    +
    IF(
        $N47 &lt; 0.875,
        MAX(0, MIN(($H47 / 1000) * AI$10 * $BN$4, AI$11 * 0.876) - (AI$11 * $N47)) * 0.25,
        0
    )
)</f>
        <v>0</v>
      </c>
      <c r="AJ47" s="36">
        <f>IF(
    AND($H47 &gt; $BN$7, Tabella01MarzoInverter[[#This Row],[Active power TX2-INV-6]] &lt;= 0, Tabella01MarzoInverter[[#This Row],[Active power TX3-INV-3]] &lt;= 0),
    MIN(($H47 / 1000) * AJ$10 * $BN$4, AJ$11 * 0.876) * 0.25,
    IF(
        AND($H47 &gt; $BN$7, Tabella01MarzoInverter[[#This Row],[Active power TX2-INV-6]] &lt;= 0),
        Tabella01MarzoInverter[[#This Row],[Active power TX3-INV-3]] * 0.25,
        0
    )
    +
    IF(
        $N47 &lt; 0.875,
        MAX(0, MIN(($H47 / 1000) * AJ$10 * $BN$4, AJ$11 * 0.876) - (AJ$11 * $N47)) * 0.25,
        0
    )
)</f>
        <v>0</v>
      </c>
      <c r="AK47" s="36">
        <f>IF(
    AND($H47 &gt; $BN$7, Tabella01MarzoInverter[[#This Row],[Active power TX2-INV-7]] &lt;= 0, Tabella01MarzoInverter[[#This Row],[Active power TX3-INV-4]] &lt;= 0),
    MIN(($H47 / 1000) * AK$10 * $BN$4, AK$11 * 0.876) * 0.25,
    IF(
        AND($H47 &gt; $BN$7, Tabella01MarzoInverter[[#This Row],[Active power TX2-INV-7]] &lt;= 0),
        Tabella01MarzoInverter[[#This Row],[Active power TX3-INV-4]] * 0.25,
        0
    )
    +
    IF(
        $N47 &lt; 0.875,
        MAX(0, MIN(($H47 / 1000) * AK$10 * $BN$4, AK$11 * 0.876) - (AK$11 * $N47)) * 0.25,
        0
    )
)</f>
        <v>0</v>
      </c>
      <c r="AL47" s="36">
        <f>IF(
    AND($H47 &gt; $BN$7, Tabella01MarzoInverter[[#This Row],[Active power TX2-INV-8]] &lt;= 0, Tabella01MarzoInverter[[#This Row],[Active power TX3-INV-5]] &lt;= 0),
    MIN(($H47 / 1000) * AL$10 * $BN$4, AL$11 * 0.876) * 0.25,
    IF(
        AND($H47 &gt; $BN$7, Tabella01MarzoInverter[[#This Row],[Active power TX2-INV-8]] &lt;= 0),
        Tabella01MarzoInverter[[#This Row],[Active power TX3-INV-5]] * 0.25,
        0
    )
    +
    IF(
        $N47 &lt; 0.875,
        MAX(0, MIN(($H47 / 1000) * AL$10 * $BN$4, AL$11 * 0.876) - (AL$11 * $N47)) * 0.25,
        0
    )
)</f>
        <v>0</v>
      </c>
      <c r="AM47" s="36">
        <f>IF(
    AND($H47 &gt; $BN$7, Tabella01MarzoInverter[[#This Row],[Active power TX2-INV-9]] &lt;= 0, Tabella01MarzoInverter[[#This Row],[Active power TX3-INV-6]] &lt;= 0),
    MIN(($H47 / 1000) * AM$10 * $BN$4, AM$11 * 0.876) * 0.25,
    IF(
        AND($H47 &gt; $BN$7, Tabella01MarzoInverter[[#This Row],[Active power TX2-INV-9]] &lt;= 0),
        Tabella01MarzoInverter[[#This Row],[Active power TX3-INV-6]] * 0.25,
        0
    )
    +
    IF(
        $N47 &lt; 0.875,
        MAX(0, MIN(($H47 / 1000) * AM$10 * $BN$4, AM$11 * 0.876) - (AM$11 * $N47)) * 0.25,
        0
    )
)</f>
        <v>0</v>
      </c>
      <c r="AN47" s="36">
        <f>IF(
    AND($H47 &gt; $BN$7, Tabella01MarzoInverter[[#This Row],[Active power TX2-INV-10]] &lt;= 0, Tabella01MarzoInverter[[#This Row],[Active power TX3-INV-7]] &lt;= 0),
    MIN(($H47 / 1000) * AN$10 * $BN$4, AN$11 * 0.876) * 0.25,
    IF(
        AND($H47 &gt; $BN$7, Tabella01MarzoInverter[[#This Row],[Active power TX2-INV-10]] &lt;= 0),
        Tabella01MarzoInverter[[#This Row],[Active power TX3-INV-7]] * 0.25,
        0
    )
    +
    IF(
        $N47 &lt; 0.875,
        MAX(0, MIN(($H47 / 1000) * AN$10 * $BN$4, AN$11 * 0.876) - (AN$11 * $N47)) * 0.25,
        0
    )
)</f>
        <v>0</v>
      </c>
      <c r="AO47" s="36">
        <f>IF(
    AND($H47 &gt; $BN$7, Tabella01MarzoInverter[[#This Row],[Active power TX2-INV-11]] &lt;= 0, Tabella01MarzoInverter[[#This Row],[Active power TX3-INV-8]] &lt;= 0),
    MIN(($H47 / 1000) * AO$10 * $BN$4, AO$11 * 0.876) * 0.25,
    IF(
        AND($H47 &gt; $BN$7, Tabella01MarzoInverter[[#This Row],[Active power TX2-INV-11]] &lt;= 0),
        Tabella01MarzoInverter[[#This Row],[Active power TX3-INV-8]] * 0.25,
        0
    )
    +
    IF(
        $N47 &lt; 0.875,
        MAX(0, MIN(($H47 / 1000) * AO$10 * $BN$4, AO$11 * 0.876) - (AO$11 * $N47)) * 0.25,
        0
    )
)</f>
        <v>0</v>
      </c>
      <c r="AP47" s="36">
        <f>IF(
    AND($H47 &gt; $BN$7, Tabella01MarzoInverter[[#This Row],[Active power TX2-INV-12]] &lt;= 0, Tabella01MarzoInverter[[#This Row],[Active power TX3-INV-9]] &lt;= 0),
    MIN(($H47 / 1000) * AP$10 * $BN$4, AP$11 * 0.876) * 0.25,
    IF(
        AND($H47 &gt; $BN$7, Tabella01MarzoInverter[[#This Row],[Active power TX2-INV-12]] &lt;= 0),
        Tabella01MarzoInverter[[#This Row],[Active power TX3-INV-9]] * 0.25,
        0
    )
    +
    IF(
        $N47 &lt; 0.875,
        MAX(0, MIN(($H47 / 1000) * AP$10 * $BN$4, AP$11 * 0.876) - (AP$11 * $N47)) * 0.25,
        0
    )
)</f>
        <v>0</v>
      </c>
      <c r="AQ47" s="8">
        <f>AVERAGE(TabellaMar2026[[#This Row],[Colonna39]:[Colonna6]])</f>
        <v>0</v>
      </c>
      <c r="AR47" s="8">
        <f>MAX(TabellaMar2026[[#This Row],[Colonna39]:[Colonna6]])</f>
        <v>0</v>
      </c>
      <c r="AS47" s="35">
        <f>MIN(TabellaMar2026[[#This Row],[Colonna39]:[Colonna6]])</f>
        <v>0</v>
      </c>
      <c r="AT47" s="48">
        <f>SUM(TabellaMar2026[[#This Row],[Colonna39]:[Colonna6]])</f>
        <v>0</v>
      </c>
      <c r="AU47" s="36" cm="1">
        <f t="array" ref="AU47">IF(
    AND($H47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($H47 / 1000) * AU$10 * $BN$4 * 0.25
    ),
    0
)
+
IF(
    $N47 &lt; 0.875,
    MAX(0, MIN(($H47 / 1000) * AU$10 * $BN$4, AU$11 * 0.876) - (AU$11 * $N47)) * 0.25,
    0
)</f>
        <v>0</v>
      </c>
      <c r="AV47" s="36" cm="1">
        <f t="array" ref="AV47">IF(
    AND($H47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($H47 / 1000) * AV$10 * $BN$4 * 0.25
    ),
    0
)
+
IF(
    $N47 &lt; 0.875,
    MAX(0, MIN(($H47 / 1000) * AV$10 * $BN$4, AV$11 * 0.876) - (AV$11 * $N47)) * 0.25,
    0
)</f>
        <v>0</v>
      </c>
      <c r="AW47" s="36" cm="1">
        <f t="array" ref="AW47">IF(
    AND($H47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($H47 / 1000) * AW$10 * $BN$4 * 0.25
    ),
    0
)
+
IF(
    $N47 &lt; 0.875,
    MAX(0, MIN(($H47 / 1000) * AW$10 * $BN$4, AW$11 * 0.876) - (AW$11 * $N47)) * 0.25,
    0
)</f>
        <v>0</v>
      </c>
      <c r="AX47" s="36" cm="1">
        <f t="array" ref="AX47">IF(
    AND($H47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($H47 / 1000) * AX$10 * $BN$4 * 0.25
    ),
    0
)
+
IF(
    $N47 &lt; 0.875,
    MAX(0, MIN(($H47 / 1000) * AX$10 * $BN$4, AX$11 * 0.876) - (AX$11 * $N47)) * 0.25,
    0
)</f>
        <v>0</v>
      </c>
      <c r="AY47" s="36" cm="1">
        <f t="array" ref="AY47">IF(
    AND($H47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($H47 / 1000) * AY$10 * $BN$4 * 0.25
    ),
    0
)
+
IF(
    $N47 &lt; 0.875,
    MAX(0, MIN(($H47 / 1000) * AY$10 * $BN$4, AY$11 * 0.876) - (AY$11 * $N47)) * 0.25,
    0
)</f>
        <v>0</v>
      </c>
      <c r="AZ47" s="36" cm="1">
        <f t="array" ref="AZ47">IF(
    AND($H47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($H47 / 1000) * AZ$10 * $BN$4 * 0.25
    ),
    0
)
+
IF(
    $N47 &lt; 0.875,
    MAX(0, MIN(($H47 / 1000) * AZ$10 * $BN$4, AZ$11 * 0.876) - (AZ$11 * $N47)) * 0.25,
    0
)</f>
        <v>0</v>
      </c>
      <c r="BA47" s="36" cm="1">
        <f t="array" ref="BA47">IF(
    AND($H47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($H47 / 1000) * BA$10 * $BN$4 * 0.25
    ),
    0
)
+
IF(
    $N47 &lt; 0.875,
    MAX(0, MIN(($H47 / 1000) * BA$10 * $BN$4, BA$11 * 0.876) - (BA$11 * $N47)) * 0.25,
    0
)</f>
        <v>0</v>
      </c>
      <c r="BB47" s="36" cm="1">
        <f t="array" ref="BB47">IF(
    AND($H47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($H47 / 1000) * BB$10 * $BN$4 * 0.25
    ),
    0
)
+
IF(
    $N47 &lt; 0.875,
    MAX(0, MIN(($H47 / 1000) * BB$10 * $BN$4, BB$11 * 0.876) - (BB$11 * $N47)) * 0.25,
    0
)</f>
        <v>0</v>
      </c>
      <c r="BC47" s="36" cm="1">
        <f t="array" ref="BC47">IF(
    AND($H47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($H47 / 1000) * BC$10 * $BN$4 * 0.25
    ),
    0
)
+
IF(
    $N47 &lt; 0.875,
    MAX(0, MIN(($H47 / 1000) * BC$10 * $BN$4, BC$11 * 0.876) - (BC$11 * $N47)) * 0.25,
    0
)</f>
        <v>0</v>
      </c>
      <c r="BD47" s="36" cm="1">
        <f t="array" ref="BD47">IF(
    AND($H47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($H47 / 1000) * BD$10 * $BN$4 * 0.25
    ),
    0
)
+
IF(
    $N47 &lt; 0.875,
    MAX(0, MIN(($H47 / 1000) * BD$10 * $BN$4, BD$11 * 0.876) - (BD$11 * $N47)) * 0.25,
    0
)</f>
        <v>0</v>
      </c>
      <c r="BE47" s="36" cm="1">
        <f t="array" ref="BE47">IF(
    AND($H47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($H47 / 1000) * BE$10 * $BN$4 * 0.25
    ),
    0
)
+
IF(
    $N47 &lt; 0.875,
    MAX(0, MIN(($H47 / 1000) * BE$10 * $BN$4, BE$11 * 0.876) - (BE$11 * $N47)) * 0.25,
    0
)</f>
        <v>0</v>
      </c>
      <c r="BF47" s="36" cm="1">
        <f t="array" ref="BF47">IF(
    AND($H47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($H47 / 1000) * BF$10 * $BN$4 * 0.25
    ),
    0
)
+
IF(
    $N47 &lt; 0.875,
    MAX(0, MIN(($H47 / 1000) * BF$10 * $BN$4, BF$11 * 0.876) - (BF$11 * $N47)) * 0.25,
    0
)</f>
        <v>0</v>
      </c>
      <c r="BG47" s="8">
        <f>AVERAGE(TabellaMar2026[[#This Row],[Colonna55]:[Colonna53]])</f>
        <v>0</v>
      </c>
      <c r="BH47" s="8">
        <f>MAX(TabellaMar2026[[#This Row],[Colonna55]:[Colonna53]])</f>
        <v>0</v>
      </c>
      <c r="BI47" s="35">
        <f>MIN(TabellaMar2026[[#This Row],[Colonna55]:[Colonna53]])</f>
        <v>0</v>
      </c>
      <c r="BJ47" s="48">
        <f>SUM(TabellaMar2026[[#This Row],[Colonna54]:[Colonna53]])</f>
        <v>0</v>
      </c>
      <c r="BK47" s="54">
        <f>(SUM(Tabella01MarzoInverter[[Active power TX1-INV-1]:[Active power TX3-INV-12]]) * 0.25) / (12625 * (SUM($G$15:$H$110) * 0.25 / 1000))</f>
        <v>1.014229628761051</v>
      </c>
      <c r="BL47" s="5"/>
      <c r="BM47" s="5"/>
      <c r="BN47" s="8"/>
      <c r="BO47" s="8"/>
      <c r="BP47" s="19"/>
    </row>
    <row r="48" spans="1:68" x14ac:dyDescent="0.25">
      <c r="A48" s="18">
        <v>46147</v>
      </c>
      <c r="B48" t="s">
        <v>48</v>
      </c>
      <c r="C48" s="5">
        <v>57.3</v>
      </c>
      <c r="D48" s="6">
        <v>1.4324999999999999E-2</v>
      </c>
      <c r="E48" s="6">
        <v>57.2</v>
      </c>
      <c r="F48" s="6">
        <v>1.43E-2</v>
      </c>
      <c r="G48" s="6">
        <f>IFERROR((D48+F48)/2, 0)</f>
        <v>1.4312499999999999E-2</v>
      </c>
      <c r="H48" s="7">
        <f>IFERROR(IF(AVERAGE(C48,E48)&gt;$BN$7,AVERAGE(C48,E48),0), 0)</f>
        <v>57.25</v>
      </c>
      <c r="I48" s="7">
        <f>IFERROR(IF(AND(D48=0,F48=0),0,IF(H48&gt;$BN$6,MAX(D48,F48),G48)), 0)</f>
        <v>1.4324999999999999E-2</v>
      </c>
      <c r="J48" s="6">
        <f>IFERROR(IF(AND(D48&gt;0,F48&gt;0),ABS(D48-F48)/AVERAGE(D48,F48),0), 0)</f>
        <v>1.7467248908296232E-3</v>
      </c>
      <c r="K48" s="6">
        <v>30387.200000000001</v>
      </c>
      <c r="L48" s="6">
        <v>30387.3</v>
      </c>
      <c r="M48" s="8">
        <f>IFERROR((L48-K48)*1000, 0)</f>
        <v>99.999999998544808</v>
      </c>
      <c r="N48" s="6">
        <v>0.87599999999999989</v>
      </c>
      <c r="O48" s="8" cm="1">
        <f t="array" ref="O48">IF(
    AND($H48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($H48 / 1000) * O$10 * $BN$4 * 0.25
    ),
    0
)
+
IF(
    $N48 &lt; 0.875,
    MAX(0, MIN(($H48 / 1000) * O$10 * $BN$4, O$11 * 0.876) - (O$11 * $N48)) * 0.25,
    0
)</f>
        <v>0</v>
      </c>
      <c r="P48" s="8" cm="1">
        <f t="array" ref="P48">IF(
    AND($H48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($H48 / 1000) * P$10 * $BN$4 * 0.25
    ),
    0
)
+
IF(
    $N48 &lt; 0.875,
    MAX(0, MIN(($H48 / 1000) * P$10 * $BN$4, P$11 * 0.876) - (P$11 * $N48)) * 0.25,
    0
)</f>
        <v>0</v>
      </c>
      <c r="Q48" s="8" cm="1">
        <f t="array" ref="Q48">IF(
    AND($H48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($H48 / 1000) * Q$10 * $BN$4 * 0.25
    ),
    0
)
+
IF(
    $N48 &lt; 0.875,
    MAX(0, MIN(($H48 / 1000) * Q$10 * $BN$4, Q$11 * 0.876) - (Q$11 * $N48)) * 0.25,
    0
)</f>
        <v>0</v>
      </c>
      <c r="R48" s="8" cm="1">
        <f t="array" ref="R48">IF(
    AND($H48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($H48 / 1000) * R$10 * $BN$4 * 0.25
    ),
    0
)
+
IF(
    $N48 &lt; 0.875,
    MAX(0, MIN(($H48 / 1000) * R$10 * $BN$4, R$11 * 0.876) - (R$11 * $N48)) * 0.25,
    0
)</f>
        <v>0</v>
      </c>
      <c r="S48" s="8" cm="1">
        <f t="array" ref="S48">IF(
    AND($H48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($H48 / 1000) * S$10 * $BN$4 * 0.25
    ),
    0
)
+
IF(
    $N48 &lt; 0.875,
    MAX(0, MIN(($H48 / 1000) * S$10 * $BN$4, S$11 * 0.876) - (S$11 * $N48)) * 0.25,
    0
)</f>
        <v>0</v>
      </c>
      <c r="T48" s="8" cm="1">
        <f t="array" ref="T48">IF(
    AND($H48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($H48 / 1000) * T$10 * $BN$4 * 0.25
    ),
    0
)
+
IF(
    $N48 &lt; 0.875,
    MAX(0, MIN(($H48 / 1000) * T$10 * $BN$4, T$11 * 0.876) - (T$11 * $N48)) * 0.25,
    0
)</f>
        <v>0</v>
      </c>
      <c r="U48" s="8" cm="1">
        <f t="array" ref="U48">IF(
    AND($H48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($H48 / 1000) * U$10 * $BN$4 * 0.25
    ),
    0
)
+
IF(
    $N48 &lt; 0.875,
    MAX(0, MIN(($H48 / 1000) * U$10 * $BN$4, U$11 * 0.876) - (U$11 * $N48)) * 0.25,
    0
)</f>
        <v>0</v>
      </c>
      <c r="V48" s="8" cm="1">
        <f t="array" ref="V48">IF(
    AND($H48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($H48 / 1000) * V$10 * $BN$4 * 0.25
    ),
    0
)
+
IF(
    $N48 &lt; 0.875,
    MAX(0, MIN(($H48 / 1000) * V$10 * $BN$4, V$11 * 0.876) - (V$11 * $N48)) * 0.25,
    0
)</f>
        <v>0</v>
      </c>
      <c r="W48" s="8" cm="1">
        <f t="array" ref="W48">IF(
    AND($H48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($H48 / 1000) * W$10 * $BN$4 * 0.25
    ),
    0
)
+
IF(
    $N48 &lt; 0.875,
    MAX(0, MIN(($H48 / 1000) * W$10 * $BN$4, W$11 * 0.876) - (W$11 * $N48)) * 0.25,
    0
)</f>
        <v>0</v>
      </c>
      <c r="X48" s="8" cm="1">
        <f t="array" ref="X48">IF(
    AND($H48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($H48 / 1000) * X$10 * $BN$4 * 0.25
    ),
    0
)
+
IF(
    $N48 &lt; 0.875,
    MAX(0, MIN(($H48 / 1000) * X$10 * $BN$4, X$11 * 0.876) - (X$11 * $N48)) * 0.25,
    0
)</f>
        <v>0</v>
      </c>
      <c r="Y48" s="8" cm="1">
        <f t="array" ref="Y48">IF(
    AND($H48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($H48 / 1000) * Y$10 * $BN$4 * 0.25
    ),
    0
)
+
IF(
    $N48 &lt; 0.875,
    MAX(0, MIN(($H48 / 1000) * Y$10 * $BN$4, Y$11 * 0.876) - (Y$11 * $N48)) * 0.25,
    0
)</f>
        <v>0</v>
      </c>
      <c r="Z48" s="8" cm="1">
        <f t="array" ref="Z48">IF(
    AND($H48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($H48 / 1000) * Z$10 * $BN$4 * 0.25
    ),
    0
)
+
IF(
    $N48 &lt; 0.875,
    MAX(0, MIN(($H48 / 1000) * Z$10 * $BN$4, Z$11 * 0.876) - (Z$11 * $N48)) * 0.25,
    0
)</f>
        <v>0</v>
      </c>
      <c r="AA48" s="8">
        <f>AVERAGE(TabellaMar2026[[#This Row],[Colonna24]:[Colonna20]])</f>
        <v>0</v>
      </c>
      <c r="AB48" s="8">
        <f>MAX(TabellaMar2026[[#This Row],[Colonna24]:[Colonna20]])</f>
        <v>0</v>
      </c>
      <c r="AC48" s="35">
        <f>MIN(TabellaMar2026[[#This Row],[Colonna24]:[Colonna20]])</f>
        <v>0</v>
      </c>
      <c r="AD48" s="44">
        <f>SUM(TabellaMar2026[[#This Row],[Colonna24]:[Colonna20]])</f>
        <v>0</v>
      </c>
      <c r="AE48" s="36">
        <f>IF(
    AND($H48 &gt; $BN$7, Tabella01MarzoInverter[[#This Row],[Active power TX2-INV-1]] &lt;= 0, Tabella01MarzoInverter[[#This Row],[TX2 - Average Power]] &lt;= 0),
    MIN(($H48 / 1000) * AE$10 * $BN$4, AE$11 * 0.876) * 0.25,
    IF(
        AND($H48 &gt; $BN$7, Tabella01MarzoInverter[[#This Row],[Active power TX2-INV-1]] &lt;= 0),
        Tabella01MarzoInverter[[#This Row],[TX2 - Average Power]] * 0.25,
        0
    )
    +
    IF(
        $N48 &lt; 0.875,
        MAX(0, MIN(($H48 / 1000) * AE$10 * $BN$4, AE$11 * 0.876) - (AE$11 * $N48)) * 0.25,
        0
    )
)</f>
        <v>0</v>
      </c>
      <c r="AF48" s="36">
        <f>IF(
    AND($H48 &gt; $BN$7, Tabella01MarzoInverter[[#This Row],[Active power TX2-INV-2]] &lt;= 0, Tabella01MarzoInverter[[#This Row],[TX2 - Max Power]] &lt;= 0),
    MIN(($H48 / 1000) * AF$10 * $BN$4, AF$11 * 0.876) * 0.25,
    IF(
        AND($H48 &gt; $BN$7, Tabella01MarzoInverter[[#This Row],[Active power TX2-INV-2]] &lt;= 0),
        Tabella01MarzoInverter[[#This Row],[TX2 - Max Power]] * 0.25,
        0
    )
    +
    IF(
        $N48 &lt; 0.875,
        MAX(0, MIN(($H48 / 1000) * AF$10 * $BN$4, AF$11 * 0.876) - (AF$11 * $N48)) * 0.25,
        0
    )
)</f>
        <v>0</v>
      </c>
      <c r="AG48" s="36">
        <f>IF(
    AND($H48 &gt; $BN$7, Tabella01MarzoInverter[[#This Row],[Active power TX2-INV-3]] &lt;= 0, Tabella01MarzoInverter[[#This Row],[TX2 - Min Power]] &lt;= 0),
    MIN(($H48 / 1000) * AG$10 * $BN$4, AG$11 * 0.876) * 0.25,
    IF(
        AND($H48 &gt; $BN$7, Tabella01MarzoInverter[[#This Row],[Active power TX2-INV-3]] &lt;= 0),
        Tabella01MarzoInverter[[#This Row],[TX2 - Min Power]] * 0.25,
        0
    )
    +
    IF(
        $N48 &lt; 0.875,
        MAX(0, MIN(($H48 / 1000) * AG$10 * $BN$4, AG$11 * 0.876) - (AG$11 * $N48)) * 0.25,
        0
    )
)</f>
        <v>0</v>
      </c>
      <c r="AH48" s="36">
        <f>IF(
    AND($H48 &gt; $BN$7, Tabella01MarzoInverter[[#This Row],[Active power TX2-INV-4]] &lt;= 0, Tabella01MarzoInverter[[#This Row],[Active power TX3-INV-1]] &lt;= 0),
    MIN(($H48 / 1000) * AH$10 * $BN$4, AH$11 * 0.876) * 0.25,
    IF(
        AND($H48 &gt; $BN$7, Tabella01MarzoInverter[[#This Row],[Active power TX2-INV-4]] &lt;= 0),
        Tabella01MarzoInverter[[#This Row],[Active power TX3-INV-1]] * 0.25,
        0
    )
    +
    IF(
        $N48 &lt; 0.875,
        MAX(0, MIN(($H48 / 1000) * AH$10 * $BN$4, AH$11 * 0.876) - (AH$11 * $N48)) * 0.25,
        0
    )
)</f>
        <v>0</v>
      </c>
      <c r="AI48" s="36">
        <f>IF(
    AND($H48 &gt; $BN$7, Tabella01MarzoInverter[[#This Row],[Active power TX2-INV-5]] &lt;= 0, Tabella01MarzoInverter[[#This Row],[Active power TX3-INV-2]] &lt;= 0),
    MIN(($H48 / 1000) * AI$10 * $BN$4, AI$11 * 0.876) * 0.25,
    IF(
        AND($H48 &gt; $BN$7, Tabella01MarzoInverter[[#This Row],[Active power TX2-INV-5]] &lt;= 0),
        Tabella01MarzoInverter[[#This Row],[Active power TX3-INV-2]] * 0.25,
        0
    )
    +
    IF(
        $N48 &lt; 0.875,
        MAX(0, MIN(($H48 / 1000) * AI$10 * $BN$4, AI$11 * 0.876) - (AI$11 * $N48)) * 0.25,
        0
    )
)</f>
        <v>0</v>
      </c>
      <c r="AJ48" s="36">
        <f>IF(
    AND($H48 &gt; $BN$7, Tabella01MarzoInverter[[#This Row],[Active power TX2-INV-6]] &lt;= 0, Tabella01MarzoInverter[[#This Row],[Active power TX3-INV-3]] &lt;= 0),
    MIN(($H48 / 1000) * AJ$10 * $BN$4, AJ$11 * 0.876) * 0.25,
    IF(
        AND($H48 &gt; $BN$7, Tabella01MarzoInverter[[#This Row],[Active power TX2-INV-6]] &lt;= 0),
        Tabella01MarzoInverter[[#This Row],[Active power TX3-INV-3]] * 0.25,
        0
    )
    +
    IF(
        $N48 &lt; 0.875,
        MAX(0, MIN(($H48 / 1000) * AJ$10 * $BN$4, AJ$11 * 0.876) - (AJ$11 * $N48)) * 0.25,
        0
    )
)</f>
        <v>0</v>
      </c>
      <c r="AK48" s="36">
        <f>IF(
    AND($H48 &gt; $BN$7, Tabella01MarzoInverter[[#This Row],[Active power TX2-INV-7]] &lt;= 0, Tabella01MarzoInverter[[#This Row],[Active power TX3-INV-4]] &lt;= 0),
    MIN(($H48 / 1000) * AK$10 * $BN$4, AK$11 * 0.876) * 0.25,
    IF(
        AND($H48 &gt; $BN$7, Tabella01MarzoInverter[[#This Row],[Active power TX2-INV-7]] &lt;= 0),
        Tabella01MarzoInverter[[#This Row],[Active power TX3-INV-4]] * 0.25,
        0
    )
    +
    IF(
        $N48 &lt; 0.875,
        MAX(0, MIN(($H48 / 1000) * AK$10 * $BN$4, AK$11 * 0.876) - (AK$11 * $N48)) * 0.25,
        0
    )
)</f>
        <v>0</v>
      </c>
      <c r="AL48" s="36">
        <f>IF(
    AND($H48 &gt; $BN$7, Tabella01MarzoInverter[[#This Row],[Active power TX2-INV-8]] &lt;= 0, Tabella01MarzoInverter[[#This Row],[Active power TX3-INV-5]] &lt;= 0),
    MIN(($H48 / 1000) * AL$10 * $BN$4, AL$11 * 0.876) * 0.25,
    IF(
        AND($H48 &gt; $BN$7, Tabella01MarzoInverter[[#This Row],[Active power TX2-INV-8]] &lt;= 0),
        Tabella01MarzoInverter[[#This Row],[Active power TX3-INV-5]] * 0.25,
        0
    )
    +
    IF(
        $N48 &lt; 0.875,
        MAX(0, MIN(($H48 / 1000) * AL$10 * $BN$4, AL$11 * 0.876) - (AL$11 * $N48)) * 0.25,
        0
    )
)</f>
        <v>0</v>
      </c>
      <c r="AM48" s="36">
        <f>IF(
    AND($H48 &gt; $BN$7, Tabella01MarzoInverter[[#This Row],[Active power TX2-INV-9]] &lt;= 0, Tabella01MarzoInverter[[#This Row],[Active power TX3-INV-6]] &lt;= 0),
    MIN(($H48 / 1000) * AM$10 * $BN$4, AM$11 * 0.876) * 0.25,
    IF(
        AND($H48 &gt; $BN$7, Tabella01MarzoInverter[[#This Row],[Active power TX2-INV-9]] &lt;= 0),
        Tabella01MarzoInverter[[#This Row],[Active power TX3-INV-6]] * 0.25,
        0
    )
    +
    IF(
        $N48 &lt; 0.875,
        MAX(0, MIN(($H48 / 1000) * AM$10 * $BN$4, AM$11 * 0.876) - (AM$11 * $N48)) * 0.25,
        0
    )
)</f>
        <v>0</v>
      </c>
      <c r="AN48" s="36">
        <f>IF(
    AND($H48 &gt; $BN$7, Tabella01MarzoInverter[[#This Row],[Active power TX2-INV-10]] &lt;= 0, Tabella01MarzoInverter[[#This Row],[Active power TX3-INV-7]] &lt;= 0),
    MIN(($H48 / 1000) * AN$10 * $BN$4, AN$11 * 0.876) * 0.25,
    IF(
        AND($H48 &gt; $BN$7, Tabella01MarzoInverter[[#This Row],[Active power TX2-INV-10]] &lt;= 0),
        Tabella01MarzoInverter[[#This Row],[Active power TX3-INV-7]] * 0.25,
        0
    )
    +
    IF(
        $N48 &lt; 0.875,
        MAX(0, MIN(($H48 / 1000) * AN$10 * $BN$4, AN$11 * 0.876) - (AN$11 * $N48)) * 0.25,
        0
    )
)</f>
        <v>0</v>
      </c>
      <c r="AO48" s="36">
        <f>IF(
    AND($H48 &gt; $BN$7, Tabella01MarzoInverter[[#This Row],[Active power TX2-INV-11]] &lt;= 0, Tabella01MarzoInverter[[#This Row],[Active power TX3-INV-8]] &lt;= 0),
    MIN(($H48 / 1000) * AO$10 * $BN$4, AO$11 * 0.876) * 0.25,
    IF(
        AND($H48 &gt; $BN$7, Tabella01MarzoInverter[[#This Row],[Active power TX2-INV-11]] &lt;= 0),
        Tabella01MarzoInverter[[#This Row],[Active power TX3-INV-8]] * 0.25,
        0
    )
    +
    IF(
        $N48 &lt; 0.875,
        MAX(0, MIN(($H48 / 1000) * AO$10 * $BN$4, AO$11 * 0.876) - (AO$11 * $N48)) * 0.25,
        0
    )
)</f>
        <v>0</v>
      </c>
      <c r="AP48" s="36">
        <f>IF(
    AND($H48 &gt; $BN$7, Tabella01MarzoInverter[[#This Row],[Active power TX2-INV-12]] &lt;= 0, Tabella01MarzoInverter[[#This Row],[Active power TX3-INV-9]] &lt;= 0),
    MIN(($H48 / 1000) * AP$10 * $BN$4, AP$11 * 0.876) * 0.25,
    IF(
        AND($H48 &gt; $BN$7, Tabella01MarzoInverter[[#This Row],[Active power TX2-INV-12]] &lt;= 0),
        Tabella01MarzoInverter[[#This Row],[Active power TX3-INV-9]] * 0.25,
        0
    )
    +
    IF(
        $N48 &lt; 0.875,
        MAX(0, MIN(($H48 / 1000) * AP$10 * $BN$4, AP$11 * 0.876) - (AP$11 * $N48)) * 0.25,
        0
    )
)</f>
        <v>0</v>
      </c>
      <c r="AQ48" s="8">
        <f>AVERAGE(TabellaMar2026[[#This Row],[Colonna39]:[Colonna6]])</f>
        <v>0</v>
      </c>
      <c r="AR48" s="8">
        <f>MAX(TabellaMar2026[[#This Row],[Colonna39]:[Colonna6]])</f>
        <v>0</v>
      </c>
      <c r="AS48" s="35">
        <f>MIN(TabellaMar2026[[#This Row],[Colonna39]:[Colonna6]])</f>
        <v>0</v>
      </c>
      <c r="AT48" s="48">
        <f>SUM(TabellaMar2026[[#This Row],[Colonna39]:[Colonna6]])</f>
        <v>0</v>
      </c>
      <c r="AU48" s="36" cm="1">
        <f t="array" ref="AU48">IF(
    AND($H48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($H48 / 1000) * AU$10 * $BN$4 * 0.25
    ),
    0
)
+
IF(
    $N48 &lt; 0.875,
    MAX(0, MIN(($H48 / 1000) * AU$10 * $BN$4, AU$11 * 0.876) - (AU$11 * $N48)) * 0.25,
    0
)</f>
        <v>0</v>
      </c>
      <c r="AV48" s="36" cm="1">
        <f t="array" ref="AV48">IF(
    AND($H48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($H48 / 1000) * AV$10 * $BN$4 * 0.25
    ),
    0
)
+
IF(
    $N48 &lt; 0.875,
    MAX(0, MIN(($H48 / 1000) * AV$10 * $BN$4, AV$11 * 0.876) - (AV$11 * $N48)) * 0.25,
    0
)</f>
        <v>0</v>
      </c>
      <c r="AW48" s="36" cm="1">
        <f t="array" ref="AW48">IF(
    AND($H48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($H48 / 1000) * AW$10 * $BN$4 * 0.25
    ),
    0
)
+
IF(
    $N48 &lt; 0.875,
    MAX(0, MIN(($H48 / 1000) * AW$10 * $BN$4, AW$11 * 0.876) - (AW$11 * $N48)) * 0.25,
    0
)</f>
        <v>0</v>
      </c>
      <c r="AX48" s="36" cm="1">
        <f t="array" ref="AX48">IF(
    AND($H48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($H48 / 1000) * AX$10 * $BN$4 * 0.25
    ),
    0
)
+
IF(
    $N48 &lt; 0.875,
    MAX(0, MIN(($H48 / 1000) * AX$10 * $BN$4, AX$11 * 0.876) - (AX$11 * $N48)) * 0.25,
    0
)</f>
        <v>0</v>
      </c>
      <c r="AY48" s="36" cm="1">
        <f t="array" ref="AY48">IF(
    AND($H48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($H48 / 1000) * AY$10 * $BN$4 * 0.25
    ),
    0
)
+
IF(
    $N48 &lt; 0.875,
    MAX(0, MIN(($H48 / 1000) * AY$10 * $BN$4, AY$11 * 0.876) - (AY$11 * $N48)) * 0.25,
    0
)</f>
        <v>0</v>
      </c>
      <c r="AZ48" s="36" cm="1">
        <f t="array" ref="AZ48">IF(
    AND($H48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($H48 / 1000) * AZ$10 * $BN$4 * 0.25
    ),
    0
)
+
IF(
    $N48 &lt; 0.875,
    MAX(0, MIN(($H48 / 1000) * AZ$10 * $BN$4, AZ$11 * 0.876) - (AZ$11 * $N48)) * 0.25,
    0
)</f>
        <v>0</v>
      </c>
      <c r="BA48" s="36" cm="1">
        <f t="array" ref="BA48">IF(
    AND($H48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($H48 / 1000) * BA$10 * $BN$4 * 0.25
    ),
    0
)
+
IF(
    $N48 &lt; 0.875,
    MAX(0, MIN(($H48 / 1000) * BA$10 * $BN$4, BA$11 * 0.876) - (BA$11 * $N48)) * 0.25,
    0
)</f>
        <v>0</v>
      </c>
      <c r="BB48" s="36" cm="1">
        <f t="array" ref="BB48">IF(
    AND($H48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($H48 / 1000) * BB$10 * $BN$4 * 0.25
    ),
    0
)
+
IF(
    $N48 &lt; 0.875,
    MAX(0, MIN(($H48 / 1000) * BB$10 * $BN$4, BB$11 * 0.876) - (BB$11 * $N48)) * 0.25,
    0
)</f>
        <v>0</v>
      </c>
      <c r="BC48" s="36" cm="1">
        <f t="array" ref="BC48">IF(
    AND($H48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($H48 / 1000) * BC$10 * $BN$4 * 0.25
    ),
    0
)
+
IF(
    $N48 &lt; 0.875,
    MAX(0, MIN(($H48 / 1000) * BC$10 * $BN$4, BC$11 * 0.876) - (BC$11 * $N48)) * 0.25,
    0
)</f>
        <v>0</v>
      </c>
      <c r="BD48" s="36" cm="1">
        <f t="array" ref="BD48">IF(
    AND($H48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($H48 / 1000) * BD$10 * $BN$4 * 0.25
    ),
    0
)
+
IF(
    $N48 &lt; 0.875,
    MAX(0, MIN(($H48 / 1000) * BD$10 * $BN$4, BD$11 * 0.876) - (BD$11 * $N48)) * 0.25,
    0
)</f>
        <v>0</v>
      </c>
      <c r="BE48" s="36" cm="1">
        <f t="array" ref="BE48">IF(
    AND($H48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($H48 / 1000) * BE$10 * $BN$4 * 0.25
    ),
    0
)
+
IF(
    $N48 &lt; 0.875,
    MAX(0, MIN(($H48 / 1000) * BE$10 * $BN$4, BE$11 * 0.876) - (BE$11 * $N48)) * 0.25,
    0
)</f>
        <v>0</v>
      </c>
      <c r="BF48" s="36" cm="1">
        <f t="array" ref="BF48">IF(
    AND($H48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($H48 / 1000) * BF$10 * $BN$4 * 0.25
    ),
    0
)
+
IF(
    $N48 &lt; 0.875,
    MAX(0, MIN(($H48 / 1000) * BF$10 * $BN$4, BF$11 * 0.876) - (BF$11 * $N48)) * 0.25,
    0
)</f>
        <v>0</v>
      </c>
      <c r="BG48" s="8">
        <f>AVERAGE(TabellaMar2026[[#This Row],[Colonna55]:[Colonna53]])</f>
        <v>0</v>
      </c>
      <c r="BH48" s="8">
        <f>MAX(TabellaMar2026[[#This Row],[Colonna55]:[Colonna53]])</f>
        <v>0</v>
      </c>
      <c r="BI48" s="35">
        <f>MIN(TabellaMar2026[[#This Row],[Colonna55]:[Colonna53]])</f>
        <v>0</v>
      </c>
      <c r="BJ48" s="48">
        <f>SUM(TabellaMar2026[[#This Row],[Colonna54]:[Colonna53]])</f>
        <v>0</v>
      </c>
      <c r="BK48" s="54">
        <f>(SUM(Tabella01MarzoInverter[[Active power TX1-INV-1]:[Active power TX3-INV-12]]) * 0.25) / (12625 * (SUM($G$15:$H$110) * 0.25 / 1000))</f>
        <v>1.014229628761051</v>
      </c>
      <c r="BL48" s="5"/>
      <c r="BM48" s="5"/>
      <c r="BN48" s="8"/>
      <c r="BO48" s="8"/>
      <c r="BP48" s="19"/>
    </row>
    <row r="49" spans="1:68" x14ac:dyDescent="0.25">
      <c r="A49" s="18">
        <v>46147</v>
      </c>
      <c r="B49" t="s">
        <v>49</v>
      </c>
      <c r="C49" s="5">
        <v>97.2</v>
      </c>
      <c r="D49" s="6">
        <v>2.4300000000000002E-2</v>
      </c>
      <c r="E49" s="6">
        <v>96.6</v>
      </c>
      <c r="F49" s="6">
        <v>2.4149999999999998E-2</v>
      </c>
      <c r="G49" s="6">
        <f>IFERROR((D49+F49)/2, 0)</f>
        <v>2.4225E-2</v>
      </c>
      <c r="H49" s="7">
        <f>IFERROR(IF(AVERAGE(C49,E49)&gt;$BN$7,AVERAGE(C49,E49),0), 0)</f>
        <v>96.9</v>
      </c>
      <c r="I49" s="7">
        <f>IFERROR(IF(AND(D49=0,F49=0),0,IF(H49&gt;$BN$6,MAX(D49,F49),G49)), 0)</f>
        <v>2.4300000000000002E-2</v>
      </c>
      <c r="J49" s="6">
        <f>IFERROR(IF(AND(D49&gt;0,F49&gt;0),ABS(D49-F49)/AVERAGE(D49,F49),0), 0)</f>
        <v>6.1919504643964621E-3</v>
      </c>
      <c r="K49" s="6">
        <v>30387.3</v>
      </c>
      <c r="L49" s="6">
        <v>30387.5</v>
      </c>
      <c r="M49" s="8">
        <f>IFERROR((L49-K49)*1000, 0)</f>
        <v>200.0000000007276</v>
      </c>
      <c r="N49" s="6">
        <v>0.87599999999999989</v>
      </c>
      <c r="O49" s="8" cm="1">
        <f t="array" ref="O49">IF(
    AND($H49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($H49 / 1000) * O$10 * $BN$4 * 0.25
    ),
    0
)
+
IF(
    $N49 &lt; 0.875,
    MAX(0, MIN(($H49 / 1000) * O$10 * $BN$4, O$11 * 0.876) - (O$11 * $N49)) * 0.25,
    0
)</f>
        <v>0</v>
      </c>
      <c r="P49" s="8" cm="1">
        <f t="array" ref="P49">IF(
    AND($H49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($H49 / 1000) * P$10 * $BN$4 * 0.25
    ),
    0
)
+
IF(
    $N49 &lt; 0.875,
    MAX(0, MIN(($H49 / 1000) * P$10 * $BN$4, P$11 * 0.876) - (P$11 * $N49)) * 0.25,
    0
)</f>
        <v>0</v>
      </c>
      <c r="Q49" s="8" cm="1">
        <f t="array" ref="Q49">IF(
    AND($H49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($H49 / 1000) * Q$10 * $BN$4 * 0.25
    ),
    0
)
+
IF(
    $N49 &lt; 0.875,
    MAX(0, MIN(($H49 / 1000) * Q$10 * $BN$4, Q$11 * 0.876) - (Q$11 * $N49)) * 0.25,
    0
)</f>
        <v>0</v>
      </c>
      <c r="R49" s="8" cm="1">
        <f t="array" ref="R49">IF(
    AND($H49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($H49 / 1000) * R$10 * $BN$4 * 0.25
    ),
    0
)
+
IF(
    $N49 &lt; 0.875,
    MAX(0, MIN(($H49 / 1000) * R$10 * $BN$4, R$11 * 0.876) - (R$11 * $N49)) * 0.25,
    0
)</f>
        <v>0</v>
      </c>
      <c r="S49" s="8" cm="1">
        <f t="array" ref="S49">IF(
    AND($H49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($H49 / 1000) * S$10 * $BN$4 * 0.25
    ),
    0
)
+
IF(
    $N49 &lt; 0.875,
    MAX(0, MIN(($H49 / 1000) * S$10 * $BN$4, S$11 * 0.876) - (S$11 * $N49)) * 0.25,
    0
)</f>
        <v>0</v>
      </c>
      <c r="T49" s="8" cm="1">
        <f t="array" ref="T49">IF(
    AND($H49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($H49 / 1000) * T$10 * $BN$4 * 0.25
    ),
    0
)
+
IF(
    $N49 &lt; 0.875,
    MAX(0, MIN(($H49 / 1000) * T$10 * $BN$4, T$11 * 0.876) - (T$11 * $N49)) * 0.25,
    0
)</f>
        <v>0</v>
      </c>
      <c r="U49" s="8" cm="1">
        <f t="array" ref="U49">IF(
    AND($H49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($H49 / 1000) * U$10 * $BN$4 * 0.25
    ),
    0
)
+
IF(
    $N49 &lt; 0.875,
    MAX(0, MIN(($H49 / 1000) * U$10 * $BN$4, U$11 * 0.876) - (U$11 * $N49)) * 0.25,
    0
)</f>
        <v>0</v>
      </c>
      <c r="V49" s="8" cm="1">
        <f t="array" ref="V49">IF(
    AND($H49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($H49 / 1000) * V$10 * $BN$4 * 0.25
    ),
    0
)
+
IF(
    $N49 &lt; 0.875,
    MAX(0, MIN(($H49 / 1000) * V$10 * $BN$4, V$11 * 0.876) - (V$11 * $N49)) * 0.25,
    0
)</f>
        <v>0</v>
      </c>
      <c r="W49" s="8" cm="1">
        <f t="array" ref="W49">IF(
    AND($H49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($H49 / 1000) * W$10 * $BN$4 * 0.25
    ),
    0
)
+
IF(
    $N49 &lt; 0.875,
    MAX(0, MIN(($H49 / 1000) * W$10 * $BN$4, W$11 * 0.876) - (W$11 * $N49)) * 0.25,
    0
)</f>
        <v>0</v>
      </c>
      <c r="X49" s="8" cm="1">
        <f t="array" ref="X49">IF(
    AND($H49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($H49 / 1000) * X$10 * $BN$4 * 0.25
    ),
    0
)
+
IF(
    $N49 &lt; 0.875,
    MAX(0, MIN(($H49 / 1000) * X$10 * $BN$4, X$11 * 0.876) - (X$11 * $N49)) * 0.25,
    0
)</f>
        <v>0</v>
      </c>
      <c r="Y49" s="8" cm="1">
        <f t="array" ref="Y49">IF(
    AND($H49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($H49 / 1000) * Y$10 * $BN$4 * 0.25
    ),
    0
)
+
IF(
    $N49 &lt; 0.875,
    MAX(0, MIN(($H49 / 1000) * Y$10 * $BN$4, Y$11 * 0.876) - (Y$11 * $N49)) * 0.25,
    0
)</f>
        <v>0</v>
      </c>
      <c r="Z49" s="8" cm="1">
        <f t="array" ref="Z49">IF(
    AND($H49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($H49 / 1000) * Z$10 * $BN$4 * 0.25
    ),
    0
)
+
IF(
    $N49 &lt; 0.875,
    MAX(0, MIN(($H49 / 1000) * Z$10 * $BN$4, Z$11 * 0.876) - (Z$11 * $N49)) * 0.25,
    0
)</f>
        <v>0</v>
      </c>
      <c r="AA49" s="8">
        <f>AVERAGE(TabellaMar2026[[#This Row],[Colonna24]:[Colonna20]])</f>
        <v>0</v>
      </c>
      <c r="AB49" s="8">
        <f>MAX(TabellaMar2026[[#This Row],[Colonna24]:[Colonna20]])</f>
        <v>0</v>
      </c>
      <c r="AC49" s="35">
        <f>MIN(TabellaMar2026[[#This Row],[Colonna24]:[Colonna20]])</f>
        <v>0</v>
      </c>
      <c r="AD49" s="44">
        <f>SUM(TabellaMar2026[[#This Row],[Colonna24]:[Colonna20]])</f>
        <v>0</v>
      </c>
      <c r="AE49" s="36">
        <f>IF(
    AND($H49 &gt; $BN$7, Tabella01MarzoInverter[[#This Row],[Active power TX2-INV-1]] &lt;= 0, Tabella01MarzoInverter[[#This Row],[TX2 - Average Power]] &lt;= 0),
    MIN(($H49 / 1000) * AE$10 * $BN$4, AE$11 * 0.876) * 0.25,
    IF(
        AND($H49 &gt; $BN$7, Tabella01MarzoInverter[[#This Row],[Active power TX2-INV-1]] &lt;= 0),
        Tabella01MarzoInverter[[#This Row],[TX2 - Average Power]] * 0.25,
        0
    )
    +
    IF(
        $N49 &lt; 0.875,
        MAX(0, MIN(($H49 / 1000) * AE$10 * $BN$4, AE$11 * 0.876) - (AE$11 * $N49)) * 0.25,
        0
    )
)</f>
        <v>0</v>
      </c>
      <c r="AF49" s="36">
        <f>IF(
    AND($H49 &gt; $BN$7, Tabella01MarzoInverter[[#This Row],[Active power TX2-INV-2]] &lt;= 0, Tabella01MarzoInverter[[#This Row],[TX2 - Max Power]] &lt;= 0),
    MIN(($H49 / 1000) * AF$10 * $BN$4, AF$11 * 0.876) * 0.25,
    IF(
        AND($H49 &gt; $BN$7, Tabella01MarzoInverter[[#This Row],[Active power TX2-INV-2]] &lt;= 0),
        Tabella01MarzoInverter[[#This Row],[TX2 - Max Power]] * 0.25,
        0
    )
    +
    IF(
        $N49 &lt; 0.875,
        MAX(0, MIN(($H49 / 1000) * AF$10 * $BN$4, AF$11 * 0.876) - (AF$11 * $N49)) * 0.25,
        0
    )
)</f>
        <v>0</v>
      </c>
      <c r="AG49" s="36">
        <f>IF(
    AND($H49 &gt; $BN$7, Tabella01MarzoInverter[[#This Row],[Active power TX2-INV-3]] &lt;= 0, Tabella01MarzoInverter[[#This Row],[TX2 - Min Power]] &lt;= 0),
    MIN(($H49 / 1000) * AG$10 * $BN$4, AG$11 * 0.876) * 0.25,
    IF(
        AND($H49 &gt; $BN$7, Tabella01MarzoInverter[[#This Row],[Active power TX2-INV-3]] &lt;= 0),
        Tabella01MarzoInverter[[#This Row],[TX2 - Min Power]] * 0.25,
        0
    )
    +
    IF(
        $N49 &lt; 0.875,
        MAX(0, MIN(($H49 / 1000) * AG$10 * $BN$4, AG$11 * 0.876) - (AG$11 * $N49)) * 0.25,
        0
    )
)</f>
        <v>0</v>
      </c>
      <c r="AH49" s="36">
        <f>IF(
    AND($H49 &gt; $BN$7, Tabella01MarzoInverter[[#This Row],[Active power TX2-INV-4]] &lt;= 0, Tabella01MarzoInverter[[#This Row],[Active power TX3-INV-1]] &lt;= 0),
    MIN(($H49 / 1000) * AH$10 * $BN$4, AH$11 * 0.876) * 0.25,
    IF(
        AND($H49 &gt; $BN$7, Tabella01MarzoInverter[[#This Row],[Active power TX2-INV-4]] &lt;= 0),
        Tabella01MarzoInverter[[#This Row],[Active power TX3-INV-1]] * 0.25,
        0
    )
    +
    IF(
        $N49 &lt; 0.875,
        MAX(0, MIN(($H49 / 1000) * AH$10 * $BN$4, AH$11 * 0.876) - (AH$11 * $N49)) * 0.25,
        0
    )
)</f>
        <v>0</v>
      </c>
      <c r="AI49" s="36">
        <f>IF(
    AND($H49 &gt; $BN$7, Tabella01MarzoInverter[[#This Row],[Active power TX2-INV-5]] &lt;= 0, Tabella01MarzoInverter[[#This Row],[Active power TX3-INV-2]] &lt;= 0),
    MIN(($H49 / 1000) * AI$10 * $BN$4, AI$11 * 0.876) * 0.25,
    IF(
        AND($H49 &gt; $BN$7, Tabella01MarzoInverter[[#This Row],[Active power TX2-INV-5]] &lt;= 0),
        Tabella01MarzoInverter[[#This Row],[Active power TX3-INV-2]] * 0.25,
        0
    )
    +
    IF(
        $N49 &lt; 0.875,
        MAX(0, MIN(($H49 / 1000) * AI$10 * $BN$4, AI$11 * 0.876) - (AI$11 * $N49)) * 0.25,
        0
    )
)</f>
        <v>0</v>
      </c>
      <c r="AJ49" s="36">
        <f>IF(
    AND($H49 &gt; $BN$7, Tabella01MarzoInverter[[#This Row],[Active power TX2-INV-6]] &lt;= 0, Tabella01MarzoInverter[[#This Row],[Active power TX3-INV-3]] &lt;= 0),
    MIN(($H49 / 1000) * AJ$10 * $BN$4, AJ$11 * 0.876) * 0.25,
    IF(
        AND($H49 &gt; $BN$7, Tabella01MarzoInverter[[#This Row],[Active power TX2-INV-6]] &lt;= 0),
        Tabella01MarzoInverter[[#This Row],[Active power TX3-INV-3]] * 0.25,
        0
    )
    +
    IF(
        $N49 &lt; 0.875,
        MAX(0, MIN(($H49 / 1000) * AJ$10 * $BN$4, AJ$11 * 0.876) - (AJ$11 * $N49)) * 0.25,
        0
    )
)</f>
        <v>0</v>
      </c>
      <c r="AK49" s="36">
        <f>IF(
    AND($H49 &gt; $BN$7, Tabella01MarzoInverter[[#This Row],[Active power TX2-INV-7]] &lt;= 0, Tabella01MarzoInverter[[#This Row],[Active power TX3-INV-4]] &lt;= 0),
    MIN(($H49 / 1000) * AK$10 * $BN$4, AK$11 * 0.876) * 0.25,
    IF(
        AND($H49 &gt; $BN$7, Tabella01MarzoInverter[[#This Row],[Active power TX2-INV-7]] &lt;= 0),
        Tabella01MarzoInverter[[#This Row],[Active power TX3-INV-4]] * 0.25,
        0
    )
    +
    IF(
        $N49 &lt; 0.875,
        MAX(0, MIN(($H49 / 1000) * AK$10 * $BN$4, AK$11 * 0.876) - (AK$11 * $N49)) * 0.25,
        0
    )
)</f>
        <v>0</v>
      </c>
      <c r="AL49" s="36">
        <f>IF(
    AND($H49 &gt; $BN$7, Tabella01MarzoInverter[[#This Row],[Active power TX2-INV-8]] &lt;= 0, Tabella01MarzoInverter[[#This Row],[Active power TX3-INV-5]] &lt;= 0),
    MIN(($H49 / 1000) * AL$10 * $BN$4, AL$11 * 0.876) * 0.25,
    IF(
        AND($H49 &gt; $BN$7, Tabella01MarzoInverter[[#This Row],[Active power TX2-INV-8]] &lt;= 0),
        Tabella01MarzoInverter[[#This Row],[Active power TX3-INV-5]] * 0.25,
        0
    )
    +
    IF(
        $N49 &lt; 0.875,
        MAX(0, MIN(($H49 / 1000) * AL$10 * $BN$4, AL$11 * 0.876) - (AL$11 * $N49)) * 0.25,
        0
    )
)</f>
        <v>0</v>
      </c>
      <c r="AM49" s="36">
        <f>IF(
    AND($H49 &gt; $BN$7, Tabella01MarzoInverter[[#This Row],[Active power TX2-INV-9]] &lt;= 0, Tabella01MarzoInverter[[#This Row],[Active power TX3-INV-6]] &lt;= 0),
    MIN(($H49 / 1000) * AM$10 * $BN$4, AM$11 * 0.876) * 0.25,
    IF(
        AND($H49 &gt; $BN$7, Tabella01MarzoInverter[[#This Row],[Active power TX2-INV-9]] &lt;= 0),
        Tabella01MarzoInverter[[#This Row],[Active power TX3-INV-6]] * 0.25,
        0
    )
    +
    IF(
        $N49 &lt; 0.875,
        MAX(0, MIN(($H49 / 1000) * AM$10 * $BN$4, AM$11 * 0.876) - (AM$11 * $N49)) * 0.25,
        0
    )
)</f>
        <v>0</v>
      </c>
      <c r="AN49" s="36">
        <f>IF(
    AND($H49 &gt; $BN$7, Tabella01MarzoInverter[[#This Row],[Active power TX2-INV-10]] &lt;= 0, Tabella01MarzoInverter[[#This Row],[Active power TX3-INV-7]] &lt;= 0),
    MIN(($H49 / 1000) * AN$10 * $BN$4, AN$11 * 0.876) * 0.25,
    IF(
        AND($H49 &gt; $BN$7, Tabella01MarzoInverter[[#This Row],[Active power TX2-INV-10]] &lt;= 0),
        Tabella01MarzoInverter[[#This Row],[Active power TX3-INV-7]] * 0.25,
        0
    )
    +
    IF(
        $N49 &lt; 0.875,
        MAX(0, MIN(($H49 / 1000) * AN$10 * $BN$4, AN$11 * 0.876) - (AN$11 * $N49)) * 0.25,
        0
    )
)</f>
        <v>0</v>
      </c>
      <c r="AO49" s="36">
        <f>IF(
    AND($H49 &gt; $BN$7, Tabella01MarzoInverter[[#This Row],[Active power TX2-INV-11]] &lt;= 0, Tabella01MarzoInverter[[#This Row],[Active power TX3-INV-8]] &lt;= 0),
    MIN(($H49 / 1000) * AO$10 * $BN$4, AO$11 * 0.876) * 0.25,
    IF(
        AND($H49 &gt; $BN$7, Tabella01MarzoInverter[[#This Row],[Active power TX2-INV-11]] &lt;= 0),
        Tabella01MarzoInverter[[#This Row],[Active power TX3-INV-8]] * 0.25,
        0
    )
    +
    IF(
        $N49 &lt; 0.875,
        MAX(0, MIN(($H49 / 1000) * AO$10 * $BN$4, AO$11 * 0.876) - (AO$11 * $N49)) * 0.25,
        0
    )
)</f>
        <v>0</v>
      </c>
      <c r="AP49" s="36">
        <f>IF(
    AND($H49 &gt; $BN$7, Tabella01MarzoInverter[[#This Row],[Active power TX2-INV-12]] &lt;= 0, Tabella01MarzoInverter[[#This Row],[Active power TX3-INV-9]] &lt;= 0),
    MIN(($H49 / 1000) * AP$10 * $BN$4, AP$11 * 0.876) * 0.25,
    IF(
        AND($H49 &gt; $BN$7, Tabella01MarzoInverter[[#This Row],[Active power TX2-INV-12]] &lt;= 0),
        Tabella01MarzoInverter[[#This Row],[Active power TX3-INV-9]] * 0.25,
        0
    )
    +
    IF(
        $N49 &lt; 0.875,
        MAX(0, MIN(($H49 / 1000) * AP$10 * $BN$4, AP$11 * 0.876) - (AP$11 * $N49)) * 0.25,
        0
    )
)</f>
        <v>0</v>
      </c>
      <c r="AQ49" s="8">
        <f>AVERAGE(TabellaMar2026[[#This Row],[Colonna39]:[Colonna6]])</f>
        <v>0</v>
      </c>
      <c r="AR49" s="8">
        <f>MAX(TabellaMar2026[[#This Row],[Colonna39]:[Colonna6]])</f>
        <v>0</v>
      </c>
      <c r="AS49" s="35">
        <f>MIN(TabellaMar2026[[#This Row],[Colonna39]:[Colonna6]])</f>
        <v>0</v>
      </c>
      <c r="AT49" s="48">
        <f>SUM(TabellaMar2026[[#This Row],[Colonna39]:[Colonna6]])</f>
        <v>0</v>
      </c>
      <c r="AU49" s="36" cm="1">
        <f t="array" ref="AU49">IF(
    AND($H49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($H49 / 1000) * AU$10 * $BN$4 * 0.25
    ),
    0
)
+
IF(
    $N49 &lt; 0.875,
    MAX(0, MIN(($H49 / 1000) * AU$10 * $BN$4, AU$11 * 0.876) - (AU$11 * $N49)) * 0.25,
    0
)</f>
        <v>0</v>
      </c>
      <c r="AV49" s="36" cm="1">
        <f t="array" ref="AV49">IF(
    AND($H49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($H49 / 1000) * AV$10 * $BN$4 * 0.25
    ),
    0
)
+
IF(
    $N49 &lt; 0.875,
    MAX(0, MIN(($H49 / 1000) * AV$10 * $BN$4, AV$11 * 0.876) - (AV$11 * $N49)) * 0.25,
    0
)</f>
        <v>0</v>
      </c>
      <c r="AW49" s="36" cm="1">
        <f t="array" ref="AW49">IF(
    AND($H49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($H49 / 1000) * AW$10 * $BN$4 * 0.25
    ),
    0
)
+
IF(
    $N49 &lt; 0.875,
    MAX(0, MIN(($H49 / 1000) * AW$10 * $BN$4, AW$11 * 0.876) - (AW$11 * $N49)) * 0.25,
    0
)</f>
        <v>0</v>
      </c>
      <c r="AX49" s="36" cm="1">
        <f t="array" ref="AX49">IF(
    AND($H49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($H49 / 1000) * AX$10 * $BN$4 * 0.25
    ),
    0
)
+
IF(
    $N49 &lt; 0.875,
    MAX(0, MIN(($H49 / 1000) * AX$10 * $BN$4, AX$11 * 0.876) - (AX$11 * $N49)) * 0.25,
    0
)</f>
        <v>0</v>
      </c>
      <c r="AY49" s="36" cm="1">
        <f t="array" ref="AY49">IF(
    AND($H49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($H49 / 1000) * AY$10 * $BN$4 * 0.25
    ),
    0
)
+
IF(
    $N49 &lt; 0.875,
    MAX(0, MIN(($H49 / 1000) * AY$10 * $BN$4, AY$11 * 0.876) - (AY$11 * $N49)) * 0.25,
    0
)</f>
        <v>0</v>
      </c>
      <c r="AZ49" s="36" cm="1">
        <f t="array" ref="AZ49">IF(
    AND($H49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($H49 / 1000) * AZ$10 * $BN$4 * 0.25
    ),
    0
)
+
IF(
    $N49 &lt; 0.875,
    MAX(0, MIN(($H49 / 1000) * AZ$10 * $BN$4, AZ$11 * 0.876) - (AZ$11 * $N49)) * 0.25,
    0
)</f>
        <v>0</v>
      </c>
      <c r="BA49" s="36" cm="1">
        <f t="array" ref="BA49">IF(
    AND($H49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($H49 / 1000) * BA$10 * $BN$4 * 0.25
    ),
    0
)
+
IF(
    $N49 &lt; 0.875,
    MAX(0, MIN(($H49 / 1000) * BA$10 * $BN$4, BA$11 * 0.876) - (BA$11 * $N49)) * 0.25,
    0
)</f>
        <v>0</v>
      </c>
      <c r="BB49" s="36" cm="1">
        <f t="array" ref="BB49">IF(
    AND($H49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($H49 / 1000) * BB$10 * $BN$4 * 0.25
    ),
    0
)
+
IF(
    $N49 &lt; 0.875,
    MAX(0, MIN(($H49 / 1000) * BB$10 * $BN$4, BB$11 * 0.876) - (BB$11 * $N49)) * 0.25,
    0
)</f>
        <v>0</v>
      </c>
      <c r="BC49" s="36" cm="1">
        <f t="array" ref="BC49">IF(
    AND($H49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($H49 / 1000) * BC$10 * $BN$4 * 0.25
    ),
    0
)
+
IF(
    $N49 &lt; 0.875,
    MAX(0, MIN(($H49 / 1000) * BC$10 * $BN$4, BC$11 * 0.876) - (BC$11 * $N49)) * 0.25,
    0
)</f>
        <v>0</v>
      </c>
      <c r="BD49" s="36" cm="1">
        <f t="array" ref="BD49">IF(
    AND($H49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($H49 / 1000) * BD$10 * $BN$4 * 0.25
    ),
    0
)
+
IF(
    $N49 &lt; 0.875,
    MAX(0, MIN(($H49 / 1000) * BD$10 * $BN$4, BD$11 * 0.876) - (BD$11 * $N49)) * 0.25,
    0
)</f>
        <v>0</v>
      </c>
      <c r="BE49" s="36" cm="1">
        <f t="array" ref="BE49">IF(
    AND($H49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($H49 / 1000) * BE$10 * $BN$4 * 0.25
    ),
    0
)
+
IF(
    $N49 &lt; 0.875,
    MAX(0, MIN(($H49 / 1000) * BE$10 * $BN$4, BE$11 * 0.876) - (BE$11 * $N49)) * 0.25,
    0
)</f>
        <v>0</v>
      </c>
      <c r="BF49" s="36" cm="1">
        <f t="array" ref="BF49">IF(
    AND($H49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($H49 / 1000) * BF$10 * $BN$4 * 0.25
    ),
    0
)
+
IF(
    $N49 &lt; 0.875,
    MAX(0, MIN(($H49 / 1000) * BF$10 * $BN$4, BF$11 * 0.876) - (BF$11 * $N49)) * 0.25,
    0
)</f>
        <v>0</v>
      </c>
      <c r="BG49" s="8">
        <f>AVERAGE(TabellaMar2026[[#This Row],[Colonna55]:[Colonna53]])</f>
        <v>0</v>
      </c>
      <c r="BH49" s="8">
        <f>MAX(TabellaMar2026[[#This Row],[Colonna55]:[Colonna53]])</f>
        <v>0</v>
      </c>
      <c r="BI49" s="35">
        <f>MIN(TabellaMar2026[[#This Row],[Colonna55]:[Colonna53]])</f>
        <v>0</v>
      </c>
      <c r="BJ49" s="48">
        <f>SUM(TabellaMar2026[[#This Row],[Colonna54]:[Colonna53]])</f>
        <v>0</v>
      </c>
      <c r="BK49" s="54">
        <f>(SUM(Tabella01MarzoInverter[[Active power TX1-INV-1]:[Active power TX3-INV-12]]) * 0.25) / (12625 * (SUM($G$15:$H$110) * 0.25 / 1000))</f>
        <v>1.014229628761051</v>
      </c>
      <c r="BL49" s="5"/>
      <c r="BM49" s="5"/>
      <c r="BN49" s="8"/>
      <c r="BO49" s="8"/>
      <c r="BP49" s="19"/>
    </row>
    <row r="50" spans="1:68" x14ac:dyDescent="0.25">
      <c r="A50" s="18">
        <v>46147</v>
      </c>
      <c r="B50" t="s">
        <v>50</v>
      </c>
      <c r="C50" s="5">
        <v>116.8</v>
      </c>
      <c r="D50" s="6">
        <v>2.92E-2</v>
      </c>
      <c r="E50" s="6">
        <v>115.7</v>
      </c>
      <c r="F50" s="6">
        <v>2.8924999999999999E-2</v>
      </c>
      <c r="G50" s="6">
        <f>IFERROR((D50+F50)/2, 0)</f>
        <v>2.9062499999999998E-2</v>
      </c>
      <c r="H50" s="7">
        <f>IFERROR(IF(AVERAGE(C50,E50)&gt;$BN$7,AVERAGE(C50,E50),0), 0)</f>
        <v>116.25</v>
      </c>
      <c r="I50" s="7">
        <f>IFERROR(IF(AND(D50=0,F50=0),0,IF(H50&gt;$BN$6,MAX(D50,F50),G50)), 0)</f>
        <v>2.92E-2</v>
      </c>
      <c r="J50" s="6">
        <f>IFERROR(IF(AND(D50&gt;0,F50&gt;0),ABS(D50-F50)/AVERAGE(D50,F50),0), 0)</f>
        <v>9.4623655913978824E-3</v>
      </c>
      <c r="K50" s="6">
        <v>30387.5</v>
      </c>
      <c r="L50" s="6">
        <v>30387.9</v>
      </c>
      <c r="M50" s="8">
        <f>IFERROR((L50-K50)*1000, 0)</f>
        <v>400.00000000145519</v>
      </c>
      <c r="N50" s="6">
        <v>0.87599999999999989</v>
      </c>
      <c r="O50" s="8" cm="1">
        <f t="array" ref="O50">IF(
    AND($H50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($H50 / 1000) * O$10 * $BN$4 * 0.25
    ),
    0
)
+
IF(
    $N50 &lt; 0.875,
    MAX(0, MIN(($H50 / 1000) * O$10 * $BN$4, O$11 * 0.876) - (O$11 * $N50)) * 0.25,
    0
)</f>
        <v>0</v>
      </c>
      <c r="P50" s="8" cm="1">
        <f t="array" ref="P50">IF(
    AND($H50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($H50 / 1000) * P$10 * $BN$4 * 0.25
    ),
    0
)
+
IF(
    $N50 &lt; 0.875,
    MAX(0, MIN(($H50 / 1000) * P$10 * $BN$4, P$11 * 0.876) - (P$11 * $N50)) * 0.25,
    0
)</f>
        <v>0</v>
      </c>
      <c r="Q50" s="8" cm="1">
        <f t="array" ref="Q50">IF(
    AND($H50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($H50 / 1000) * Q$10 * $BN$4 * 0.25
    ),
    0
)
+
IF(
    $N50 &lt; 0.875,
    MAX(0, MIN(($H50 / 1000) * Q$10 * $BN$4, Q$11 * 0.876) - (Q$11 * $N50)) * 0.25,
    0
)</f>
        <v>0</v>
      </c>
      <c r="R50" s="8" cm="1">
        <f t="array" ref="R50">IF(
    AND($H50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($H50 / 1000) * R$10 * $BN$4 * 0.25
    ),
    0
)
+
IF(
    $N50 &lt; 0.875,
    MAX(0, MIN(($H50 / 1000) * R$10 * $BN$4, R$11 * 0.876) - (R$11 * $N50)) * 0.25,
    0
)</f>
        <v>0</v>
      </c>
      <c r="S50" s="8" cm="1">
        <f t="array" ref="S50">IF(
    AND($H50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($H50 / 1000) * S$10 * $BN$4 * 0.25
    ),
    0
)
+
IF(
    $N50 &lt; 0.875,
    MAX(0, MIN(($H50 / 1000) * S$10 * $BN$4, S$11 * 0.876) - (S$11 * $N50)) * 0.25,
    0
)</f>
        <v>0</v>
      </c>
      <c r="T50" s="8" cm="1">
        <f t="array" ref="T50">IF(
    AND($H50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($H50 / 1000) * T$10 * $BN$4 * 0.25
    ),
    0
)
+
IF(
    $N50 &lt; 0.875,
    MAX(0, MIN(($H50 / 1000) * T$10 * $BN$4, T$11 * 0.876) - (T$11 * $N50)) * 0.25,
    0
)</f>
        <v>0</v>
      </c>
      <c r="U50" s="8" cm="1">
        <f t="array" ref="U50">IF(
    AND($H50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($H50 / 1000) * U$10 * $BN$4 * 0.25
    ),
    0
)
+
IF(
    $N50 &lt; 0.875,
    MAX(0, MIN(($H50 / 1000) * U$10 * $BN$4, U$11 * 0.876) - (U$11 * $N50)) * 0.25,
    0
)</f>
        <v>0</v>
      </c>
      <c r="V50" s="8" cm="1">
        <f t="array" ref="V50">IF(
    AND($H50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($H50 / 1000) * V$10 * $BN$4 * 0.25
    ),
    0
)
+
IF(
    $N50 &lt; 0.875,
    MAX(0, MIN(($H50 / 1000) * V$10 * $BN$4, V$11 * 0.876) - (V$11 * $N50)) * 0.25,
    0
)</f>
        <v>0</v>
      </c>
      <c r="W50" s="8" cm="1">
        <f t="array" ref="W50">IF(
    AND($H50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($H50 / 1000) * W$10 * $BN$4 * 0.25
    ),
    0
)
+
IF(
    $N50 &lt; 0.875,
    MAX(0, MIN(($H50 / 1000) * W$10 * $BN$4, W$11 * 0.876) - (W$11 * $N50)) * 0.25,
    0
)</f>
        <v>0</v>
      </c>
      <c r="X50" s="8" cm="1">
        <f t="array" ref="X50">IF(
    AND($H50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($H50 / 1000) * X$10 * $BN$4 * 0.25
    ),
    0
)
+
IF(
    $N50 &lt; 0.875,
    MAX(0, MIN(($H50 / 1000) * X$10 * $BN$4, X$11 * 0.876) - (X$11 * $N50)) * 0.25,
    0
)</f>
        <v>0</v>
      </c>
      <c r="Y50" s="8" cm="1">
        <f t="array" ref="Y50">IF(
    AND($H50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($H50 / 1000) * Y$10 * $BN$4 * 0.25
    ),
    0
)
+
IF(
    $N50 &lt; 0.875,
    MAX(0, MIN(($H50 / 1000) * Y$10 * $BN$4, Y$11 * 0.876) - (Y$11 * $N50)) * 0.25,
    0
)</f>
        <v>0</v>
      </c>
      <c r="Z50" s="8" cm="1">
        <f t="array" ref="Z50">IF(
    AND($H50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($H50 / 1000) * Z$10 * $BN$4 * 0.25
    ),
    0
)
+
IF(
    $N50 &lt; 0.875,
    MAX(0, MIN(($H50 / 1000) * Z$10 * $BN$4, Z$11 * 0.876) - (Z$11 * $N50)) * 0.25,
    0
)</f>
        <v>0</v>
      </c>
      <c r="AA50" s="8">
        <f>AVERAGE(TabellaMar2026[[#This Row],[Colonna24]:[Colonna20]])</f>
        <v>0</v>
      </c>
      <c r="AB50" s="8">
        <f>MAX(TabellaMar2026[[#This Row],[Colonna24]:[Colonna20]])</f>
        <v>0</v>
      </c>
      <c r="AC50" s="35">
        <f>MIN(TabellaMar2026[[#This Row],[Colonna24]:[Colonna20]])</f>
        <v>0</v>
      </c>
      <c r="AD50" s="44">
        <f>SUM(TabellaMar2026[[#This Row],[Colonna24]:[Colonna20]])</f>
        <v>0</v>
      </c>
      <c r="AE50" s="36">
        <f>IF(
    AND($H50 &gt; $BN$7, Tabella01MarzoInverter[[#This Row],[Active power TX2-INV-1]] &lt;= 0, Tabella01MarzoInverter[[#This Row],[TX2 - Average Power]] &lt;= 0),
    MIN(($H50 / 1000) * AE$10 * $BN$4, AE$11 * 0.876) * 0.25,
    IF(
        AND($H50 &gt; $BN$7, Tabella01MarzoInverter[[#This Row],[Active power TX2-INV-1]] &lt;= 0),
        Tabella01MarzoInverter[[#This Row],[TX2 - Average Power]] * 0.25,
        0
    )
    +
    IF(
        $N50 &lt; 0.875,
        MAX(0, MIN(($H50 / 1000) * AE$10 * $BN$4, AE$11 * 0.876) - (AE$11 * $N50)) * 0.25,
        0
    )
)</f>
        <v>0</v>
      </c>
      <c r="AF50" s="36">
        <f>IF(
    AND($H50 &gt; $BN$7, Tabella01MarzoInverter[[#This Row],[Active power TX2-INV-2]] &lt;= 0, Tabella01MarzoInverter[[#This Row],[TX2 - Max Power]] &lt;= 0),
    MIN(($H50 / 1000) * AF$10 * $BN$4, AF$11 * 0.876) * 0.25,
    IF(
        AND($H50 &gt; $BN$7, Tabella01MarzoInverter[[#This Row],[Active power TX2-INV-2]] &lt;= 0),
        Tabella01MarzoInverter[[#This Row],[TX2 - Max Power]] * 0.25,
        0
    )
    +
    IF(
        $N50 &lt; 0.875,
        MAX(0, MIN(($H50 / 1000) * AF$10 * $BN$4, AF$11 * 0.876) - (AF$11 * $N50)) * 0.25,
        0
    )
)</f>
        <v>0</v>
      </c>
      <c r="AG50" s="36">
        <f>IF(
    AND($H50 &gt; $BN$7, Tabella01MarzoInverter[[#This Row],[Active power TX2-INV-3]] &lt;= 0, Tabella01MarzoInverter[[#This Row],[TX2 - Min Power]] &lt;= 0),
    MIN(($H50 / 1000) * AG$10 * $BN$4, AG$11 * 0.876) * 0.25,
    IF(
        AND($H50 &gt; $BN$7, Tabella01MarzoInverter[[#This Row],[Active power TX2-INV-3]] &lt;= 0),
        Tabella01MarzoInverter[[#This Row],[TX2 - Min Power]] * 0.25,
        0
    )
    +
    IF(
        $N50 &lt; 0.875,
        MAX(0, MIN(($H50 / 1000) * AG$10 * $BN$4, AG$11 * 0.876) - (AG$11 * $N50)) * 0.25,
        0
    )
)</f>
        <v>0</v>
      </c>
      <c r="AH50" s="36">
        <f>IF(
    AND($H50 &gt; $BN$7, Tabella01MarzoInverter[[#This Row],[Active power TX2-INV-4]] &lt;= 0, Tabella01MarzoInverter[[#This Row],[Active power TX3-INV-1]] &lt;= 0),
    MIN(($H50 / 1000) * AH$10 * $BN$4, AH$11 * 0.876) * 0.25,
    IF(
        AND($H50 &gt; $BN$7, Tabella01MarzoInverter[[#This Row],[Active power TX2-INV-4]] &lt;= 0),
        Tabella01MarzoInverter[[#This Row],[Active power TX3-INV-1]] * 0.25,
        0
    )
    +
    IF(
        $N50 &lt; 0.875,
        MAX(0, MIN(($H50 / 1000) * AH$10 * $BN$4, AH$11 * 0.876) - (AH$11 * $N50)) * 0.25,
        0
    )
)</f>
        <v>0</v>
      </c>
      <c r="AI50" s="36">
        <f>IF(
    AND($H50 &gt; $BN$7, Tabella01MarzoInverter[[#This Row],[Active power TX2-INV-5]] &lt;= 0, Tabella01MarzoInverter[[#This Row],[Active power TX3-INV-2]] &lt;= 0),
    MIN(($H50 / 1000) * AI$10 * $BN$4, AI$11 * 0.876) * 0.25,
    IF(
        AND($H50 &gt; $BN$7, Tabella01MarzoInverter[[#This Row],[Active power TX2-INV-5]] &lt;= 0),
        Tabella01MarzoInverter[[#This Row],[Active power TX3-INV-2]] * 0.25,
        0
    )
    +
    IF(
        $N50 &lt; 0.875,
        MAX(0, MIN(($H50 / 1000) * AI$10 * $BN$4, AI$11 * 0.876) - (AI$11 * $N50)) * 0.25,
        0
    )
)</f>
        <v>0</v>
      </c>
      <c r="AJ50" s="36">
        <f>IF(
    AND($H50 &gt; $BN$7, Tabella01MarzoInverter[[#This Row],[Active power TX2-INV-6]] &lt;= 0, Tabella01MarzoInverter[[#This Row],[Active power TX3-INV-3]] &lt;= 0),
    MIN(($H50 / 1000) * AJ$10 * $BN$4, AJ$11 * 0.876) * 0.25,
    IF(
        AND($H50 &gt; $BN$7, Tabella01MarzoInverter[[#This Row],[Active power TX2-INV-6]] &lt;= 0),
        Tabella01MarzoInverter[[#This Row],[Active power TX3-INV-3]] * 0.25,
        0
    )
    +
    IF(
        $N50 &lt; 0.875,
        MAX(0, MIN(($H50 / 1000) * AJ$10 * $BN$4, AJ$11 * 0.876) - (AJ$11 * $N50)) * 0.25,
        0
    )
)</f>
        <v>0</v>
      </c>
      <c r="AK50" s="36">
        <f>IF(
    AND($H50 &gt; $BN$7, Tabella01MarzoInverter[[#This Row],[Active power TX2-INV-7]] &lt;= 0, Tabella01MarzoInverter[[#This Row],[Active power TX3-INV-4]] &lt;= 0),
    MIN(($H50 / 1000) * AK$10 * $BN$4, AK$11 * 0.876) * 0.25,
    IF(
        AND($H50 &gt; $BN$7, Tabella01MarzoInverter[[#This Row],[Active power TX2-INV-7]] &lt;= 0),
        Tabella01MarzoInverter[[#This Row],[Active power TX3-INV-4]] * 0.25,
        0
    )
    +
    IF(
        $N50 &lt; 0.875,
        MAX(0, MIN(($H50 / 1000) * AK$10 * $BN$4, AK$11 * 0.876) - (AK$11 * $N50)) * 0.25,
        0
    )
)</f>
        <v>0</v>
      </c>
      <c r="AL50" s="36">
        <f>IF(
    AND($H50 &gt; $BN$7, Tabella01MarzoInverter[[#This Row],[Active power TX2-INV-8]] &lt;= 0, Tabella01MarzoInverter[[#This Row],[Active power TX3-INV-5]] &lt;= 0),
    MIN(($H50 / 1000) * AL$10 * $BN$4, AL$11 * 0.876) * 0.25,
    IF(
        AND($H50 &gt; $BN$7, Tabella01MarzoInverter[[#This Row],[Active power TX2-INV-8]] &lt;= 0),
        Tabella01MarzoInverter[[#This Row],[Active power TX3-INV-5]] * 0.25,
        0
    )
    +
    IF(
        $N50 &lt; 0.875,
        MAX(0, MIN(($H50 / 1000) * AL$10 * $BN$4, AL$11 * 0.876) - (AL$11 * $N50)) * 0.25,
        0
    )
)</f>
        <v>0</v>
      </c>
      <c r="AM50" s="36">
        <f>IF(
    AND($H50 &gt; $BN$7, Tabella01MarzoInverter[[#This Row],[Active power TX2-INV-9]] &lt;= 0, Tabella01MarzoInverter[[#This Row],[Active power TX3-INV-6]] &lt;= 0),
    MIN(($H50 / 1000) * AM$10 * $BN$4, AM$11 * 0.876) * 0.25,
    IF(
        AND($H50 &gt; $BN$7, Tabella01MarzoInverter[[#This Row],[Active power TX2-INV-9]] &lt;= 0),
        Tabella01MarzoInverter[[#This Row],[Active power TX3-INV-6]] * 0.25,
        0
    )
    +
    IF(
        $N50 &lt; 0.875,
        MAX(0, MIN(($H50 / 1000) * AM$10 * $BN$4, AM$11 * 0.876) - (AM$11 * $N50)) * 0.25,
        0
    )
)</f>
        <v>0</v>
      </c>
      <c r="AN50" s="36">
        <f>IF(
    AND($H50 &gt; $BN$7, Tabella01MarzoInverter[[#This Row],[Active power TX2-INV-10]] &lt;= 0, Tabella01MarzoInverter[[#This Row],[Active power TX3-INV-7]] &lt;= 0),
    MIN(($H50 / 1000) * AN$10 * $BN$4, AN$11 * 0.876) * 0.25,
    IF(
        AND($H50 &gt; $BN$7, Tabella01MarzoInverter[[#This Row],[Active power TX2-INV-10]] &lt;= 0),
        Tabella01MarzoInverter[[#This Row],[Active power TX3-INV-7]] * 0.25,
        0
    )
    +
    IF(
        $N50 &lt; 0.875,
        MAX(0, MIN(($H50 / 1000) * AN$10 * $BN$4, AN$11 * 0.876) - (AN$11 * $N50)) * 0.25,
        0
    )
)</f>
        <v>0</v>
      </c>
      <c r="AO50" s="36">
        <f>IF(
    AND($H50 &gt; $BN$7, Tabella01MarzoInverter[[#This Row],[Active power TX2-INV-11]] &lt;= 0, Tabella01MarzoInverter[[#This Row],[Active power TX3-INV-8]] &lt;= 0),
    MIN(($H50 / 1000) * AO$10 * $BN$4, AO$11 * 0.876) * 0.25,
    IF(
        AND($H50 &gt; $BN$7, Tabella01MarzoInverter[[#This Row],[Active power TX2-INV-11]] &lt;= 0),
        Tabella01MarzoInverter[[#This Row],[Active power TX3-INV-8]] * 0.25,
        0
    )
    +
    IF(
        $N50 &lt; 0.875,
        MAX(0, MIN(($H50 / 1000) * AO$10 * $BN$4, AO$11 * 0.876) - (AO$11 * $N50)) * 0.25,
        0
    )
)</f>
        <v>0</v>
      </c>
      <c r="AP50" s="36">
        <f>IF(
    AND($H50 &gt; $BN$7, Tabella01MarzoInverter[[#This Row],[Active power TX2-INV-12]] &lt;= 0, Tabella01MarzoInverter[[#This Row],[Active power TX3-INV-9]] &lt;= 0),
    MIN(($H50 / 1000) * AP$10 * $BN$4, AP$11 * 0.876) * 0.25,
    IF(
        AND($H50 &gt; $BN$7, Tabella01MarzoInverter[[#This Row],[Active power TX2-INV-12]] &lt;= 0),
        Tabella01MarzoInverter[[#This Row],[Active power TX3-INV-9]] * 0.25,
        0
    )
    +
    IF(
        $N50 &lt; 0.875,
        MAX(0, MIN(($H50 / 1000) * AP$10 * $BN$4, AP$11 * 0.876) - (AP$11 * $N50)) * 0.25,
        0
    )
)</f>
        <v>0</v>
      </c>
      <c r="AQ50" s="8">
        <f>AVERAGE(TabellaMar2026[[#This Row],[Colonna39]:[Colonna6]])</f>
        <v>0</v>
      </c>
      <c r="AR50" s="8">
        <f>MAX(TabellaMar2026[[#This Row],[Colonna39]:[Colonna6]])</f>
        <v>0</v>
      </c>
      <c r="AS50" s="35">
        <f>MIN(TabellaMar2026[[#This Row],[Colonna39]:[Colonna6]])</f>
        <v>0</v>
      </c>
      <c r="AT50" s="48">
        <f>SUM(TabellaMar2026[[#This Row],[Colonna39]:[Colonna6]])</f>
        <v>0</v>
      </c>
      <c r="AU50" s="36" cm="1">
        <f t="array" ref="AU50">IF(
    AND($H50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($H50 / 1000) * AU$10 * $BN$4 * 0.25
    ),
    0
)
+
IF(
    $N50 &lt; 0.875,
    MAX(0, MIN(($H50 / 1000) * AU$10 * $BN$4, AU$11 * 0.876) - (AU$11 * $N50)) * 0.25,
    0
)</f>
        <v>0</v>
      </c>
      <c r="AV50" s="36" cm="1">
        <f t="array" ref="AV50">IF(
    AND($H50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($H50 / 1000) * AV$10 * $BN$4 * 0.25
    ),
    0
)
+
IF(
    $N50 &lt; 0.875,
    MAX(0, MIN(($H50 / 1000) * AV$10 * $BN$4, AV$11 * 0.876) - (AV$11 * $N50)) * 0.25,
    0
)</f>
        <v>0</v>
      </c>
      <c r="AW50" s="36" cm="1">
        <f t="array" ref="AW50">IF(
    AND($H50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($H50 / 1000) * AW$10 * $BN$4 * 0.25
    ),
    0
)
+
IF(
    $N50 &lt; 0.875,
    MAX(0, MIN(($H50 / 1000) * AW$10 * $BN$4, AW$11 * 0.876) - (AW$11 * $N50)) * 0.25,
    0
)</f>
        <v>0</v>
      </c>
      <c r="AX50" s="36" cm="1">
        <f t="array" ref="AX50">IF(
    AND($H50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($H50 / 1000) * AX$10 * $BN$4 * 0.25
    ),
    0
)
+
IF(
    $N50 &lt; 0.875,
    MAX(0, MIN(($H50 / 1000) * AX$10 * $BN$4, AX$11 * 0.876) - (AX$11 * $N50)) * 0.25,
    0
)</f>
        <v>0</v>
      </c>
      <c r="AY50" s="36" cm="1">
        <f t="array" ref="AY50">IF(
    AND($H50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($H50 / 1000) * AY$10 * $BN$4 * 0.25
    ),
    0
)
+
IF(
    $N50 &lt; 0.875,
    MAX(0, MIN(($H50 / 1000) * AY$10 * $BN$4, AY$11 * 0.876) - (AY$11 * $N50)) * 0.25,
    0
)</f>
        <v>0</v>
      </c>
      <c r="AZ50" s="36" cm="1">
        <f t="array" ref="AZ50">IF(
    AND($H50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($H50 / 1000) * AZ$10 * $BN$4 * 0.25
    ),
    0
)
+
IF(
    $N50 &lt; 0.875,
    MAX(0, MIN(($H50 / 1000) * AZ$10 * $BN$4, AZ$11 * 0.876) - (AZ$11 * $N50)) * 0.25,
    0
)</f>
        <v>0</v>
      </c>
      <c r="BA50" s="36" cm="1">
        <f t="array" ref="BA50">IF(
    AND($H50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($H50 / 1000) * BA$10 * $BN$4 * 0.25
    ),
    0
)
+
IF(
    $N50 &lt; 0.875,
    MAX(0, MIN(($H50 / 1000) * BA$10 * $BN$4, BA$11 * 0.876) - (BA$11 * $N50)) * 0.25,
    0
)</f>
        <v>0</v>
      </c>
      <c r="BB50" s="36" cm="1">
        <f t="array" ref="BB50">IF(
    AND($H50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($H50 / 1000) * BB$10 * $BN$4 * 0.25
    ),
    0
)
+
IF(
    $N50 &lt; 0.875,
    MAX(0, MIN(($H50 / 1000) * BB$10 * $BN$4, BB$11 * 0.876) - (BB$11 * $N50)) * 0.25,
    0
)</f>
        <v>0</v>
      </c>
      <c r="BC50" s="36" cm="1">
        <f t="array" ref="BC50">IF(
    AND($H50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($H50 / 1000) * BC$10 * $BN$4 * 0.25
    ),
    0
)
+
IF(
    $N50 &lt; 0.875,
    MAX(0, MIN(($H50 / 1000) * BC$10 * $BN$4, BC$11 * 0.876) - (BC$11 * $N50)) * 0.25,
    0
)</f>
        <v>0</v>
      </c>
      <c r="BD50" s="36" cm="1">
        <f t="array" ref="BD50">IF(
    AND($H50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($H50 / 1000) * BD$10 * $BN$4 * 0.25
    ),
    0
)
+
IF(
    $N50 &lt; 0.875,
    MAX(0, MIN(($H50 / 1000) * BD$10 * $BN$4, BD$11 * 0.876) - (BD$11 * $N50)) * 0.25,
    0
)</f>
        <v>0</v>
      </c>
      <c r="BE50" s="36" cm="1">
        <f t="array" ref="BE50">IF(
    AND($H50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($H50 / 1000) * BE$10 * $BN$4 * 0.25
    ),
    0
)
+
IF(
    $N50 &lt; 0.875,
    MAX(0, MIN(($H50 / 1000) * BE$10 * $BN$4, BE$11 * 0.876) - (BE$11 * $N50)) * 0.25,
    0
)</f>
        <v>0</v>
      </c>
      <c r="BF50" s="36" cm="1">
        <f t="array" ref="BF50">IF(
    AND($H50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($H50 / 1000) * BF$10 * $BN$4 * 0.25
    ),
    0
)
+
IF(
    $N50 &lt; 0.875,
    MAX(0, MIN(($H50 / 1000) * BF$10 * $BN$4, BF$11 * 0.876) - (BF$11 * $N50)) * 0.25,
    0
)</f>
        <v>0</v>
      </c>
      <c r="BG50" s="8">
        <f>AVERAGE(TabellaMar2026[[#This Row],[Colonna55]:[Colonna53]])</f>
        <v>0</v>
      </c>
      <c r="BH50" s="8">
        <f>MAX(TabellaMar2026[[#This Row],[Colonna55]:[Colonna53]])</f>
        <v>0</v>
      </c>
      <c r="BI50" s="35">
        <f>MIN(TabellaMar2026[[#This Row],[Colonna55]:[Colonna53]])</f>
        <v>0</v>
      </c>
      <c r="BJ50" s="48">
        <f>SUM(TabellaMar2026[[#This Row],[Colonna54]:[Colonna53]])</f>
        <v>0</v>
      </c>
      <c r="BK50" s="54">
        <f>(SUM(Tabella01MarzoInverter[[Active power TX1-INV-1]:[Active power TX3-INV-12]]) * 0.25) / (12625 * (SUM($G$15:$H$110) * 0.25 / 1000))</f>
        <v>1.014229628761051</v>
      </c>
      <c r="BL50" s="5"/>
      <c r="BM50" s="5"/>
      <c r="BN50" s="8"/>
      <c r="BO50" s="8"/>
      <c r="BP50" s="19"/>
    </row>
    <row r="51" spans="1:68" x14ac:dyDescent="0.25">
      <c r="A51" s="18">
        <v>46147</v>
      </c>
      <c r="B51" t="s">
        <v>51</v>
      </c>
      <c r="C51" s="5">
        <v>120.1</v>
      </c>
      <c r="D51" s="6">
        <v>3.0025E-2</v>
      </c>
      <c r="E51" s="6">
        <v>116.2</v>
      </c>
      <c r="F51" s="6">
        <v>2.9049999999999999E-2</v>
      </c>
      <c r="G51" s="6">
        <f>IFERROR((D51+F51)/2, 0)</f>
        <v>2.9537500000000001E-2</v>
      </c>
      <c r="H51" s="7">
        <f>IFERROR(IF(AVERAGE(C51,E51)&gt;$BN$7,AVERAGE(C51,E51),0), 0)</f>
        <v>118.15</v>
      </c>
      <c r="I51" s="7">
        <f>IFERROR(IF(AND(D51=0,F51=0),0,IF(H51&gt;$BN$6,MAX(D51,F51),G51)), 0)</f>
        <v>3.0025E-2</v>
      </c>
      <c r="J51" s="6">
        <f>IFERROR(IF(AND(D51&gt;0,F51&gt;0),ABS(D51-F51)/AVERAGE(D51,F51),0), 0)</f>
        <v>3.3008887008040631E-2</v>
      </c>
      <c r="K51" s="6">
        <v>30387.9</v>
      </c>
      <c r="L51" s="6">
        <v>30388.3</v>
      </c>
      <c r="M51" s="8">
        <f>IFERROR((L51-K51)*1000, 0)</f>
        <v>399.99999999781721</v>
      </c>
      <c r="N51" s="6">
        <v>0.87599999999999989</v>
      </c>
      <c r="O51" s="8" cm="1">
        <f t="array" ref="O51">IF(
    AND($H51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($H51 / 1000) * O$10 * $BN$4 * 0.25
    ),
    0
)
+
IF(
    $N51 &lt; 0.875,
    MAX(0, MIN(($H51 / 1000) * O$10 * $BN$4, O$11 * 0.876) - (O$11 * $N51)) * 0.25,
    0
)</f>
        <v>0</v>
      </c>
      <c r="P51" s="8" cm="1">
        <f t="array" ref="P51">IF(
    AND($H51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($H51 / 1000) * P$10 * $BN$4 * 0.25
    ),
    0
)
+
IF(
    $N51 &lt; 0.875,
    MAX(0, MIN(($H51 / 1000) * P$10 * $BN$4, P$11 * 0.876) - (P$11 * $N51)) * 0.25,
    0
)</f>
        <v>0</v>
      </c>
      <c r="Q51" s="8" cm="1">
        <f t="array" ref="Q51">IF(
    AND($H51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($H51 / 1000) * Q$10 * $BN$4 * 0.25
    ),
    0
)
+
IF(
    $N51 &lt; 0.875,
    MAX(0, MIN(($H51 / 1000) * Q$10 * $BN$4, Q$11 * 0.876) - (Q$11 * $N51)) * 0.25,
    0
)</f>
        <v>0</v>
      </c>
      <c r="R51" s="8" cm="1">
        <f t="array" ref="R51">IF(
    AND($H51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($H51 / 1000) * R$10 * $BN$4 * 0.25
    ),
    0
)
+
IF(
    $N51 &lt; 0.875,
    MAX(0, MIN(($H51 / 1000) * R$10 * $BN$4, R$11 * 0.876) - (R$11 * $N51)) * 0.25,
    0
)</f>
        <v>0</v>
      </c>
      <c r="S51" s="8" cm="1">
        <f t="array" ref="S51">IF(
    AND($H51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($H51 / 1000) * S$10 * $BN$4 * 0.25
    ),
    0
)
+
IF(
    $N51 &lt; 0.875,
    MAX(0, MIN(($H51 / 1000) * S$10 * $BN$4, S$11 * 0.876) - (S$11 * $N51)) * 0.25,
    0
)</f>
        <v>0</v>
      </c>
      <c r="T51" s="8" cm="1">
        <f t="array" ref="T51">IF(
    AND($H51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($H51 / 1000) * T$10 * $BN$4 * 0.25
    ),
    0
)
+
IF(
    $N51 &lt; 0.875,
    MAX(0, MIN(($H51 / 1000) * T$10 * $BN$4, T$11 * 0.876) - (T$11 * $N51)) * 0.25,
    0
)</f>
        <v>0</v>
      </c>
      <c r="U51" s="8" cm="1">
        <f t="array" ref="U51">IF(
    AND($H51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($H51 / 1000) * U$10 * $BN$4 * 0.25
    ),
    0
)
+
IF(
    $N51 &lt; 0.875,
    MAX(0, MIN(($H51 / 1000) * U$10 * $BN$4, U$11 * 0.876) - (U$11 * $N51)) * 0.25,
    0
)</f>
        <v>0</v>
      </c>
      <c r="V51" s="8" cm="1">
        <f t="array" ref="V51">IF(
    AND($H51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($H51 / 1000) * V$10 * $BN$4 * 0.25
    ),
    0
)
+
IF(
    $N51 &lt; 0.875,
    MAX(0, MIN(($H51 / 1000) * V$10 * $BN$4, V$11 * 0.876) - (V$11 * $N51)) * 0.25,
    0
)</f>
        <v>0</v>
      </c>
      <c r="W51" s="8" cm="1">
        <f t="array" ref="W51">IF(
    AND($H51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($H51 / 1000) * W$10 * $BN$4 * 0.25
    ),
    0
)
+
IF(
    $N51 &lt; 0.875,
    MAX(0, MIN(($H51 / 1000) * W$10 * $BN$4, W$11 * 0.876) - (W$11 * $N51)) * 0.25,
    0
)</f>
        <v>0</v>
      </c>
      <c r="X51" s="8" cm="1">
        <f t="array" ref="X51">IF(
    AND($H51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($H51 / 1000) * X$10 * $BN$4 * 0.25
    ),
    0
)
+
IF(
    $N51 &lt; 0.875,
    MAX(0, MIN(($H51 / 1000) * X$10 * $BN$4, X$11 * 0.876) - (X$11 * $N51)) * 0.25,
    0
)</f>
        <v>0</v>
      </c>
      <c r="Y51" s="8" cm="1">
        <f t="array" ref="Y51">IF(
    AND($H51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($H51 / 1000) * Y$10 * $BN$4 * 0.25
    ),
    0
)
+
IF(
    $N51 &lt; 0.875,
    MAX(0, MIN(($H51 / 1000) * Y$10 * $BN$4, Y$11 * 0.876) - (Y$11 * $N51)) * 0.25,
    0
)</f>
        <v>0</v>
      </c>
      <c r="Z51" s="8" cm="1">
        <f t="array" ref="Z51">IF(
    AND($H51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($H51 / 1000) * Z$10 * $BN$4 * 0.25
    ),
    0
)
+
IF(
    $N51 &lt; 0.875,
    MAX(0, MIN(($H51 / 1000) * Z$10 * $BN$4, Z$11 * 0.876) - (Z$11 * $N51)) * 0.25,
    0
)</f>
        <v>0</v>
      </c>
      <c r="AA51" s="8">
        <f>AVERAGE(TabellaMar2026[[#This Row],[Colonna24]:[Colonna20]])</f>
        <v>0</v>
      </c>
      <c r="AB51" s="8">
        <f>MAX(TabellaMar2026[[#This Row],[Colonna24]:[Colonna20]])</f>
        <v>0</v>
      </c>
      <c r="AC51" s="35">
        <f>MIN(TabellaMar2026[[#This Row],[Colonna24]:[Colonna20]])</f>
        <v>0</v>
      </c>
      <c r="AD51" s="44">
        <f>SUM(TabellaMar2026[[#This Row],[Colonna24]:[Colonna20]])</f>
        <v>0</v>
      </c>
      <c r="AE51" s="36">
        <f>IF(
    AND($H51 &gt; $BN$7, Tabella01MarzoInverter[[#This Row],[Active power TX2-INV-1]] &lt;= 0, Tabella01MarzoInverter[[#This Row],[TX2 - Average Power]] &lt;= 0),
    MIN(($H51 / 1000) * AE$10 * $BN$4, AE$11 * 0.876) * 0.25,
    IF(
        AND($H51 &gt; $BN$7, Tabella01MarzoInverter[[#This Row],[Active power TX2-INV-1]] &lt;= 0),
        Tabella01MarzoInverter[[#This Row],[TX2 - Average Power]] * 0.25,
        0
    )
    +
    IF(
        $N51 &lt; 0.875,
        MAX(0, MIN(($H51 / 1000) * AE$10 * $BN$4, AE$11 * 0.876) - (AE$11 * $N51)) * 0.25,
        0
    )
)</f>
        <v>0</v>
      </c>
      <c r="AF51" s="36">
        <f>IF(
    AND($H51 &gt; $BN$7, Tabella01MarzoInverter[[#This Row],[Active power TX2-INV-2]] &lt;= 0, Tabella01MarzoInverter[[#This Row],[TX2 - Max Power]] &lt;= 0),
    MIN(($H51 / 1000) * AF$10 * $BN$4, AF$11 * 0.876) * 0.25,
    IF(
        AND($H51 &gt; $BN$7, Tabella01MarzoInverter[[#This Row],[Active power TX2-INV-2]] &lt;= 0),
        Tabella01MarzoInverter[[#This Row],[TX2 - Max Power]] * 0.25,
        0
    )
    +
    IF(
        $N51 &lt; 0.875,
        MAX(0, MIN(($H51 / 1000) * AF$10 * $BN$4, AF$11 * 0.876) - (AF$11 * $N51)) * 0.25,
        0
    )
)</f>
        <v>0</v>
      </c>
      <c r="AG51" s="36">
        <f>IF(
    AND($H51 &gt; $BN$7, Tabella01MarzoInverter[[#This Row],[Active power TX2-INV-3]] &lt;= 0, Tabella01MarzoInverter[[#This Row],[TX2 - Min Power]] &lt;= 0),
    MIN(($H51 / 1000) * AG$10 * $BN$4, AG$11 * 0.876) * 0.25,
    IF(
        AND($H51 &gt; $BN$7, Tabella01MarzoInverter[[#This Row],[Active power TX2-INV-3]] &lt;= 0),
        Tabella01MarzoInverter[[#This Row],[TX2 - Min Power]] * 0.25,
        0
    )
    +
    IF(
        $N51 &lt; 0.875,
        MAX(0, MIN(($H51 / 1000) * AG$10 * $BN$4, AG$11 * 0.876) - (AG$11 * $N51)) * 0.25,
        0
    )
)</f>
        <v>0</v>
      </c>
      <c r="AH51" s="36">
        <f>IF(
    AND($H51 &gt; $BN$7, Tabella01MarzoInverter[[#This Row],[Active power TX2-INV-4]] &lt;= 0, Tabella01MarzoInverter[[#This Row],[Active power TX3-INV-1]] &lt;= 0),
    MIN(($H51 / 1000) * AH$10 * $BN$4, AH$11 * 0.876) * 0.25,
    IF(
        AND($H51 &gt; $BN$7, Tabella01MarzoInverter[[#This Row],[Active power TX2-INV-4]] &lt;= 0),
        Tabella01MarzoInverter[[#This Row],[Active power TX3-INV-1]] * 0.25,
        0
    )
    +
    IF(
        $N51 &lt; 0.875,
        MAX(0, MIN(($H51 / 1000) * AH$10 * $BN$4, AH$11 * 0.876) - (AH$11 * $N51)) * 0.25,
        0
    )
)</f>
        <v>0</v>
      </c>
      <c r="AI51" s="36">
        <f>IF(
    AND($H51 &gt; $BN$7, Tabella01MarzoInverter[[#This Row],[Active power TX2-INV-5]] &lt;= 0, Tabella01MarzoInverter[[#This Row],[Active power TX3-INV-2]] &lt;= 0),
    MIN(($H51 / 1000) * AI$10 * $BN$4, AI$11 * 0.876) * 0.25,
    IF(
        AND($H51 &gt; $BN$7, Tabella01MarzoInverter[[#This Row],[Active power TX2-INV-5]] &lt;= 0),
        Tabella01MarzoInverter[[#This Row],[Active power TX3-INV-2]] * 0.25,
        0
    )
    +
    IF(
        $N51 &lt; 0.875,
        MAX(0, MIN(($H51 / 1000) * AI$10 * $BN$4, AI$11 * 0.876) - (AI$11 * $N51)) * 0.25,
        0
    )
)</f>
        <v>0</v>
      </c>
      <c r="AJ51" s="36">
        <f>IF(
    AND($H51 &gt; $BN$7, Tabella01MarzoInverter[[#This Row],[Active power TX2-INV-6]] &lt;= 0, Tabella01MarzoInverter[[#This Row],[Active power TX3-INV-3]] &lt;= 0),
    MIN(($H51 / 1000) * AJ$10 * $BN$4, AJ$11 * 0.876) * 0.25,
    IF(
        AND($H51 &gt; $BN$7, Tabella01MarzoInverter[[#This Row],[Active power TX2-INV-6]] &lt;= 0),
        Tabella01MarzoInverter[[#This Row],[Active power TX3-INV-3]] * 0.25,
        0
    )
    +
    IF(
        $N51 &lt; 0.875,
        MAX(0, MIN(($H51 / 1000) * AJ$10 * $BN$4, AJ$11 * 0.876) - (AJ$11 * $N51)) * 0.25,
        0
    )
)</f>
        <v>0</v>
      </c>
      <c r="AK51" s="36">
        <f>IF(
    AND($H51 &gt; $BN$7, Tabella01MarzoInverter[[#This Row],[Active power TX2-INV-7]] &lt;= 0, Tabella01MarzoInverter[[#This Row],[Active power TX3-INV-4]] &lt;= 0),
    MIN(($H51 / 1000) * AK$10 * $BN$4, AK$11 * 0.876) * 0.25,
    IF(
        AND($H51 &gt; $BN$7, Tabella01MarzoInverter[[#This Row],[Active power TX2-INV-7]] &lt;= 0),
        Tabella01MarzoInverter[[#This Row],[Active power TX3-INV-4]] * 0.25,
        0
    )
    +
    IF(
        $N51 &lt; 0.875,
        MAX(0, MIN(($H51 / 1000) * AK$10 * $BN$4, AK$11 * 0.876) - (AK$11 * $N51)) * 0.25,
        0
    )
)</f>
        <v>0</v>
      </c>
      <c r="AL51" s="36">
        <f>IF(
    AND($H51 &gt; $BN$7, Tabella01MarzoInverter[[#This Row],[Active power TX2-INV-8]] &lt;= 0, Tabella01MarzoInverter[[#This Row],[Active power TX3-INV-5]] &lt;= 0),
    MIN(($H51 / 1000) * AL$10 * $BN$4, AL$11 * 0.876) * 0.25,
    IF(
        AND($H51 &gt; $BN$7, Tabella01MarzoInverter[[#This Row],[Active power TX2-INV-8]] &lt;= 0),
        Tabella01MarzoInverter[[#This Row],[Active power TX3-INV-5]] * 0.25,
        0
    )
    +
    IF(
        $N51 &lt; 0.875,
        MAX(0, MIN(($H51 / 1000) * AL$10 * $BN$4, AL$11 * 0.876) - (AL$11 * $N51)) * 0.25,
        0
    )
)</f>
        <v>0</v>
      </c>
      <c r="AM51" s="36">
        <f>IF(
    AND($H51 &gt; $BN$7, Tabella01MarzoInverter[[#This Row],[Active power TX2-INV-9]] &lt;= 0, Tabella01MarzoInverter[[#This Row],[Active power TX3-INV-6]] &lt;= 0),
    MIN(($H51 / 1000) * AM$10 * $BN$4, AM$11 * 0.876) * 0.25,
    IF(
        AND($H51 &gt; $BN$7, Tabella01MarzoInverter[[#This Row],[Active power TX2-INV-9]] &lt;= 0),
        Tabella01MarzoInverter[[#This Row],[Active power TX3-INV-6]] * 0.25,
        0
    )
    +
    IF(
        $N51 &lt; 0.875,
        MAX(0, MIN(($H51 / 1000) * AM$10 * $BN$4, AM$11 * 0.876) - (AM$11 * $N51)) * 0.25,
        0
    )
)</f>
        <v>0</v>
      </c>
      <c r="AN51" s="36">
        <f>IF(
    AND($H51 &gt; $BN$7, Tabella01MarzoInverter[[#This Row],[Active power TX2-INV-10]] &lt;= 0, Tabella01MarzoInverter[[#This Row],[Active power TX3-INV-7]] &lt;= 0),
    MIN(($H51 / 1000) * AN$10 * $BN$4, AN$11 * 0.876) * 0.25,
    IF(
        AND($H51 &gt; $BN$7, Tabella01MarzoInverter[[#This Row],[Active power TX2-INV-10]] &lt;= 0),
        Tabella01MarzoInverter[[#This Row],[Active power TX3-INV-7]] * 0.25,
        0
    )
    +
    IF(
        $N51 &lt; 0.875,
        MAX(0, MIN(($H51 / 1000) * AN$10 * $BN$4, AN$11 * 0.876) - (AN$11 * $N51)) * 0.25,
        0
    )
)</f>
        <v>0</v>
      </c>
      <c r="AO51" s="36">
        <f>IF(
    AND($H51 &gt; $BN$7, Tabella01MarzoInverter[[#This Row],[Active power TX2-INV-11]] &lt;= 0, Tabella01MarzoInverter[[#This Row],[Active power TX3-INV-8]] &lt;= 0),
    MIN(($H51 / 1000) * AO$10 * $BN$4, AO$11 * 0.876) * 0.25,
    IF(
        AND($H51 &gt; $BN$7, Tabella01MarzoInverter[[#This Row],[Active power TX2-INV-11]] &lt;= 0),
        Tabella01MarzoInverter[[#This Row],[Active power TX3-INV-8]] * 0.25,
        0
    )
    +
    IF(
        $N51 &lt; 0.875,
        MAX(0, MIN(($H51 / 1000) * AO$10 * $BN$4, AO$11 * 0.876) - (AO$11 * $N51)) * 0.25,
        0
    )
)</f>
        <v>0</v>
      </c>
      <c r="AP51" s="36">
        <f>IF(
    AND($H51 &gt; $BN$7, Tabella01MarzoInverter[[#This Row],[Active power TX2-INV-12]] &lt;= 0, Tabella01MarzoInverter[[#This Row],[Active power TX3-INV-9]] &lt;= 0),
    MIN(($H51 / 1000) * AP$10 * $BN$4, AP$11 * 0.876) * 0.25,
    IF(
        AND($H51 &gt; $BN$7, Tabella01MarzoInverter[[#This Row],[Active power TX2-INV-12]] &lt;= 0),
        Tabella01MarzoInverter[[#This Row],[Active power TX3-INV-9]] * 0.25,
        0
    )
    +
    IF(
        $N51 &lt; 0.875,
        MAX(0, MIN(($H51 / 1000) * AP$10 * $BN$4, AP$11 * 0.876) - (AP$11 * $N51)) * 0.25,
        0
    )
)</f>
        <v>0</v>
      </c>
      <c r="AQ51" s="8">
        <f>AVERAGE(TabellaMar2026[[#This Row],[Colonna39]:[Colonna6]])</f>
        <v>0</v>
      </c>
      <c r="AR51" s="8">
        <f>MAX(TabellaMar2026[[#This Row],[Colonna39]:[Colonna6]])</f>
        <v>0</v>
      </c>
      <c r="AS51" s="35">
        <f>MIN(TabellaMar2026[[#This Row],[Colonna39]:[Colonna6]])</f>
        <v>0</v>
      </c>
      <c r="AT51" s="48">
        <f>SUM(TabellaMar2026[[#This Row],[Colonna39]:[Colonna6]])</f>
        <v>0</v>
      </c>
      <c r="AU51" s="36" cm="1">
        <f t="array" ref="AU51">IF(
    AND($H51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($H51 / 1000) * AU$10 * $BN$4 * 0.25
    ),
    0
)
+
IF(
    $N51 &lt; 0.875,
    MAX(0, MIN(($H51 / 1000) * AU$10 * $BN$4, AU$11 * 0.876) - (AU$11 * $N51)) * 0.25,
    0
)</f>
        <v>0</v>
      </c>
      <c r="AV51" s="36" cm="1">
        <f t="array" ref="AV51">IF(
    AND($H51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($H51 / 1000) * AV$10 * $BN$4 * 0.25
    ),
    0
)
+
IF(
    $N51 &lt; 0.875,
    MAX(0, MIN(($H51 / 1000) * AV$10 * $BN$4, AV$11 * 0.876) - (AV$11 * $N51)) * 0.25,
    0
)</f>
        <v>0</v>
      </c>
      <c r="AW51" s="36" cm="1">
        <f t="array" ref="AW51">IF(
    AND($H51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($H51 / 1000) * AW$10 * $BN$4 * 0.25
    ),
    0
)
+
IF(
    $N51 &lt; 0.875,
    MAX(0, MIN(($H51 / 1000) * AW$10 * $BN$4, AW$11 * 0.876) - (AW$11 * $N51)) * 0.25,
    0
)</f>
        <v>0</v>
      </c>
      <c r="AX51" s="36" cm="1">
        <f t="array" ref="AX51">IF(
    AND($H51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($H51 / 1000) * AX$10 * $BN$4 * 0.25
    ),
    0
)
+
IF(
    $N51 &lt; 0.875,
    MAX(0, MIN(($H51 / 1000) * AX$10 * $BN$4, AX$11 * 0.876) - (AX$11 * $N51)) * 0.25,
    0
)</f>
        <v>0</v>
      </c>
      <c r="AY51" s="36" cm="1">
        <f t="array" ref="AY51">IF(
    AND($H51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($H51 / 1000) * AY$10 * $BN$4 * 0.25
    ),
    0
)
+
IF(
    $N51 &lt; 0.875,
    MAX(0, MIN(($H51 / 1000) * AY$10 * $BN$4, AY$11 * 0.876) - (AY$11 * $N51)) * 0.25,
    0
)</f>
        <v>0</v>
      </c>
      <c r="AZ51" s="36" cm="1">
        <f t="array" ref="AZ51">IF(
    AND($H51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($H51 / 1000) * AZ$10 * $BN$4 * 0.25
    ),
    0
)
+
IF(
    $N51 &lt; 0.875,
    MAX(0, MIN(($H51 / 1000) * AZ$10 * $BN$4, AZ$11 * 0.876) - (AZ$11 * $N51)) * 0.25,
    0
)</f>
        <v>0</v>
      </c>
      <c r="BA51" s="36" cm="1">
        <f t="array" ref="BA51">IF(
    AND($H51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($H51 / 1000) * BA$10 * $BN$4 * 0.25
    ),
    0
)
+
IF(
    $N51 &lt; 0.875,
    MAX(0, MIN(($H51 / 1000) * BA$10 * $BN$4, BA$11 * 0.876) - (BA$11 * $N51)) * 0.25,
    0
)</f>
        <v>0</v>
      </c>
      <c r="BB51" s="36" cm="1">
        <f t="array" ref="BB51">IF(
    AND($H51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($H51 / 1000) * BB$10 * $BN$4 * 0.25
    ),
    0
)
+
IF(
    $N51 &lt; 0.875,
    MAX(0, MIN(($H51 / 1000) * BB$10 * $BN$4, BB$11 * 0.876) - (BB$11 * $N51)) * 0.25,
    0
)</f>
        <v>0</v>
      </c>
      <c r="BC51" s="36" cm="1">
        <f t="array" ref="BC51">IF(
    AND($H51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($H51 / 1000) * BC$10 * $BN$4 * 0.25
    ),
    0
)
+
IF(
    $N51 &lt; 0.875,
    MAX(0, MIN(($H51 / 1000) * BC$10 * $BN$4, BC$11 * 0.876) - (BC$11 * $N51)) * 0.25,
    0
)</f>
        <v>0</v>
      </c>
      <c r="BD51" s="36" cm="1">
        <f t="array" ref="BD51">IF(
    AND($H51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($H51 / 1000) * BD$10 * $BN$4 * 0.25
    ),
    0
)
+
IF(
    $N51 &lt; 0.875,
    MAX(0, MIN(($H51 / 1000) * BD$10 * $BN$4, BD$11 * 0.876) - (BD$11 * $N51)) * 0.25,
    0
)</f>
        <v>0</v>
      </c>
      <c r="BE51" s="36" cm="1">
        <f t="array" ref="BE51">IF(
    AND($H51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($H51 / 1000) * BE$10 * $BN$4 * 0.25
    ),
    0
)
+
IF(
    $N51 &lt; 0.875,
    MAX(0, MIN(($H51 / 1000) * BE$10 * $BN$4, BE$11 * 0.876) - (BE$11 * $N51)) * 0.25,
    0
)</f>
        <v>0</v>
      </c>
      <c r="BF51" s="36" cm="1">
        <f t="array" ref="BF51">IF(
    AND($H51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($H51 / 1000) * BF$10 * $BN$4 * 0.25
    ),
    0
)
+
IF(
    $N51 &lt; 0.875,
    MAX(0, MIN(($H51 / 1000) * BF$10 * $BN$4, BF$11 * 0.876) - (BF$11 * $N51)) * 0.25,
    0
)</f>
        <v>0</v>
      </c>
      <c r="BG51" s="8">
        <f>AVERAGE(TabellaMar2026[[#This Row],[Colonna55]:[Colonna53]])</f>
        <v>0</v>
      </c>
      <c r="BH51" s="8">
        <f>MAX(TabellaMar2026[[#This Row],[Colonna55]:[Colonna53]])</f>
        <v>0</v>
      </c>
      <c r="BI51" s="35">
        <f>MIN(TabellaMar2026[[#This Row],[Colonna55]:[Colonna53]])</f>
        <v>0</v>
      </c>
      <c r="BJ51" s="48">
        <f>SUM(TabellaMar2026[[#This Row],[Colonna54]:[Colonna53]])</f>
        <v>0</v>
      </c>
      <c r="BK51" s="54">
        <f>(SUM(Tabella01MarzoInverter[[Active power TX1-INV-1]:[Active power TX3-INV-12]]) * 0.25) / (12625 * (SUM($G$15:$H$110) * 0.25 / 1000))</f>
        <v>1.014229628761051</v>
      </c>
      <c r="BL51" s="5"/>
      <c r="BM51" s="5"/>
      <c r="BN51" s="8"/>
      <c r="BO51" s="8"/>
      <c r="BP51" s="19"/>
    </row>
    <row r="52" spans="1:68" x14ac:dyDescent="0.25">
      <c r="A52" s="18">
        <v>46147</v>
      </c>
      <c r="B52" t="s">
        <v>52</v>
      </c>
      <c r="C52" s="5">
        <v>284.7</v>
      </c>
      <c r="D52" s="6">
        <v>7.1175000000000002E-2</v>
      </c>
      <c r="E52" s="6">
        <v>286.7</v>
      </c>
      <c r="F52" s="6">
        <v>7.1675000000000003E-2</v>
      </c>
      <c r="G52" s="6">
        <f>IFERROR((D52+F52)/2, 0)</f>
        <v>7.1425000000000002E-2</v>
      </c>
      <c r="H52" s="7">
        <f>IFERROR(IF(AVERAGE(C52,E52)&gt;$BN$7,AVERAGE(C52,E52),0), 0)</f>
        <v>285.7</v>
      </c>
      <c r="I52" s="7">
        <f>IFERROR(IF(AND(D52=0,F52=0),0,IF(H52&gt;$BN$6,MAX(D52,F52),G52)), 0)</f>
        <v>7.1675000000000003E-2</v>
      </c>
      <c r="J52" s="6">
        <f>IFERROR(IF(AND(D52&gt;0,F52&gt;0),ABS(D52-F52)/AVERAGE(D52,F52),0), 0)</f>
        <v>7.0003500175008808E-3</v>
      </c>
      <c r="K52" s="6">
        <v>30388.3</v>
      </c>
      <c r="L52" s="6">
        <v>30388.9</v>
      </c>
      <c r="M52" s="8">
        <f>IFERROR((L52-K52)*1000, 0)</f>
        <v>600.00000000218279</v>
      </c>
      <c r="N52" s="6">
        <v>0.87599999999999989</v>
      </c>
      <c r="O52" s="8" cm="1">
        <f t="array" ref="O52">IF(
    AND($H52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($H52 / 1000) * O$10 * $BN$4 * 0.25
    ),
    0
)
+
IF(
    $N52 &lt; 0.875,
    MAX(0, MIN(($H52 / 1000) * O$10 * $BN$4, O$11 * 0.876) - (O$11 * $N52)) * 0.25,
    0
)</f>
        <v>0</v>
      </c>
      <c r="P52" s="8" cm="1">
        <f t="array" ref="P52">IF(
    AND($H52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($H52 / 1000) * P$10 * $BN$4 * 0.25
    ),
    0
)
+
IF(
    $N52 &lt; 0.875,
    MAX(0, MIN(($H52 / 1000) * P$10 * $BN$4, P$11 * 0.876) - (P$11 * $N52)) * 0.25,
    0
)</f>
        <v>0</v>
      </c>
      <c r="Q52" s="8" cm="1">
        <f t="array" ref="Q52">IF(
    AND($H52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($H52 / 1000) * Q$10 * $BN$4 * 0.25
    ),
    0
)
+
IF(
    $N52 &lt; 0.875,
    MAX(0, MIN(($H52 / 1000) * Q$10 * $BN$4, Q$11 * 0.876) - (Q$11 * $N52)) * 0.25,
    0
)</f>
        <v>0</v>
      </c>
      <c r="R52" s="8" cm="1">
        <f t="array" ref="R52">IF(
    AND($H52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($H52 / 1000) * R$10 * $BN$4 * 0.25
    ),
    0
)
+
IF(
    $N52 &lt; 0.875,
    MAX(0, MIN(($H52 / 1000) * R$10 * $BN$4, R$11 * 0.876) - (R$11 * $N52)) * 0.25,
    0
)</f>
        <v>0</v>
      </c>
      <c r="S52" s="8" cm="1">
        <f t="array" ref="S52">IF(
    AND($H52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($H52 / 1000) * S$10 * $BN$4 * 0.25
    ),
    0
)
+
IF(
    $N52 &lt; 0.875,
    MAX(0, MIN(($H52 / 1000) * S$10 * $BN$4, S$11 * 0.876) - (S$11 * $N52)) * 0.25,
    0
)</f>
        <v>0</v>
      </c>
      <c r="T52" s="8" cm="1">
        <f t="array" ref="T52">IF(
    AND($H52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($H52 / 1000) * T$10 * $BN$4 * 0.25
    ),
    0
)
+
IF(
    $N52 &lt; 0.875,
    MAX(0, MIN(($H52 / 1000) * T$10 * $BN$4, T$11 * 0.876) - (T$11 * $N52)) * 0.25,
    0
)</f>
        <v>0</v>
      </c>
      <c r="U52" s="8" cm="1">
        <f t="array" ref="U52">IF(
    AND($H52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($H52 / 1000) * U$10 * $BN$4 * 0.25
    ),
    0
)
+
IF(
    $N52 &lt; 0.875,
    MAX(0, MIN(($H52 / 1000) * U$10 * $BN$4, U$11 * 0.876) - (U$11 * $N52)) * 0.25,
    0
)</f>
        <v>0</v>
      </c>
      <c r="V52" s="8" cm="1">
        <f t="array" ref="V52">IF(
    AND($H52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($H52 / 1000) * V$10 * $BN$4 * 0.25
    ),
    0
)
+
IF(
    $N52 &lt; 0.875,
    MAX(0, MIN(($H52 / 1000) * V$10 * $BN$4, V$11 * 0.876) - (V$11 * $N52)) * 0.25,
    0
)</f>
        <v>0</v>
      </c>
      <c r="W52" s="8" cm="1">
        <f t="array" ref="W52">IF(
    AND($H52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($H52 / 1000) * W$10 * $BN$4 * 0.25
    ),
    0
)
+
IF(
    $N52 &lt; 0.875,
    MAX(0, MIN(($H52 / 1000) * W$10 * $BN$4, W$11 * 0.876) - (W$11 * $N52)) * 0.25,
    0
)</f>
        <v>0</v>
      </c>
      <c r="X52" s="8" cm="1">
        <f t="array" ref="X52">IF(
    AND($H52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($H52 / 1000) * X$10 * $BN$4 * 0.25
    ),
    0
)
+
IF(
    $N52 &lt; 0.875,
    MAX(0, MIN(($H52 / 1000) * X$10 * $BN$4, X$11 * 0.876) - (X$11 * $N52)) * 0.25,
    0
)</f>
        <v>0</v>
      </c>
      <c r="Y52" s="8" cm="1">
        <f t="array" ref="Y52">IF(
    AND($H52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($H52 / 1000) * Y$10 * $BN$4 * 0.25
    ),
    0
)
+
IF(
    $N52 &lt; 0.875,
    MAX(0, MIN(($H52 / 1000) * Y$10 * $BN$4, Y$11 * 0.876) - (Y$11 * $N52)) * 0.25,
    0
)</f>
        <v>0</v>
      </c>
      <c r="Z52" s="8" cm="1">
        <f t="array" ref="Z52">IF(
    AND($H52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($H52 / 1000) * Z$10 * $BN$4 * 0.25
    ),
    0
)
+
IF(
    $N52 &lt; 0.875,
    MAX(0, MIN(($H52 / 1000) * Z$10 * $BN$4, Z$11 * 0.876) - (Z$11 * $N52)) * 0.25,
    0
)</f>
        <v>0</v>
      </c>
      <c r="AA52" s="8">
        <f>AVERAGE(TabellaMar2026[[#This Row],[Colonna24]:[Colonna20]])</f>
        <v>0</v>
      </c>
      <c r="AB52" s="8">
        <f>MAX(TabellaMar2026[[#This Row],[Colonna24]:[Colonna20]])</f>
        <v>0</v>
      </c>
      <c r="AC52" s="35">
        <f>MIN(TabellaMar2026[[#This Row],[Colonna24]:[Colonna20]])</f>
        <v>0</v>
      </c>
      <c r="AD52" s="44">
        <f>SUM(TabellaMar2026[[#This Row],[Colonna24]:[Colonna20]])</f>
        <v>0</v>
      </c>
      <c r="AE52" s="36">
        <f>IF(
    AND($H52 &gt; $BN$7, Tabella01MarzoInverter[[#This Row],[Active power TX2-INV-1]] &lt;= 0, Tabella01MarzoInverter[[#This Row],[TX2 - Average Power]] &lt;= 0),
    MIN(($H52 / 1000) * AE$10 * $BN$4, AE$11 * 0.876) * 0.25,
    IF(
        AND($H52 &gt; $BN$7, Tabella01MarzoInverter[[#This Row],[Active power TX2-INV-1]] &lt;= 0),
        Tabella01MarzoInverter[[#This Row],[TX2 - Average Power]] * 0.25,
        0
    )
    +
    IF(
        $N52 &lt; 0.875,
        MAX(0, MIN(($H52 / 1000) * AE$10 * $BN$4, AE$11 * 0.876) - (AE$11 * $N52)) * 0.25,
        0
    )
)</f>
        <v>0</v>
      </c>
      <c r="AF52" s="36">
        <f>IF(
    AND($H52 &gt; $BN$7, Tabella01MarzoInverter[[#This Row],[Active power TX2-INV-2]] &lt;= 0, Tabella01MarzoInverter[[#This Row],[TX2 - Max Power]] &lt;= 0),
    MIN(($H52 / 1000) * AF$10 * $BN$4, AF$11 * 0.876) * 0.25,
    IF(
        AND($H52 &gt; $BN$7, Tabella01MarzoInverter[[#This Row],[Active power TX2-INV-2]] &lt;= 0),
        Tabella01MarzoInverter[[#This Row],[TX2 - Max Power]] * 0.25,
        0
    )
    +
    IF(
        $N52 &lt; 0.875,
        MAX(0, MIN(($H52 / 1000) * AF$10 * $BN$4, AF$11 * 0.876) - (AF$11 * $N52)) * 0.25,
        0
    )
)</f>
        <v>0</v>
      </c>
      <c r="AG52" s="36">
        <f>IF(
    AND($H52 &gt; $BN$7, Tabella01MarzoInverter[[#This Row],[Active power TX2-INV-3]] &lt;= 0, Tabella01MarzoInverter[[#This Row],[TX2 - Min Power]] &lt;= 0),
    MIN(($H52 / 1000) * AG$10 * $BN$4, AG$11 * 0.876) * 0.25,
    IF(
        AND($H52 &gt; $BN$7, Tabella01MarzoInverter[[#This Row],[Active power TX2-INV-3]] &lt;= 0),
        Tabella01MarzoInverter[[#This Row],[TX2 - Min Power]] * 0.25,
        0
    )
    +
    IF(
        $N52 &lt; 0.875,
        MAX(0, MIN(($H52 / 1000) * AG$10 * $BN$4, AG$11 * 0.876) - (AG$11 * $N52)) * 0.25,
        0
    )
)</f>
        <v>0</v>
      </c>
      <c r="AH52" s="36">
        <f>IF(
    AND($H52 &gt; $BN$7, Tabella01MarzoInverter[[#This Row],[Active power TX2-INV-4]] &lt;= 0, Tabella01MarzoInverter[[#This Row],[Active power TX3-INV-1]] &lt;= 0),
    MIN(($H52 / 1000) * AH$10 * $BN$4, AH$11 * 0.876) * 0.25,
    IF(
        AND($H52 &gt; $BN$7, Tabella01MarzoInverter[[#This Row],[Active power TX2-INV-4]] &lt;= 0),
        Tabella01MarzoInverter[[#This Row],[Active power TX3-INV-1]] * 0.25,
        0
    )
    +
    IF(
        $N52 &lt; 0.875,
        MAX(0, MIN(($H52 / 1000) * AH$10 * $BN$4, AH$11 * 0.876) - (AH$11 * $N52)) * 0.25,
        0
    )
)</f>
        <v>0</v>
      </c>
      <c r="AI52" s="36">
        <f>IF(
    AND($H52 &gt; $BN$7, Tabella01MarzoInverter[[#This Row],[Active power TX2-INV-5]] &lt;= 0, Tabella01MarzoInverter[[#This Row],[Active power TX3-INV-2]] &lt;= 0),
    MIN(($H52 / 1000) * AI$10 * $BN$4, AI$11 * 0.876) * 0.25,
    IF(
        AND($H52 &gt; $BN$7, Tabella01MarzoInverter[[#This Row],[Active power TX2-INV-5]] &lt;= 0),
        Tabella01MarzoInverter[[#This Row],[Active power TX3-INV-2]] * 0.25,
        0
    )
    +
    IF(
        $N52 &lt; 0.875,
        MAX(0, MIN(($H52 / 1000) * AI$10 * $BN$4, AI$11 * 0.876) - (AI$11 * $N52)) * 0.25,
        0
    )
)</f>
        <v>0</v>
      </c>
      <c r="AJ52" s="36">
        <f>IF(
    AND($H52 &gt; $BN$7, Tabella01MarzoInverter[[#This Row],[Active power TX2-INV-6]] &lt;= 0, Tabella01MarzoInverter[[#This Row],[Active power TX3-INV-3]] &lt;= 0),
    MIN(($H52 / 1000) * AJ$10 * $BN$4, AJ$11 * 0.876) * 0.25,
    IF(
        AND($H52 &gt; $BN$7, Tabella01MarzoInverter[[#This Row],[Active power TX2-INV-6]] &lt;= 0),
        Tabella01MarzoInverter[[#This Row],[Active power TX3-INV-3]] * 0.25,
        0
    )
    +
    IF(
        $N52 &lt; 0.875,
        MAX(0, MIN(($H52 / 1000) * AJ$10 * $BN$4, AJ$11 * 0.876) - (AJ$11 * $N52)) * 0.25,
        0
    )
)</f>
        <v>0</v>
      </c>
      <c r="AK52" s="36">
        <f>IF(
    AND($H52 &gt; $BN$7, Tabella01MarzoInverter[[#This Row],[Active power TX2-INV-7]] &lt;= 0, Tabella01MarzoInverter[[#This Row],[Active power TX3-INV-4]] &lt;= 0),
    MIN(($H52 / 1000) * AK$10 * $BN$4, AK$11 * 0.876) * 0.25,
    IF(
        AND($H52 &gt; $BN$7, Tabella01MarzoInverter[[#This Row],[Active power TX2-INV-7]] &lt;= 0),
        Tabella01MarzoInverter[[#This Row],[Active power TX3-INV-4]] * 0.25,
        0
    )
    +
    IF(
        $N52 &lt; 0.875,
        MAX(0, MIN(($H52 / 1000) * AK$10 * $BN$4, AK$11 * 0.876) - (AK$11 * $N52)) * 0.25,
        0
    )
)</f>
        <v>0</v>
      </c>
      <c r="AL52" s="36">
        <f>IF(
    AND($H52 &gt; $BN$7, Tabella01MarzoInverter[[#This Row],[Active power TX2-INV-8]] &lt;= 0, Tabella01MarzoInverter[[#This Row],[Active power TX3-INV-5]] &lt;= 0),
    MIN(($H52 / 1000) * AL$10 * $BN$4, AL$11 * 0.876) * 0.25,
    IF(
        AND($H52 &gt; $BN$7, Tabella01MarzoInverter[[#This Row],[Active power TX2-INV-8]] &lt;= 0),
        Tabella01MarzoInverter[[#This Row],[Active power TX3-INV-5]] * 0.25,
        0
    )
    +
    IF(
        $N52 &lt; 0.875,
        MAX(0, MIN(($H52 / 1000) * AL$10 * $BN$4, AL$11 * 0.876) - (AL$11 * $N52)) * 0.25,
        0
    )
)</f>
        <v>0</v>
      </c>
      <c r="AM52" s="36">
        <f>IF(
    AND($H52 &gt; $BN$7, Tabella01MarzoInverter[[#This Row],[Active power TX2-INV-9]] &lt;= 0, Tabella01MarzoInverter[[#This Row],[Active power TX3-INV-6]] &lt;= 0),
    MIN(($H52 / 1000) * AM$10 * $BN$4, AM$11 * 0.876) * 0.25,
    IF(
        AND($H52 &gt; $BN$7, Tabella01MarzoInverter[[#This Row],[Active power TX2-INV-9]] &lt;= 0),
        Tabella01MarzoInverter[[#This Row],[Active power TX3-INV-6]] * 0.25,
        0
    )
    +
    IF(
        $N52 &lt; 0.875,
        MAX(0, MIN(($H52 / 1000) * AM$10 * $BN$4, AM$11 * 0.876) - (AM$11 * $N52)) * 0.25,
        0
    )
)</f>
        <v>0</v>
      </c>
      <c r="AN52" s="36">
        <f>IF(
    AND($H52 &gt; $BN$7, Tabella01MarzoInverter[[#This Row],[Active power TX2-INV-10]] &lt;= 0, Tabella01MarzoInverter[[#This Row],[Active power TX3-INV-7]] &lt;= 0),
    MIN(($H52 / 1000) * AN$10 * $BN$4, AN$11 * 0.876) * 0.25,
    IF(
        AND($H52 &gt; $BN$7, Tabella01MarzoInverter[[#This Row],[Active power TX2-INV-10]] &lt;= 0),
        Tabella01MarzoInverter[[#This Row],[Active power TX3-INV-7]] * 0.25,
        0
    )
    +
    IF(
        $N52 &lt; 0.875,
        MAX(0, MIN(($H52 / 1000) * AN$10 * $BN$4, AN$11 * 0.876) - (AN$11 * $N52)) * 0.25,
        0
    )
)</f>
        <v>0</v>
      </c>
      <c r="AO52" s="36">
        <f>IF(
    AND($H52 &gt; $BN$7, Tabella01MarzoInverter[[#This Row],[Active power TX2-INV-11]] &lt;= 0, Tabella01MarzoInverter[[#This Row],[Active power TX3-INV-8]] &lt;= 0),
    MIN(($H52 / 1000) * AO$10 * $BN$4, AO$11 * 0.876) * 0.25,
    IF(
        AND($H52 &gt; $BN$7, Tabella01MarzoInverter[[#This Row],[Active power TX2-INV-11]] &lt;= 0),
        Tabella01MarzoInverter[[#This Row],[Active power TX3-INV-8]] * 0.25,
        0
    )
    +
    IF(
        $N52 &lt; 0.875,
        MAX(0, MIN(($H52 / 1000) * AO$10 * $BN$4, AO$11 * 0.876) - (AO$11 * $N52)) * 0.25,
        0
    )
)</f>
        <v>0</v>
      </c>
      <c r="AP52" s="36">
        <f>IF(
    AND($H52 &gt; $BN$7, Tabella01MarzoInverter[[#This Row],[Active power TX2-INV-12]] &lt;= 0, Tabella01MarzoInverter[[#This Row],[Active power TX3-INV-9]] &lt;= 0),
    MIN(($H52 / 1000) * AP$10 * $BN$4, AP$11 * 0.876) * 0.25,
    IF(
        AND($H52 &gt; $BN$7, Tabella01MarzoInverter[[#This Row],[Active power TX2-INV-12]] &lt;= 0),
        Tabella01MarzoInverter[[#This Row],[Active power TX3-INV-9]] * 0.25,
        0
    )
    +
    IF(
        $N52 &lt; 0.875,
        MAX(0, MIN(($H52 / 1000) * AP$10 * $BN$4, AP$11 * 0.876) - (AP$11 * $N52)) * 0.25,
        0
    )
)</f>
        <v>0</v>
      </c>
      <c r="AQ52" s="8">
        <f>AVERAGE(TabellaMar2026[[#This Row],[Colonna39]:[Colonna6]])</f>
        <v>0</v>
      </c>
      <c r="AR52" s="8">
        <f>MAX(TabellaMar2026[[#This Row],[Colonna39]:[Colonna6]])</f>
        <v>0</v>
      </c>
      <c r="AS52" s="35">
        <f>MIN(TabellaMar2026[[#This Row],[Colonna39]:[Colonna6]])</f>
        <v>0</v>
      </c>
      <c r="AT52" s="48">
        <f>SUM(TabellaMar2026[[#This Row],[Colonna39]:[Colonna6]])</f>
        <v>0</v>
      </c>
      <c r="AU52" s="36" cm="1">
        <f t="array" ref="AU52">IF(
    AND($H52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($H52 / 1000) * AU$10 * $BN$4 * 0.25
    ),
    0
)
+
IF(
    $N52 &lt; 0.875,
    MAX(0, MIN(($H52 / 1000) * AU$10 * $BN$4, AU$11 * 0.876) - (AU$11 * $N52)) * 0.25,
    0
)</f>
        <v>0</v>
      </c>
      <c r="AV52" s="36" cm="1">
        <f t="array" ref="AV52">IF(
    AND($H52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($H52 / 1000) * AV$10 * $BN$4 * 0.25
    ),
    0
)
+
IF(
    $N52 &lt; 0.875,
    MAX(0, MIN(($H52 / 1000) * AV$10 * $BN$4, AV$11 * 0.876) - (AV$11 * $N52)) * 0.25,
    0
)</f>
        <v>0</v>
      </c>
      <c r="AW52" s="36" cm="1">
        <f t="array" ref="AW52">IF(
    AND($H52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($H52 / 1000) * AW$10 * $BN$4 * 0.25
    ),
    0
)
+
IF(
    $N52 &lt; 0.875,
    MAX(0, MIN(($H52 / 1000) * AW$10 * $BN$4, AW$11 * 0.876) - (AW$11 * $N52)) * 0.25,
    0
)</f>
        <v>0</v>
      </c>
      <c r="AX52" s="36" cm="1">
        <f t="array" ref="AX52">IF(
    AND($H52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($H52 / 1000) * AX$10 * $BN$4 * 0.25
    ),
    0
)
+
IF(
    $N52 &lt; 0.875,
    MAX(0, MIN(($H52 / 1000) * AX$10 * $BN$4, AX$11 * 0.876) - (AX$11 * $N52)) * 0.25,
    0
)</f>
        <v>0</v>
      </c>
      <c r="AY52" s="36" cm="1">
        <f t="array" ref="AY52">IF(
    AND($H52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($H52 / 1000) * AY$10 * $BN$4 * 0.25
    ),
    0
)
+
IF(
    $N52 &lt; 0.875,
    MAX(0, MIN(($H52 / 1000) * AY$10 * $BN$4, AY$11 * 0.876) - (AY$11 * $N52)) * 0.25,
    0
)</f>
        <v>0</v>
      </c>
      <c r="AZ52" s="36" cm="1">
        <f t="array" ref="AZ52">IF(
    AND($H52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($H52 / 1000) * AZ$10 * $BN$4 * 0.25
    ),
    0
)
+
IF(
    $N52 &lt; 0.875,
    MAX(0, MIN(($H52 / 1000) * AZ$10 * $BN$4, AZ$11 * 0.876) - (AZ$11 * $N52)) * 0.25,
    0
)</f>
        <v>0</v>
      </c>
      <c r="BA52" s="36" cm="1">
        <f t="array" ref="BA52">IF(
    AND($H52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($H52 / 1000) * BA$10 * $BN$4 * 0.25
    ),
    0
)
+
IF(
    $N52 &lt; 0.875,
    MAX(0, MIN(($H52 / 1000) * BA$10 * $BN$4, BA$11 * 0.876) - (BA$11 * $N52)) * 0.25,
    0
)</f>
        <v>0</v>
      </c>
      <c r="BB52" s="36" cm="1">
        <f t="array" ref="BB52">IF(
    AND($H52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($H52 / 1000) * BB$10 * $BN$4 * 0.25
    ),
    0
)
+
IF(
    $N52 &lt; 0.875,
    MAX(0, MIN(($H52 / 1000) * BB$10 * $BN$4, BB$11 * 0.876) - (BB$11 * $N52)) * 0.25,
    0
)</f>
        <v>0</v>
      </c>
      <c r="BC52" s="36" cm="1">
        <f t="array" ref="BC52">IF(
    AND($H52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($H52 / 1000) * BC$10 * $BN$4 * 0.25
    ),
    0
)
+
IF(
    $N52 &lt; 0.875,
    MAX(0, MIN(($H52 / 1000) * BC$10 * $BN$4, BC$11 * 0.876) - (BC$11 * $N52)) * 0.25,
    0
)</f>
        <v>0</v>
      </c>
      <c r="BD52" s="36" cm="1">
        <f t="array" ref="BD52">IF(
    AND($H52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($H52 / 1000) * BD$10 * $BN$4 * 0.25
    ),
    0
)
+
IF(
    $N52 &lt; 0.875,
    MAX(0, MIN(($H52 / 1000) * BD$10 * $BN$4, BD$11 * 0.876) - (BD$11 * $N52)) * 0.25,
    0
)</f>
        <v>0</v>
      </c>
      <c r="BE52" s="36" cm="1">
        <f t="array" ref="BE52">IF(
    AND($H52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($H52 / 1000) * BE$10 * $BN$4 * 0.25
    ),
    0
)
+
IF(
    $N52 &lt; 0.875,
    MAX(0, MIN(($H52 / 1000) * BE$10 * $BN$4, BE$11 * 0.876) - (BE$11 * $N52)) * 0.25,
    0
)</f>
        <v>0</v>
      </c>
      <c r="BF52" s="36" cm="1">
        <f t="array" ref="BF52">IF(
    AND($H52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($H52 / 1000) * BF$10 * $BN$4 * 0.25
    ),
    0
)
+
IF(
    $N52 &lt; 0.875,
    MAX(0, MIN(($H52 / 1000) * BF$10 * $BN$4, BF$11 * 0.876) - (BF$11 * $N52)) * 0.25,
    0
)</f>
        <v>0</v>
      </c>
      <c r="BG52" s="8">
        <f>AVERAGE(TabellaMar2026[[#This Row],[Colonna55]:[Colonna53]])</f>
        <v>0</v>
      </c>
      <c r="BH52" s="8">
        <f>MAX(TabellaMar2026[[#This Row],[Colonna55]:[Colonna53]])</f>
        <v>0</v>
      </c>
      <c r="BI52" s="35">
        <f>MIN(TabellaMar2026[[#This Row],[Colonna55]:[Colonna53]])</f>
        <v>0</v>
      </c>
      <c r="BJ52" s="48">
        <f>SUM(TabellaMar2026[[#This Row],[Colonna54]:[Colonna53]])</f>
        <v>0</v>
      </c>
      <c r="BK52" s="54">
        <f>(SUM(Tabella01MarzoInverter[[Active power TX1-INV-1]:[Active power TX3-INV-12]]) * 0.25) / (12625 * (SUM($G$15:$H$110) * 0.25 / 1000))</f>
        <v>1.014229628761051</v>
      </c>
      <c r="BL52" s="5"/>
      <c r="BM52" s="5"/>
      <c r="BN52" s="8"/>
      <c r="BO52" s="8"/>
      <c r="BP52" s="19"/>
    </row>
    <row r="53" spans="1:68" x14ac:dyDescent="0.25">
      <c r="A53" s="18">
        <v>46147</v>
      </c>
      <c r="B53" t="s">
        <v>53</v>
      </c>
      <c r="C53" s="5">
        <v>854.3</v>
      </c>
      <c r="D53" s="6">
        <v>0.21357499999999999</v>
      </c>
      <c r="E53" s="6">
        <v>849.6</v>
      </c>
      <c r="F53" s="6">
        <v>0.21240000000000001</v>
      </c>
      <c r="G53" s="6">
        <f>IFERROR((D53+F53)/2, 0)</f>
        <v>0.2129875</v>
      </c>
      <c r="H53" s="7">
        <f>IFERROR(IF(AVERAGE(C53,E53)&gt;$BN$7,AVERAGE(C53,E53),0), 0)</f>
        <v>851.95</v>
      </c>
      <c r="I53" s="7">
        <f>IFERROR(IF(AND(D53=0,F53=0),0,IF(H53&gt;$BN$6,MAX(D53,F53),G53)), 0)</f>
        <v>0.21357499999999999</v>
      </c>
      <c r="J53" s="6">
        <f>IFERROR(IF(AND(D53&gt;0,F53&gt;0),ABS(D53-F53)/AVERAGE(D53,F53),0), 0)</f>
        <v>5.5167556781500404E-3</v>
      </c>
      <c r="K53" s="6">
        <v>30388.9</v>
      </c>
      <c r="L53" s="6">
        <v>30390.6</v>
      </c>
      <c r="M53" s="8">
        <f>IFERROR((L53-K53)*1000, 0)</f>
        <v>1699.9999999970896</v>
      </c>
      <c r="N53" s="6">
        <v>0.87599999999999989</v>
      </c>
      <c r="O53" s="8" cm="1">
        <f t="array" ref="O53">IF(
    AND($H53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($H53 / 1000) * O$10 * $BN$4 * 0.25
    ),
    0
)
+
IF(
    $N53 &lt; 0.875,
    MAX(0, MIN(($H53 / 1000) * O$10 * $BN$4, O$11 * 0.876) - (O$11 * $N53)) * 0.25,
    0
)</f>
        <v>0</v>
      </c>
      <c r="P53" s="8" cm="1">
        <f t="array" ref="P53">IF(
    AND($H53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($H53 / 1000) * P$10 * $BN$4 * 0.25
    ),
    0
)
+
IF(
    $N53 &lt; 0.875,
    MAX(0, MIN(($H53 / 1000) * P$10 * $BN$4, P$11 * 0.876) - (P$11 * $N53)) * 0.25,
    0
)</f>
        <v>0</v>
      </c>
      <c r="Q53" s="8" cm="1">
        <f t="array" ref="Q53">IF(
    AND($H53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($H53 / 1000) * Q$10 * $BN$4 * 0.25
    ),
    0
)
+
IF(
    $N53 &lt; 0.875,
    MAX(0, MIN(($H53 / 1000) * Q$10 * $BN$4, Q$11 * 0.876) - (Q$11 * $N53)) * 0.25,
    0
)</f>
        <v>0</v>
      </c>
      <c r="R53" s="8" cm="1">
        <f t="array" ref="R53">IF(
    AND($H53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($H53 / 1000) * R$10 * $BN$4 * 0.25
    ),
    0
)
+
IF(
    $N53 &lt; 0.875,
    MAX(0, MIN(($H53 / 1000) * R$10 * $BN$4, R$11 * 0.876) - (R$11 * $N53)) * 0.25,
    0
)</f>
        <v>0</v>
      </c>
      <c r="S53" s="8" cm="1">
        <f t="array" ref="S53">IF(
    AND($H53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($H53 / 1000) * S$10 * $BN$4 * 0.25
    ),
    0
)
+
IF(
    $N53 &lt; 0.875,
    MAX(0, MIN(($H53 / 1000) * S$10 * $BN$4, S$11 * 0.876) - (S$11 * $N53)) * 0.25,
    0
)</f>
        <v>0</v>
      </c>
      <c r="T53" s="8" cm="1">
        <f t="array" ref="T53">IF(
    AND($H53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($H53 / 1000) * T$10 * $BN$4 * 0.25
    ),
    0
)
+
IF(
    $N53 &lt; 0.875,
    MAX(0, MIN(($H53 / 1000) * T$10 * $BN$4, T$11 * 0.876) - (T$11 * $N53)) * 0.25,
    0
)</f>
        <v>0</v>
      </c>
      <c r="U53" s="8" cm="1">
        <f t="array" ref="U53">IF(
    AND($H53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($H53 / 1000) * U$10 * $BN$4 * 0.25
    ),
    0
)
+
IF(
    $N53 &lt; 0.875,
    MAX(0, MIN(($H53 / 1000) * U$10 * $BN$4, U$11 * 0.876) - (U$11 * $N53)) * 0.25,
    0
)</f>
        <v>0</v>
      </c>
      <c r="V53" s="8" cm="1">
        <f t="array" ref="V53">IF(
    AND($H53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($H53 / 1000) * V$10 * $BN$4 * 0.25
    ),
    0
)
+
IF(
    $N53 &lt; 0.875,
    MAX(0, MIN(($H53 / 1000) * V$10 * $BN$4, V$11 * 0.876) - (V$11 * $N53)) * 0.25,
    0
)</f>
        <v>0</v>
      </c>
      <c r="W53" s="8" cm="1">
        <f t="array" ref="W53">IF(
    AND($H53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($H53 / 1000) * W$10 * $BN$4 * 0.25
    ),
    0
)
+
IF(
    $N53 &lt; 0.875,
    MAX(0, MIN(($H53 / 1000) * W$10 * $BN$4, W$11 * 0.876) - (W$11 * $N53)) * 0.25,
    0
)</f>
        <v>0</v>
      </c>
      <c r="X53" s="8" cm="1">
        <f t="array" ref="X53">IF(
    AND($H53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($H53 / 1000) * X$10 * $BN$4 * 0.25
    ),
    0
)
+
IF(
    $N53 &lt; 0.875,
    MAX(0, MIN(($H53 / 1000) * X$10 * $BN$4, X$11 * 0.876) - (X$11 * $N53)) * 0.25,
    0
)</f>
        <v>0</v>
      </c>
      <c r="Y53" s="8" cm="1">
        <f t="array" ref="Y53">IF(
    AND($H53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($H53 / 1000) * Y$10 * $BN$4 * 0.25
    ),
    0
)
+
IF(
    $N53 &lt; 0.875,
    MAX(0, MIN(($H53 / 1000) * Y$10 * $BN$4, Y$11 * 0.876) - (Y$11 * $N53)) * 0.25,
    0
)</f>
        <v>0</v>
      </c>
      <c r="Z53" s="8" cm="1">
        <f t="array" ref="Z53">IF(
    AND($H53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($H53 / 1000) * Z$10 * $BN$4 * 0.25
    ),
    0
)
+
IF(
    $N53 &lt; 0.875,
    MAX(0, MIN(($H53 / 1000) * Z$10 * $BN$4, Z$11 * 0.876) - (Z$11 * $N53)) * 0.25,
    0
)</f>
        <v>0</v>
      </c>
      <c r="AA53" s="8">
        <f>AVERAGE(TabellaMar2026[[#This Row],[Colonna24]:[Colonna20]])</f>
        <v>0</v>
      </c>
      <c r="AB53" s="8">
        <f>MAX(TabellaMar2026[[#This Row],[Colonna24]:[Colonna20]])</f>
        <v>0</v>
      </c>
      <c r="AC53" s="35">
        <f>MIN(TabellaMar2026[[#This Row],[Colonna24]:[Colonna20]])</f>
        <v>0</v>
      </c>
      <c r="AD53" s="44">
        <f>SUM(TabellaMar2026[[#This Row],[Colonna24]:[Colonna20]])</f>
        <v>0</v>
      </c>
      <c r="AE53" s="36">
        <f>IF(
    AND($H53 &gt; $BN$7, Tabella01MarzoInverter[[#This Row],[Active power TX2-INV-1]] &lt;= 0, Tabella01MarzoInverter[[#This Row],[TX2 - Average Power]] &lt;= 0),
    MIN(($H53 / 1000) * AE$10 * $BN$4, AE$11 * 0.876) * 0.25,
    IF(
        AND($H53 &gt; $BN$7, Tabella01MarzoInverter[[#This Row],[Active power TX2-INV-1]] &lt;= 0),
        Tabella01MarzoInverter[[#This Row],[TX2 - Average Power]] * 0.25,
        0
    )
    +
    IF(
        $N53 &lt; 0.875,
        MAX(0, MIN(($H53 / 1000) * AE$10 * $BN$4, AE$11 * 0.876) - (AE$11 * $N53)) * 0.25,
        0
    )
)</f>
        <v>0</v>
      </c>
      <c r="AF53" s="36">
        <f>IF(
    AND($H53 &gt; $BN$7, Tabella01MarzoInverter[[#This Row],[Active power TX2-INV-2]] &lt;= 0, Tabella01MarzoInverter[[#This Row],[TX2 - Max Power]] &lt;= 0),
    MIN(($H53 / 1000) * AF$10 * $BN$4, AF$11 * 0.876) * 0.25,
    IF(
        AND($H53 &gt; $BN$7, Tabella01MarzoInverter[[#This Row],[Active power TX2-INV-2]] &lt;= 0),
        Tabella01MarzoInverter[[#This Row],[TX2 - Max Power]] * 0.25,
        0
    )
    +
    IF(
        $N53 &lt; 0.875,
        MAX(0, MIN(($H53 / 1000) * AF$10 * $BN$4, AF$11 * 0.876) - (AF$11 * $N53)) * 0.25,
        0
    )
)</f>
        <v>0</v>
      </c>
      <c r="AG53" s="36">
        <f>IF(
    AND($H53 &gt; $BN$7, Tabella01MarzoInverter[[#This Row],[Active power TX2-INV-3]] &lt;= 0, Tabella01MarzoInverter[[#This Row],[TX2 - Min Power]] &lt;= 0),
    MIN(($H53 / 1000) * AG$10 * $BN$4, AG$11 * 0.876) * 0.25,
    IF(
        AND($H53 &gt; $BN$7, Tabella01MarzoInverter[[#This Row],[Active power TX2-INV-3]] &lt;= 0),
        Tabella01MarzoInverter[[#This Row],[TX2 - Min Power]] * 0.25,
        0
    )
    +
    IF(
        $N53 &lt; 0.875,
        MAX(0, MIN(($H53 / 1000) * AG$10 * $BN$4, AG$11 * 0.876) - (AG$11 * $N53)) * 0.25,
        0
    )
)</f>
        <v>0</v>
      </c>
      <c r="AH53" s="36">
        <f>IF(
    AND($H53 &gt; $BN$7, Tabella01MarzoInverter[[#This Row],[Active power TX2-INV-4]] &lt;= 0, Tabella01MarzoInverter[[#This Row],[Active power TX3-INV-1]] &lt;= 0),
    MIN(($H53 / 1000) * AH$10 * $BN$4, AH$11 * 0.876) * 0.25,
    IF(
        AND($H53 &gt; $BN$7, Tabella01MarzoInverter[[#This Row],[Active power TX2-INV-4]] &lt;= 0),
        Tabella01MarzoInverter[[#This Row],[Active power TX3-INV-1]] * 0.25,
        0
    )
    +
    IF(
        $N53 &lt; 0.875,
        MAX(0, MIN(($H53 / 1000) * AH$10 * $BN$4, AH$11 * 0.876) - (AH$11 * $N53)) * 0.25,
        0
    )
)</f>
        <v>0</v>
      </c>
      <c r="AI53" s="36">
        <f>IF(
    AND($H53 &gt; $BN$7, Tabella01MarzoInverter[[#This Row],[Active power TX2-INV-5]] &lt;= 0, Tabella01MarzoInverter[[#This Row],[Active power TX3-INV-2]] &lt;= 0),
    MIN(($H53 / 1000) * AI$10 * $BN$4, AI$11 * 0.876) * 0.25,
    IF(
        AND($H53 &gt; $BN$7, Tabella01MarzoInverter[[#This Row],[Active power TX2-INV-5]] &lt;= 0),
        Tabella01MarzoInverter[[#This Row],[Active power TX3-INV-2]] * 0.25,
        0
    )
    +
    IF(
        $N53 &lt; 0.875,
        MAX(0, MIN(($H53 / 1000) * AI$10 * $BN$4, AI$11 * 0.876) - (AI$11 * $N53)) * 0.25,
        0
    )
)</f>
        <v>0</v>
      </c>
      <c r="AJ53" s="36">
        <f>IF(
    AND($H53 &gt; $BN$7, Tabella01MarzoInverter[[#This Row],[Active power TX2-INV-6]] &lt;= 0, Tabella01MarzoInverter[[#This Row],[Active power TX3-INV-3]] &lt;= 0),
    MIN(($H53 / 1000) * AJ$10 * $BN$4, AJ$11 * 0.876) * 0.25,
    IF(
        AND($H53 &gt; $BN$7, Tabella01MarzoInverter[[#This Row],[Active power TX2-INV-6]] &lt;= 0),
        Tabella01MarzoInverter[[#This Row],[Active power TX3-INV-3]] * 0.25,
        0
    )
    +
    IF(
        $N53 &lt; 0.875,
        MAX(0, MIN(($H53 / 1000) * AJ$10 * $BN$4, AJ$11 * 0.876) - (AJ$11 * $N53)) * 0.25,
        0
    )
)</f>
        <v>0</v>
      </c>
      <c r="AK53" s="36">
        <f>IF(
    AND($H53 &gt; $BN$7, Tabella01MarzoInverter[[#This Row],[Active power TX2-INV-7]] &lt;= 0, Tabella01MarzoInverter[[#This Row],[Active power TX3-INV-4]] &lt;= 0),
    MIN(($H53 / 1000) * AK$10 * $BN$4, AK$11 * 0.876) * 0.25,
    IF(
        AND($H53 &gt; $BN$7, Tabella01MarzoInverter[[#This Row],[Active power TX2-INV-7]] &lt;= 0),
        Tabella01MarzoInverter[[#This Row],[Active power TX3-INV-4]] * 0.25,
        0
    )
    +
    IF(
        $N53 &lt; 0.875,
        MAX(0, MIN(($H53 / 1000) * AK$10 * $BN$4, AK$11 * 0.876) - (AK$11 * $N53)) * 0.25,
        0
    )
)</f>
        <v>0</v>
      </c>
      <c r="AL53" s="36">
        <f>IF(
    AND($H53 &gt; $BN$7, Tabella01MarzoInverter[[#This Row],[Active power TX2-INV-8]] &lt;= 0, Tabella01MarzoInverter[[#This Row],[Active power TX3-INV-5]] &lt;= 0),
    MIN(($H53 / 1000) * AL$10 * $BN$4, AL$11 * 0.876) * 0.25,
    IF(
        AND($H53 &gt; $BN$7, Tabella01MarzoInverter[[#This Row],[Active power TX2-INV-8]] &lt;= 0),
        Tabella01MarzoInverter[[#This Row],[Active power TX3-INV-5]] * 0.25,
        0
    )
    +
    IF(
        $N53 &lt; 0.875,
        MAX(0, MIN(($H53 / 1000) * AL$10 * $BN$4, AL$11 * 0.876) - (AL$11 * $N53)) * 0.25,
        0
    )
)</f>
        <v>0</v>
      </c>
      <c r="AM53" s="36">
        <f>IF(
    AND($H53 &gt; $BN$7, Tabella01MarzoInverter[[#This Row],[Active power TX2-INV-9]] &lt;= 0, Tabella01MarzoInverter[[#This Row],[Active power TX3-INV-6]] &lt;= 0),
    MIN(($H53 / 1000) * AM$10 * $BN$4, AM$11 * 0.876) * 0.25,
    IF(
        AND($H53 &gt; $BN$7, Tabella01MarzoInverter[[#This Row],[Active power TX2-INV-9]] &lt;= 0),
        Tabella01MarzoInverter[[#This Row],[Active power TX3-INV-6]] * 0.25,
        0
    )
    +
    IF(
        $N53 &lt; 0.875,
        MAX(0, MIN(($H53 / 1000) * AM$10 * $BN$4, AM$11 * 0.876) - (AM$11 * $N53)) * 0.25,
        0
    )
)</f>
        <v>0</v>
      </c>
      <c r="AN53" s="36">
        <f>IF(
    AND($H53 &gt; $BN$7, Tabella01MarzoInverter[[#This Row],[Active power TX2-INV-10]] &lt;= 0, Tabella01MarzoInverter[[#This Row],[Active power TX3-INV-7]] &lt;= 0),
    MIN(($H53 / 1000) * AN$10 * $BN$4, AN$11 * 0.876) * 0.25,
    IF(
        AND($H53 &gt; $BN$7, Tabella01MarzoInverter[[#This Row],[Active power TX2-INV-10]] &lt;= 0),
        Tabella01MarzoInverter[[#This Row],[Active power TX3-INV-7]] * 0.25,
        0
    )
    +
    IF(
        $N53 &lt; 0.875,
        MAX(0, MIN(($H53 / 1000) * AN$10 * $BN$4, AN$11 * 0.876) - (AN$11 * $N53)) * 0.25,
        0
    )
)</f>
        <v>0</v>
      </c>
      <c r="AO53" s="36">
        <f>IF(
    AND($H53 &gt; $BN$7, Tabella01MarzoInverter[[#This Row],[Active power TX2-INV-11]] &lt;= 0, Tabella01MarzoInverter[[#This Row],[Active power TX3-INV-8]] &lt;= 0),
    MIN(($H53 / 1000) * AO$10 * $BN$4, AO$11 * 0.876) * 0.25,
    IF(
        AND($H53 &gt; $BN$7, Tabella01MarzoInverter[[#This Row],[Active power TX2-INV-11]] &lt;= 0),
        Tabella01MarzoInverter[[#This Row],[Active power TX3-INV-8]] * 0.25,
        0
    )
    +
    IF(
        $N53 &lt; 0.875,
        MAX(0, MIN(($H53 / 1000) * AO$10 * $BN$4, AO$11 * 0.876) - (AO$11 * $N53)) * 0.25,
        0
    )
)</f>
        <v>0</v>
      </c>
      <c r="AP53" s="36">
        <f>IF(
    AND($H53 &gt; $BN$7, Tabella01MarzoInverter[[#This Row],[Active power TX2-INV-12]] &lt;= 0, Tabella01MarzoInverter[[#This Row],[Active power TX3-INV-9]] &lt;= 0),
    MIN(($H53 / 1000) * AP$10 * $BN$4, AP$11 * 0.876) * 0.25,
    IF(
        AND($H53 &gt; $BN$7, Tabella01MarzoInverter[[#This Row],[Active power TX2-INV-12]] &lt;= 0),
        Tabella01MarzoInverter[[#This Row],[Active power TX3-INV-9]] * 0.25,
        0
    )
    +
    IF(
        $N53 &lt; 0.875,
        MAX(0, MIN(($H53 / 1000) * AP$10 * $BN$4, AP$11 * 0.876) - (AP$11 * $N53)) * 0.25,
        0
    )
)</f>
        <v>0</v>
      </c>
      <c r="AQ53" s="8">
        <f>AVERAGE(TabellaMar2026[[#This Row],[Colonna39]:[Colonna6]])</f>
        <v>0</v>
      </c>
      <c r="AR53" s="8">
        <f>MAX(TabellaMar2026[[#This Row],[Colonna39]:[Colonna6]])</f>
        <v>0</v>
      </c>
      <c r="AS53" s="35">
        <f>MIN(TabellaMar2026[[#This Row],[Colonna39]:[Colonna6]])</f>
        <v>0</v>
      </c>
      <c r="AT53" s="48">
        <f>SUM(TabellaMar2026[[#This Row],[Colonna39]:[Colonna6]])</f>
        <v>0</v>
      </c>
      <c r="AU53" s="36" cm="1">
        <f t="array" ref="AU53">IF(
    AND($H53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($H53 / 1000) * AU$10 * $BN$4 * 0.25
    ),
    0
)
+
IF(
    $N53 &lt; 0.875,
    MAX(0, MIN(($H53 / 1000) * AU$10 * $BN$4, AU$11 * 0.876) - (AU$11 * $N53)) * 0.25,
    0
)</f>
        <v>0</v>
      </c>
      <c r="AV53" s="36" cm="1">
        <f t="array" ref="AV53">IF(
    AND($H53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($H53 / 1000) * AV$10 * $BN$4 * 0.25
    ),
    0
)
+
IF(
    $N53 &lt; 0.875,
    MAX(0, MIN(($H53 / 1000) * AV$10 * $BN$4, AV$11 * 0.876) - (AV$11 * $N53)) * 0.25,
    0
)</f>
        <v>0</v>
      </c>
      <c r="AW53" s="36" cm="1">
        <f t="array" ref="AW53">IF(
    AND($H53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($H53 / 1000) * AW$10 * $BN$4 * 0.25
    ),
    0
)
+
IF(
    $N53 &lt; 0.875,
    MAX(0, MIN(($H53 / 1000) * AW$10 * $BN$4, AW$11 * 0.876) - (AW$11 * $N53)) * 0.25,
    0
)</f>
        <v>0</v>
      </c>
      <c r="AX53" s="36" cm="1">
        <f t="array" ref="AX53">IF(
    AND($H53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($H53 / 1000) * AX$10 * $BN$4 * 0.25
    ),
    0
)
+
IF(
    $N53 &lt; 0.875,
    MAX(0, MIN(($H53 / 1000) * AX$10 * $BN$4, AX$11 * 0.876) - (AX$11 * $N53)) * 0.25,
    0
)</f>
        <v>0</v>
      </c>
      <c r="AY53" s="36" cm="1">
        <f t="array" ref="AY53">IF(
    AND($H53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($H53 / 1000) * AY$10 * $BN$4 * 0.25
    ),
    0
)
+
IF(
    $N53 &lt; 0.875,
    MAX(0, MIN(($H53 / 1000) * AY$10 * $BN$4, AY$11 * 0.876) - (AY$11 * $N53)) * 0.25,
    0
)</f>
        <v>0</v>
      </c>
      <c r="AZ53" s="36" cm="1">
        <f t="array" ref="AZ53">IF(
    AND($H53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($H53 / 1000) * AZ$10 * $BN$4 * 0.25
    ),
    0
)
+
IF(
    $N53 &lt; 0.875,
    MAX(0, MIN(($H53 / 1000) * AZ$10 * $BN$4, AZ$11 * 0.876) - (AZ$11 * $N53)) * 0.25,
    0
)</f>
        <v>0</v>
      </c>
      <c r="BA53" s="36" cm="1">
        <f t="array" ref="BA53">IF(
    AND($H53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($H53 / 1000) * BA$10 * $BN$4 * 0.25
    ),
    0
)
+
IF(
    $N53 &lt; 0.875,
    MAX(0, MIN(($H53 / 1000) * BA$10 * $BN$4, BA$11 * 0.876) - (BA$11 * $N53)) * 0.25,
    0
)</f>
        <v>0</v>
      </c>
      <c r="BB53" s="36" cm="1">
        <f t="array" ref="BB53">IF(
    AND($H53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($H53 / 1000) * BB$10 * $BN$4 * 0.25
    ),
    0
)
+
IF(
    $N53 &lt; 0.875,
    MAX(0, MIN(($H53 / 1000) * BB$10 * $BN$4, BB$11 * 0.876) - (BB$11 * $N53)) * 0.25,
    0
)</f>
        <v>0</v>
      </c>
      <c r="BC53" s="36" cm="1">
        <f t="array" ref="BC53">IF(
    AND($H53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($H53 / 1000) * BC$10 * $BN$4 * 0.25
    ),
    0
)
+
IF(
    $N53 &lt; 0.875,
    MAX(0, MIN(($H53 / 1000) * BC$10 * $BN$4, BC$11 * 0.876) - (BC$11 * $N53)) * 0.25,
    0
)</f>
        <v>0</v>
      </c>
      <c r="BD53" s="36" cm="1">
        <f t="array" ref="BD53">IF(
    AND($H53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($H53 / 1000) * BD$10 * $BN$4 * 0.25
    ),
    0
)
+
IF(
    $N53 &lt; 0.875,
    MAX(0, MIN(($H53 / 1000) * BD$10 * $BN$4, BD$11 * 0.876) - (BD$11 * $N53)) * 0.25,
    0
)</f>
        <v>0</v>
      </c>
      <c r="BE53" s="36" cm="1">
        <f t="array" ref="BE53">IF(
    AND($H53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($H53 / 1000) * BE$10 * $BN$4 * 0.25
    ),
    0
)
+
IF(
    $N53 &lt; 0.875,
    MAX(0, MIN(($H53 / 1000) * BE$10 * $BN$4, BE$11 * 0.876) - (BE$11 * $N53)) * 0.25,
    0
)</f>
        <v>0</v>
      </c>
      <c r="BF53" s="36" cm="1">
        <f t="array" ref="BF53">IF(
    AND($H53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($H53 / 1000) * BF$10 * $BN$4 * 0.25
    ),
    0
)
+
IF(
    $N53 &lt; 0.875,
    MAX(0, MIN(($H53 / 1000) * BF$10 * $BN$4, BF$11 * 0.876) - (BF$11 * $N53)) * 0.25,
    0
)</f>
        <v>0</v>
      </c>
      <c r="BG53" s="8">
        <f>AVERAGE(TabellaMar2026[[#This Row],[Colonna55]:[Colonna53]])</f>
        <v>0</v>
      </c>
      <c r="BH53" s="8">
        <f>MAX(TabellaMar2026[[#This Row],[Colonna55]:[Colonna53]])</f>
        <v>0</v>
      </c>
      <c r="BI53" s="35">
        <f>MIN(TabellaMar2026[[#This Row],[Colonna55]:[Colonna53]])</f>
        <v>0</v>
      </c>
      <c r="BJ53" s="48">
        <f>SUM(TabellaMar2026[[#This Row],[Colonna54]:[Colonna53]])</f>
        <v>0</v>
      </c>
      <c r="BK53" s="54">
        <f>(SUM(Tabella01MarzoInverter[[Active power TX1-INV-1]:[Active power TX3-INV-12]]) * 0.25) / (12625 * (SUM($G$15:$H$110) * 0.25 / 1000))</f>
        <v>1.014229628761051</v>
      </c>
      <c r="BL53" s="5"/>
      <c r="BM53" s="5"/>
      <c r="BN53" s="8"/>
      <c r="BO53" s="8"/>
      <c r="BP53" s="19"/>
    </row>
    <row r="54" spans="1:68" x14ac:dyDescent="0.25">
      <c r="A54" s="18">
        <v>46147</v>
      </c>
      <c r="B54" t="s">
        <v>54</v>
      </c>
      <c r="C54" s="5">
        <v>411.7</v>
      </c>
      <c r="D54" s="6">
        <v>0.102925</v>
      </c>
      <c r="E54" s="6">
        <v>389.6</v>
      </c>
      <c r="F54" s="6">
        <v>9.74E-2</v>
      </c>
      <c r="G54" s="6">
        <f>IFERROR((D54+F54)/2, 0)</f>
        <v>0.1001625</v>
      </c>
      <c r="H54" s="7">
        <f>IFERROR(IF(AVERAGE(C54,E54)&gt;$BN$7,AVERAGE(C54,E54),0), 0)</f>
        <v>400.65</v>
      </c>
      <c r="I54" s="7">
        <f>IFERROR(IF(AND(D54=0,F54=0),0,IF(H54&gt;$BN$6,MAX(D54,F54),G54)), 0)</f>
        <v>0.102925</v>
      </c>
      <c r="J54" s="6">
        <f>IFERROR(IF(AND(D54&gt;0,F54&gt;0),ABS(D54-F54)/AVERAGE(D54,F54),0), 0)</f>
        <v>5.5160364407837288E-2</v>
      </c>
      <c r="K54" s="6">
        <v>30390.6</v>
      </c>
      <c r="L54" s="6">
        <v>30392.6</v>
      </c>
      <c r="M54" s="8">
        <f>IFERROR((L54-K54)*1000, 0)</f>
        <v>2000</v>
      </c>
      <c r="N54" s="6">
        <v>0.87599999999999989</v>
      </c>
      <c r="O54" s="8" cm="1">
        <f t="array" ref="O54">IF(
    AND($H54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($H54 / 1000) * O$10 * $BN$4 * 0.25
    ),
    0
)
+
IF(
    $N54 &lt; 0.875,
    MAX(0, MIN(($H54 / 1000) * O$10 * $BN$4, O$11 * 0.876) - (O$11 * $N54)) * 0.25,
    0
)</f>
        <v>0</v>
      </c>
      <c r="P54" s="8" cm="1">
        <f t="array" ref="P54">IF(
    AND($H54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($H54 / 1000) * P$10 * $BN$4 * 0.25
    ),
    0
)
+
IF(
    $N54 &lt; 0.875,
    MAX(0, MIN(($H54 / 1000) * P$10 * $BN$4, P$11 * 0.876) - (P$11 * $N54)) * 0.25,
    0
)</f>
        <v>0</v>
      </c>
      <c r="Q54" s="8" cm="1">
        <f t="array" ref="Q54">IF(
    AND($H54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($H54 / 1000) * Q$10 * $BN$4 * 0.25
    ),
    0
)
+
IF(
    $N54 &lt; 0.875,
    MAX(0, MIN(($H54 / 1000) * Q$10 * $BN$4, Q$11 * 0.876) - (Q$11 * $N54)) * 0.25,
    0
)</f>
        <v>0</v>
      </c>
      <c r="R54" s="8" cm="1">
        <f t="array" ref="R54">IF(
    AND($H54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($H54 / 1000) * R$10 * $BN$4 * 0.25
    ),
    0
)
+
IF(
    $N54 &lt; 0.875,
    MAX(0, MIN(($H54 / 1000) * R$10 * $BN$4, R$11 * 0.876) - (R$11 * $N54)) * 0.25,
    0
)</f>
        <v>0</v>
      </c>
      <c r="S54" s="8" cm="1">
        <f t="array" ref="S54">IF(
    AND($H54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($H54 / 1000) * S$10 * $BN$4 * 0.25
    ),
    0
)
+
IF(
    $N54 &lt; 0.875,
    MAX(0, MIN(($H54 / 1000) * S$10 * $BN$4, S$11 * 0.876) - (S$11 * $N54)) * 0.25,
    0
)</f>
        <v>0</v>
      </c>
      <c r="T54" s="8" cm="1">
        <f t="array" ref="T54">IF(
    AND($H54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($H54 / 1000) * T$10 * $BN$4 * 0.25
    ),
    0
)
+
IF(
    $N54 &lt; 0.875,
    MAX(0, MIN(($H54 / 1000) * T$10 * $BN$4, T$11 * 0.876) - (T$11 * $N54)) * 0.25,
    0
)</f>
        <v>0</v>
      </c>
      <c r="U54" s="8" cm="1">
        <f t="array" ref="U54">IF(
    AND($H54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($H54 / 1000) * U$10 * $BN$4 * 0.25
    ),
    0
)
+
IF(
    $N54 &lt; 0.875,
    MAX(0, MIN(($H54 / 1000) * U$10 * $BN$4, U$11 * 0.876) - (U$11 * $N54)) * 0.25,
    0
)</f>
        <v>0</v>
      </c>
      <c r="V54" s="8" cm="1">
        <f t="array" ref="V54">IF(
    AND($H54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($H54 / 1000) * V$10 * $BN$4 * 0.25
    ),
    0
)
+
IF(
    $N54 &lt; 0.875,
    MAX(0, MIN(($H54 / 1000) * V$10 * $BN$4, V$11 * 0.876) - (V$11 * $N54)) * 0.25,
    0
)</f>
        <v>0</v>
      </c>
      <c r="W54" s="8" cm="1">
        <f t="array" ref="W54">IF(
    AND($H54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($H54 / 1000) * W$10 * $BN$4 * 0.25
    ),
    0
)
+
IF(
    $N54 &lt; 0.875,
    MAX(0, MIN(($H54 / 1000) * W$10 * $BN$4, W$11 * 0.876) - (W$11 * $N54)) * 0.25,
    0
)</f>
        <v>0</v>
      </c>
      <c r="X54" s="8" cm="1">
        <f t="array" ref="X54">IF(
    AND($H54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($H54 / 1000) * X$10 * $BN$4 * 0.25
    ),
    0
)
+
IF(
    $N54 &lt; 0.875,
    MAX(0, MIN(($H54 / 1000) * X$10 * $BN$4, X$11 * 0.876) - (X$11 * $N54)) * 0.25,
    0
)</f>
        <v>0</v>
      </c>
      <c r="Y54" s="8" cm="1">
        <f t="array" ref="Y54">IF(
    AND($H54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($H54 / 1000) * Y$10 * $BN$4 * 0.25
    ),
    0
)
+
IF(
    $N54 &lt; 0.875,
    MAX(0, MIN(($H54 / 1000) * Y$10 * $BN$4, Y$11 * 0.876) - (Y$11 * $N54)) * 0.25,
    0
)</f>
        <v>0</v>
      </c>
      <c r="Z54" s="8" cm="1">
        <f t="array" ref="Z54">IF(
    AND($H54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($H54 / 1000) * Z$10 * $BN$4 * 0.25
    ),
    0
)
+
IF(
    $N54 &lt; 0.875,
    MAX(0, MIN(($H54 / 1000) * Z$10 * $BN$4, Z$11 * 0.876) - (Z$11 * $N54)) * 0.25,
    0
)</f>
        <v>0</v>
      </c>
      <c r="AA54" s="8">
        <f>AVERAGE(TabellaMar2026[[#This Row],[Colonna24]:[Colonna20]])</f>
        <v>0</v>
      </c>
      <c r="AB54" s="8">
        <f>MAX(TabellaMar2026[[#This Row],[Colonna24]:[Colonna20]])</f>
        <v>0</v>
      </c>
      <c r="AC54" s="35">
        <f>MIN(TabellaMar2026[[#This Row],[Colonna24]:[Colonna20]])</f>
        <v>0</v>
      </c>
      <c r="AD54" s="44">
        <f>SUM(TabellaMar2026[[#This Row],[Colonna24]:[Colonna20]])</f>
        <v>0</v>
      </c>
      <c r="AE54" s="36">
        <f>IF(
    AND($H54 &gt; $BN$7, Tabella01MarzoInverter[[#This Row],[Active power TX2-INV-1]] &lt;= 0, Tabella01MarzoInverter[[#This Row],[TX2 - Average Power]] &lt;= 0),
    MIN(($H54 / 1000) * AE$10 * $BN$4, AE$11 * 0.876) * 0.25,
    IF(
        AND($H54 &gt; $BN$7, Tabella01MarzoInverter[[#This Row],[Active power TX2-INV-1]] &lt;= 0),
        Tabella01MarzoInverter[[#This Row],[TX2 - Average Power]] * 0.25,
        0
    )
    +
    IF(
        $N54 &lt; 0.875,
        MAX(0, MIN(($H54 / 1000) * AE$10 * $BN$4, AE$11 * 0.876) - (AE$11 * $N54)) * 0.25,
        0
    )
)</f>
        <v>0</v>
      </c>
      <c r="AF54" s="36">
        <f>IF(
    AND($H54 &gt; $BN$7, Tabella01MarzoInverter[[#This Row],[Active power TX2-INV-2]] &lt;= 0, Tabella01MarzoInverter[[#This Row],[TX2 - Max Power]] &lt;= 0),
    MIN(($H54 / 1000) * AF$10 * $BN$4, AF$11 * 0.876) * 0.25,
    IF(
        AND($H54 &gt; $BN$7, Tabella01MarzoInverter[[#This Row],[Active power TX2-INV-2]] &lt;= 0),
        Tabella01MarzoInverter[[#This Row],[TX2 - Max Power]] * 0.25,
        0
    )
    +
    IF(
        $N54 &lt; 0.875,
        MAX(0, MIN(($H54 / 1000) * AF$10 * $BN$4, AF$11 * 0.876) - (AF$11 * $N54)) * 0.25,
        0
    )
)</f>
        <v>0</v>
      </c>
      <c r="AG54" s="36">
        <f>IF(
    AND($H54 &gt; $BN$7, Tabella01MarzoInverter[[#This Row],[Active power TX2-INV-3]] &lt;= 0, Tabella01MarzoInverter[[#This Row],[TX2 - Min Power]] &lt;= 0),
    MIN(($H54 / 1000) * AG$10 * $BN$4, AG$11 * 0.876) * 0.25,
    IF(
        AND($H54 &gt; $BN$7, Tabella01MarzoInverter[[#This Row],[Active power TX2-INV-3]] &lt;= 0),
        Tabella01MarzoInverter[[#This Row],[TX2 - Min Power]] * 0.25,
        0
    )
    +
    IF(
        $N54 &lt; 0.875,
        MAX(0, MIN(($H54 / 1000) * AG$10 * $BN$4, AG$11 * 0.876) - (AG$11 * $N54)) * 0.25,
        0
    )
)</f>
        <v>0</v>
      </c>
      <c r="AH54" s="36">
        <f>IF(
    AND($H54 &gt; $BN$7, Tabella01MarzoInverter[[#This Row],[Active power TX2-INV-4]] &lt;= 0, Tabella01MarzoInverter[[#This Row],[Active power TX3-INV-1]] &lt;= 0),
    MIN(($H54 / 1000) * AH$10 * $BN$4, AH$11 * 0.876) * 0.25,
    IF(
        AND($H54 &gt; $BN$7, Tabella01MarzoInverter[[#This Row],[Active power TX2-INV-4]] &lt;= 0),
        Tabella01MarzoInverter[[#This Row],[Active power TX3-INV-1]] * 0.25,
        0
    )
    +
    IF(
        $N54 &lt; 0.875,
        MAX(0, MIN(($H54 / 1000) * AH$10 * $BN$4, AH$11 * 0.876) - (AH$11 * $N54)) * 0.25,
        0
    )
)</f>
        <v>0</v>
      </c>
      <c r="AI54" s="36">
        <f>IF(
    AND($H54 &gt; $BN$7, Tabella01MarzoInverter[[#This Row],[Active power TX2-INV-5]] &lt;= 0, Tabella01MarzoInverter[[#This Row],[Active power TX3-INV-2]] &lt;= 0),
    MIN(($H54 / 1000) * AI$10 * $BN$4, AI$11 * 0.876) * 0.25,
    IF(
        AND($H54 &gt; $BN$7, Tabella01MarzoInverter[[#This Row],[Active power TX2-INV-5]] &lt;= 0),
        Tabella01MarzoInverter[[#This Row],[Active power TX3-INV-2]] * 0.25,
        0
    )
    +
    IF(
        $N54 &lt; 0.875,
        MAX(0, MIN(($H54 / 1000) * AI$10 * $BN$4, AI$11 * 0.876) - (AI$11 * $N54)) * 0.25,
        0
    )
)</f>
        <v>0</v>
      </c>
      <c r="AJ54" s="36">
        <f>IF(
    AND($H54 &gt; $BN$7, Tabella01MarzoInverter[[#This Row],[Active power TX2-INV-6]] &lt;= 0, Tabella01MarzoInverter[[#This Row],[Active power TX3-INV-3]] &lt;= 0),
    MIN(($H54 / 1000) * AJ$10 * $BN$4, AJ$11 * 0.876) * 0.25,
    IF(
        AND($H54 &gt; $BN$7, Tabella01MarzoInverter[[#This Row],[Active power TX2-INV-6]] &lt;= 0),
        Tabella01MarzoInverter[[#This Row],[Active power TX3-INV-3]] * 0.25,
        0
    )
    +
    IF(
        $N54 &lt; 0.875,
        MAX(0, MIN(($H54 / 1000) * AJ$10 * $BN$4, AJ$11 * 0.876) - (AJ$11 * $N54)) * 0.25,
        0
    )
)</f>
        <v>0</v>
      </c>
      <c r="AK54" s="36">
        <f>IF(
    AND($H54 &gt; $BN$7, Tabella01MarzoInverter[[#This Row],[Active power TX2-INV-7]] &lt;= 0, Tabella01MarzoInverter[[#This Row],[Active power TX3-INV-4]] &lt;= 0),
    MIN(($H54 / 1000) * AK$10 * $BN$4, AK$11 * 0.876) * 0.25,
    IF(
        AND($H54 &gt; $BN$7, Tabella01MarzoInverter[[#This Row],[Active power TX2-INV-7]] &lt;= 0),
        Tabella01MarzoInverter[[#This Row],[Active power TX3-INV-4]] * 0.25,
        0
    )
    +
    IF(
        $N54 &lt; 0.875,
        MAX(0, MIN(($H54 / 1000) * AK$10 * $BN$4, AK$11 * 0.876) - (AK$11 * $N54)) * 0.25,
        0
    )
)</f>
        <v>0</v>
      </c>
      <c r="AL54" s="36">
        <f>IF(
    AND($H54 &gt; $BN$7, Tabella01MarzoInverter[[#This Row],[Active power TX2-INV-8]] &lt;= 0, Tabella01MarzoInverter[[#This Row],[Active power TX3-INV-5]] &lt;= 0),
    MIN(($H54 / 1000) * AL$10 * $BN$4, AL$11 * 0.876) * 0.25,
    IF(
        AND($H54 &gt; $BN$7, Tabella01MarzoInverter[[#This Row],[Active power TX2-INV-8]] &lt;= 0),
        Tabella01MarzoInverter[[#This Row],[Active power TX3-INV-5]] * 0.25,
        0
    )
    +
    IF(
        $N54 &lt; 0.875,
        MAX(0, MIN(($H54 / 1000) * AL$10 * $BN$4, AL$11 * 0.876) - (AL$11 * $N54)) * 0.25,
        0
    )
)</f>
        <v>0</v>
      </c>
      <c r="AM54" s="36">
        <f>IF(
    AND($H54 &gt; $BN$7, Tabella01MarzoInverter[[#This Row],[Active power TX2-INV-9]] &lt;= 0, Tabella01MarzoInverter[[#This Row],[Active power TX3-INV-6]] &lt;= 0),
    MIN(($H54 / 1000) * AM$10 * $BN$4, AM$11 * 0.876) * 0.25,
    IF(
        AND($H54 &gt; $BN$7, Tabella01MarzoInverter[[#This Row],[Active power TX2-INV-9]] &lt;= 0),
        Tabella01MarzoInverter[[#This Row],[Active power TX3-INV-6]] * 0.25,
        0
    )
    +
    IF(
        $N54 &lt; 0.875,
        MAX(0, MIN(($H54 / 1000) * AM$10 * $BN$4, AM$11 * 0.876) - (AM$11 * $N54)) * 0.25,
        0
    )
)</f>
        <v>0</v>
      </c>
      <c r="AN54" s="36">
        <f>IF(
    AND($H54 &gt; $BN$7, Tabella01MarzoInverter[[#This Row],[Active power TX2-INV-10]] &lt;= 0, Tabella01MarzoInverter[[#This Row],[Active power TX3-INV-7]] &lt;= 0),
    MIN(($H54 / 1000) * AN$10 * $BN$4, AN$11 * 0.876) * 0.25,
    IF(
        AND($H54 &gt; $BN$7, Tabella01MarzoInverter[[#This Row],[Active power TX2-INV-10]] &lt;= 0),
        Tabella01MarzoInverter[[#This Row],[Active power TX3-INV-7]] * 0.25,
        0
    )
    +
    IF(
        $N54 &lt; 0.875,
        MAX(0, MIN(($H54 / 1000) * AN$10 * $BN$4, AN$11 * 0.876) - (AN$11 * $N54)) * 0.25,
        0
    )
)</f>
        <v>0</v>
      </c>
      <c r="AO54" s="36">
        <f>IF(
    AND($H54 &gt; $BN$7, Tabella01MarzoInverter[[#This Row],[Active power TX2-INV-11]] &lt;= 0, Tabella01MarzoInverter[[#This Row],[Active power TX3-INV-8]] &lt;= 0),
    MIN(($H54 / 1000) * AO$10 * $BN$4, AO$11 * 0.876) * 0.25,
    IF(
        AND($H54 &gt; $BN$7, Tabella01MarzoInverter[[#This Row],[Active power TX2-INV-11]] &lt;= 0),
        Tabella01MarzoInverter[[#This Row],[Active power TX3-INV-8]] * 0.25,
        0
    )
    +
    IF(
        $N54 &lt; 0.875,
        MAX(0, MIN(($H54 / 1000) * AO$10 * $BN$4, AO$11 * 0.876) - (AO$11 * $N54)) * 0.25,
        0
    )
)</f>
        <v>0</v>
      </c>
      <c r="AP54" s="36">
        <f>IF(
    AND($H54 &gt; $BN$7, Tabella01MarzoInverter[[#This Row],[Active power TX2-INV-12]] &lt;= 0, Tabella01MarzoInverter[[#This Row],[Active power TX3-INV-9]] &lt;= 0),
    MIN(($H54 / 1000) * AP$10 * $BN$4, AP$11 * 0.876) * 0.25,
    IF(
        AND($H54 &gt; $BN$7, Tabella01MarzoInverter[[#This Row],[Active power TX2-INV-12]] &lt;= 0),
        Tabella01MarzoInverter[[#This Row],[Active power TX3-INV-9]] * 0.25,
        0
    )
    +
    IF(
        $N54 &lt; 0.875,
        MAX(0, MIN(($H54 / 1000) * AP$10 * $BN$4, AP$11 * 0.876) - (AP$11 * $N54)) * 0.25,
        0
    )
)</f>
        <v>0</v>
      </c>
      <c r="AQ54" s="8">
        <f>AVERAGE(TabellaMar2026[[#This Row],[Colonna39]:[Colonna6]])</f>
        <v>0</v>
      </c>
      <c r="AR54" s="8">
        <f>MAX(TabellaMar2026[[#This Row],[Colonna39]:[Colonna6]])</f>
        <v>0</v>
      </c>
      <c r="AS54" s="35">
        <f>MIN(TabellaMar2026[[#This Row],[Colonna39]:[Colonna6]])</f>
        <v>0</v>
      </c>
      <c r="AT54" s="48">
        <f>SUM(TabellaMar2026[[#This Row],[Colonna39]:[Colonna6]])</f>
        <v>0</v>
      </c>
      <c r="AU54" s="36" cm="1">
        <f t="array" ref="AU54">IF(
    AND($H54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($H54 / 1000) * AU$10 * $BN$4 * 0.25
    ),
    0
)
+
IF(
    $N54 &lt; 0.875,
    MAX(0, MIN(($H54 / 1000) * AU$10 * $BN$4, AU$11 * 0.876) - (AU$11 * $N54)) * 0.25,
    0
)</f>
        <v>0</v>
      </c>
      <c r="AV54" s="36" cm="1">
        <f t="array" ref="AV54">IF(
    AND($H54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($H54 / 1000) * AV$10 * $BN$4 * 0.25
    ),
    0
)
+
IF(
    $N54 &lt; 0.875,
    MAX(0, MIN(($H54 / 1000) * AV$10 * $BN$4, AV$11 * 0.876) - (AV$11 * $N54)) * 0.25,
    0
)</f>
        <v>0</v>
      </c>
      <c r="AW54" s="36" cm="1">
        <f t="array" ref="AW54">IF(
    AND($H54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($H54 / 1000) * AW$10 * $BN$4 * 0.25
    ),
    0
)
+
IF(
    $N54 &lt; 0.875,
    MAX(0, MIN(($H54 / 1000) * AW$10 * $BN$4, AW$11 * 0.876) - (AW$11 * $N54)) * 0.25,
    0
)</f>
        <v>0</v>
      </c>
      <c r="AX54" s="36" cm="1">
        <f t="array" ref="AX54">IF(
    AND($H54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($H54 / 1000) * AX$10 * $BN$4 * 0.25
    ),
    0
)
+
IF(
    $N54 &lt; 0.875,
    MAX(0, MIN(($H54 / 1000) * AX$10 * $BN$4, AX$11 * 0.876) - (AX$11 * $N54)) * 0.25,
    0
)</f>
        <v>0</v>
      </c>
      <c r="AY54" s="36" cm="1">
        <f t="array" ref="AY54">IF(
    AND($H54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($H54 / 1000) * AY$10 * $BN$4 * 0.25
    ),
    0
)
+
IF(
    $N54 &lt; 0.875,
    MAX(0, MIN(($H54 / 1000) * AY$10 * $BN$4, AY$11 * 0.876) - (AY$11 * $N54)) * 0.25,
    0
)</f>
        <v>0</v>
      </c>
      <c r="AZ54" s="36" cm="1">
        <f t="array" ref="AZ54">IF(
    AND($H54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($H54 / 1000) * AZ$10 * $BN$4 * 0.25
    ),
    0
)
+
IF(
    $N54 &lt; 0.875,
    MAX(0, MIN(($H54 / 1000) * AZ$10 * $BN$4, AZ$11 * 0.876) - (AZ$11 * $N54)) * 0.25,
    0
)</f>
        <v>0</v>
      </c>
      <c r="BA54" s="36" cm="1">
        <f t="array" ref="BA54">IF(
    AND($H54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($H54 / 1000) * BA$10 * $BN$4 * 0.25
    ),
    0
)
+
IF(
    $N54 &lt; 0.875,
    MAX(0, MIN(($H54 / 1000) * BA$10 * $BN$4, BA$11 * 0.876) - (BA$11 * $N54)) * 0.25,
    0
)</f>
        <v>0</v>
      </c>
      <c r="BB54" s="36" cm="1">
        <f t="array" ref="BB54">IF(
    AND($H54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($H54 / 1000) * BB$10 * $BN$4 * 0.25
    ),
    0
)
+
IF(
    $N54 &lt; 0.875,
    MAX(0, MIN(($H54 / 1000) * BB$10 * $BN$4, BB$11 * 0.876) - (BB$11 * $N54)) * 0.25,
    0
)</f>
        <v>0</v>
      </c>
      <c r="BC54" s="36" cm="1">
        <f t="array" ref="BC54">IF(
    AND($H54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($H54 / 1000) * BC$10 * $BN$4 * 0.25
    ),
    0
)
+
IF(
    $N54 &lt; 0.875,
    MAX(0, MIN(($H54 / 1000) * BC$10 * $BN$4, BC$11 * 0.876) - (BC$11 * $N54)) * 0.25,
    0
)</f>
        <v>0</v>
      </c>
      <c r="BD54" s="36" cm="1">
        <f t="array" ref="BD54">IF(
    AND($H54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($H54 / 1000) * BD$10 * $BN$4 * 0.25
    ),
    0
)
+
IF(
    $N54 &lt; 0.875,
    MAX(0, MIN(($H54 / 1000) * BD$10 * $BN$4, BD$11 * 0.876) - (BD$11 * $N54)) * 0.25,
    0
)</f>
        <v>0</v>
      </c>
      <c r="BE54" s="36" cm="1">
        <f t="array" ref="BE54">IF(
    AND($H54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($H54 / 1000) * BE$10 * $BN$4 * 0.25
    ),
    0
)
+
IF(
    $N54 &lt; 0.875,
    MAX(0, MIN(($H54 / 1000) * BE$10 * $BN$4, BE$11 * 0.876) - (BE$11 * $N54)) * 0.25,
    0
)</f>
        <v>0</v>
      </c>
      <c r="BF54" s="36" cm="1">
        <f t="array" ref="BF54">IF(
    AND($H54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($H54 / 1000) * BF$10 * $BN$4 * 0.25
    ),
    0
)
+
IF(
    $N54 &lt; 0.875,
    MAX(0, MIN(($H54 / 1000) * BF$10 * $BN$4, BF$11 * 0.876) - (BF$11 * $N54)) * 0.25,
    0
)</f>
        <v>0</v>
      </c>
      <c r="BG54" s="8">
        <f>AVERAGE(TabellaMar2026[[#This Row],[Colonna55]:[Colonna53]])</f>
        <v>0</v>
      </c>
      <c r="BH54" s="8">
        <f>MAX(TabellaMar2026[[#This Row],[Colonna55]:[Colonna53]])</f>
        <v>0</v>
      </c>
      <c r="BI54" s="35">
        <f>MIN(TabellaMar2026[[#This Row],[Colonna55]:[Colonna53]])</f>
        <v>0</v>
      </c>
      <c r="BJ54" s="48">
        <f>SUM(TabellaMar2026[[#This Row],[Colonna54]:[Colonna53]])</f>
        <v>0</v>
      </c>
      <c r="BK54" s="54">
        <f>(SUM(Tabella01MarzoInverter[[Active power TX1-INV-1]:[Active power TX3-INV-12]]) * 0.25) / (12625 * (SUM($G$15:$H$110) * 0.25 / 1000))</f>
        <v>1.014229628761051</v>
      </c>
      <c r="BL54" s="5"/>
      <c r="BM54" s="5"/>
      <c r="BN54" s="8"/>
      <c r="BO54" s="8"/>
      <c r="BP54" s="19"/>
    </row>
    <row r="55" spans="1:68" x14ac:dyDescent="0.25">
      <c r="A55" s="18">
        <v>46147</v>
      </c>
      <c r="B55" t="s">
        <v>55</v>
      </c>
      <c r="C55" s="5">
        <v>758.6</v>
      </c>
      <c r="D55" s="6">
        <v>0.18965000000000001</v>
      </c>
      <c r="E55" s="6">
        <v>724.9</v>
      </c>
      <c r="F55" s="6">
        <v>0.181225</v>
      </c>
      <c r="G55" s="6">
        <f>IFERROR((D55+F55)/2, 0)</f>
        <v>0.18543750000000001</v>
      </c>
      <c r="H55" s="7">
        <f>IFERROR(IF(AVERAGE(C55,E55)&gt;$BN$7,AVERAGE(C55,E55),0), 0)</f>
        <v>741.75</v>
      </c>
      <c r="I55" s="7">
        <f>IFERROR(IF(AND(D55=0,F55=0),0,IF(H55&gt;$BN$6,MAX(D55,F55),G55)), 0)</f>
        <v>0.18965000000000001</v>
      </c>
      <c r="J55" s="6">
        <f>IFERROR(IF(AND(D55&gt;0,F55&gt;0),ABS(D55-F55)/AVERAGE(D55,F55),0), 0)</f>
        <v>4.5433097404786064E-2</v>
      </c>
      <c r="K55" s="6">
        <v>30392.6</v>
      </c>
      <c r="L55" s="6">
        <v>30393.9</v>
      </c>
      <c r="M55" s="8">
        <f>IFERROR((L55-K55)*1000, 0)</f>
        <v>1300.0000000029104</v>
      </c>
      <c r="N55" s="6">
        <v>0.87599999999999989</v>
      </c>
      <c r="O55" s="8" cm="1">
        <f t="array" ref="O55">IF(
    AND($H55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($H55 / 1000) * O$10 * $BN$4 * 0.25
    ),
    0
)
+
IF(
    $N55 &lt; 0.875,
    MAX(0, MIN(($H55 / 1000) * O$10 * $BN$4, O$11 * 0.876) - (O$11 * $N55)) * 0.25,
    0
)</f>
        <v>0</v>
      </c>
      <c r="P55" s="8" cm="1">
        <f t="array" ref="P55">IF(
    AND($H55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($H55 / 1000) * P$10 * $BN$4 * 0.25
    ),
    0
)
+
IF(
    $N55 &lt; 0.875,
    MAX(0, MIN(($H55 / 1000) * P$10 * $BN$4, P$11 * 0.876) - (P$11 * $N55)) * 0.25,
    0
)</f>
        <v>0</v>
      </c>
      <c r="Q55" s="8" cm="1">
        <f t="array" ref="Q55">IF(
    AND($H55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($H55 / 1000) * Q$10 * $BN$4 * 0.25
    ),
    0
)
+
IF(
    $N55 &lt; 0.875,
    MAX(0, MIN(($H55 / 1000) * Q$10 * $BN$4, Q$11 * 0.876) - (Q$11 * $N55)) * 0.25,
    0
)</f>
        <v>0</v>
      </c>
      <c r="R55" s="8" cm="1">
        <f t="array" ref="R55">IF(
    AND($H55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($H55 / 1000) * R$10 * $BN$4 * 0.25
    ),
    0
)
+
IF(
    $N55 &lt; 0.875,
    MAX(0, MIN(($H55 / 1000) * R$10 * $BN$4, R$11 * 0.876) - (R$11 * $N55)) * 0.25,
    0
)</f>
        <v>0</v>
      </c>
      <c r="S55" s="8" cm="1">
        <f t="array" ref="S55">IF(
    AND($H55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($H55 / 1000) * S$10 * $BN$4 * 0.25
    ),
    0
)
+
IF(
    $N55 &lt; 0.875,
    MAX(0, MIN(($H55 / 1000) * S$10 * $BN$4, S$11 * 0.876) - (S$11 * $N55)) * 0.25,
    0
)</f>
        <v>0</v>
      </c>
      <c r="T55" s="8" cm="1">
        <f t="array" ref="T55">IF(
    AND($H55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($H55 / 1000) * T$10 * $BN$4 * 0.25
    ),
    0
)
+
IF(
    $N55 &lt; 0.875,
    MAX(0, MIN(($H55 / 1000) * T$10 * $BN$4, T$11 * 0.876) - (T$11 * $N55)) * 0.25,
    0
)</f>
        <v>0</v>
      </c>
      <c r="U55" s="8" cm="1">
        <f t="array" ref="U55">IF(
    AND($H55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($H55 / 1000) * U$10 * $BN$4 * 0.25
    ),
    0
)
+
IF(
    $N55 &lt; 0.875,
    MAX(0, MIN(($H55 / 1000) * U$10 * $BN$4, U$11 * 0.876) - (U$11 * $N55)) * 0.25,
    0
)</f>
        <v>0</v>
      </c>
      <c r="V55" s="8" cm="1">
        <f t="array" ref="V55">IF(
    AND($H55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($H55 / 1000) * V$10 * $BN$4 * 0.25
    ),
    0
)
+
IF(
    $N55 &lt; 0.875,
    MAX(0, MIN(($H55 / 1000) * V$10 * $BN$4, V$11 * 0.876) - (V$11 * $N55)) * 0.25,
    0
)</f>
        <v>0</v>
      </c>
      <c r="W55" s="8" cm="1">
        <f t="array" ref="W55">IF(
    AND($H55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($H55 / 1000) * W$10 * $BN$4 * 0.25
    ),
    0
)
+
IF(
    $N55 &lt; 0.875,
    MAX(0, MIN(($H55 / 1000) * W$10 * $BN$4, W$11 * 0.876) - (W$11 * $N55)) * 0.25,
    0
)</f>
        <v>0</v>
      </c>
      <c r="X55" s="8" cm="1">
        <f t="array" ref="X55">IF(
    AND($H55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($H55 / 1000) * X$10 * $BN$4 * 0.25
    ),
    0
)
+
IF(
    $N55 &lt; 0.875,
    MAX(0, MIN(($H55 / 1000) * X$10 * $BN$4, X$11 * 0.876) - (X$11 * $N55)) * 0.25,
    0
)</f>
        <v>0</v>
      </c>
      <c r="Y55" s="8" cm="1">
        <f t="array" ref="Y55">IF(
    AND($H55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($H55 / 1000) * Y$10 * $BN$4 * 0.25
    ),
    0
)
+
IF(
    $N55 &lt; 0.875,
    MAX(0, MIN(($H55 / 1000) * Y$10 * $BN$4, Y$11 * 0.876) - (Y$11 * $N55)) * 0.25,
    0
)</f>
        <v>0</v>
      </c>
      <c r="Z55" s="8" cm="1">
        <f t="array" ref="Z55">IF(
    AND($H55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($H55 / 1000) * Z$10 * $BN$4 * 0.25
    ),
    0
)
+
IF(
    $N55 &lt; 0.875,
    MAX(0, MIN(($H55 / 1000) * Z$10 * $BN$4, Z$11 * 0.876) - (Z$11 * $N55)) * 0.25,
    0
)</f>
        <v>0</v>
      </c>
      <c r="AA55" s="8">
        <f>AVERAGE(TabellaMar2026[[#This Row],[Colonna24]:[Colonna20]])</f>
        <v>0</v>
      </c>
      <c r="AB55" s="8">
        <f>MAX(TabellaMar2026[[#This Row],[Colonna24]:[Colonna20]])</f>
        <v>0</v>
      </c>
      <c r="AC55" s="35">
        <f>MIN(TabellaMar2026[[#This Row],[Colonna24]:[Colonna20]])</f>
        <v>0</v>
      </c>
      <c r="AD55" s="44">
        <f>SUM(TabellaMar2026[[#This Row],[Colonna24]:[Colonna20]])</f>
        <v>0</v>
      </c>
      <c r="AE55" s="36">
        <f>IF(
    AND($H55 &gt; $BN$7, Tabella01MarzoInverter[[#This Row],[Active power TX2-INV-1]] &lt;= 0, Tabella01MarzoInverter[[#This Row],[TX2 - Average Power]] &lt;= 0),
    MIN(($H55 / 1000) * AE$10 * $BN$4, AE$11 * 0.876) * 0.25,
    IF(
        AND($H55 &gt; $BN$7, Tabella01MarzoInverter[[#This Row],[Active power TX2-INV-1]] &lt;= 0),
        Tabella01MarzoInverter[[#This Row],[TX2 - Average Power]] * 0.25,
        0
    )
    +
    IF(
        $N55 &lt; 0.875,
        MAX(0, MIN(($H55 / 1000) * AE$10 * $BN$4, AE$11 * 0.876) - (AE$11 * $N55)) * 0.25,
        0
    )
)</f>
        <v>0</v>
      </c>
      <c r="AF55" s="36">
        <f>IF(
    AND($H55 &gt; $BN$7, Tabella01MarzoInverter[[#This Row],[Active power TX2-INV-2]] &lt;= 0, Tabella01MarzoInverter[[#This Row],[TX2 - Max Power]] &lt;= 0),
    MIN(($H55 / 1000) * AF$10 * $BN$4, AF$11 * 0.876) * 0.25,
    IF(
        AND($H55 &gt; $BN$7, Tabella01MarzoInverter[[#This Row],[Active power TX2-INV-2]] &lt;= 0),
        Tabella01MarzoInverter[[#This Row],[TX2 - Max Power]] * 0.25,
        0
    )
    +
    IF(
        $N55 &lt; 0.875,
        MAX(0, MIN(($H55 / 1000) * AF$10 * $BN$4, AF$11 * 0.876) - (AF$11 * $N55)) * 0.25,
        0
    )
)</f>
        <v>0</v>
      </c>
      <c r="AG55" s="36">
        <f>IF(
    AND($H55 &gt; $BN$7, Tabella01MarzoInverter[[#This Row],[Active power TX2-INV-3]] &lt;= 0, Tabella01MarzoInverter[[#This Row],[TX2 - Min Power]] &lt;= 0),
    MIN(($H55 / 1000) * AG$10 * $BN$4, AG$11 * 0.876) * 0.25,
    IF(
        AND($H55 &gt; $BN$7, Tabella01MarzoInverter[[#This Row],[Active power TX2-INV-3]] &lt;= 0),
        Tabella01MarzoInverter[[#This Row],[TX2 - Min Power]] * 0.25,
        0
    )
    +
    IF(
        $N55 &lt; 0.875,
        MAX(0, MIN(($H55 / 1000) * AG$10 * $BN$4, AG$11 * 0.876) - (AG$11 * $N55)) * 0.25,
        0
    )
)</f>
        <v>0</v>
      </c>
      <c r="AH55" s="36">
        <f>IF(
    AND($H55 &gt; $BN$7, Tabella01MarzoInverter[[#This Row],[Active power TX2-INV-4]] &lt;= 0, Tabella01MarzoInverter[[#This Row],[Active power TX3-INV-1]] &lt;= 0),
    MIN(($H55 / 1000) * AH$10 * $BN$4, AH$11 * 0.876) * 0.25,
    IF(
        AND($H55 &gt; $BN$7, Tabella01MarzoInverter[[#This Row],[Active power TX2-INV-4]] &lt;= 0),
        Tabella01MarzoInverter[[#This Row],[Active power TX3-INV-1]] * 0.25,
        0
    )
    +
    IF(
        $N55 &lt; 0.875,
        MAX(0, MIN(($H55 / 1000) * AH$10 * $BN$4, AH$11 * 0.876) - (AH$11 * $N55)) * 0.25,
        0
    )
)</f>
        <v>0</v>
      </c>
      <c r="AI55" s="36">
        <f>IF(
    AND($H55 &gt; $BN$7, Tabella01MarzoInverter[[#This Row],[Active power TX2-INV-5]] &lt;= 0, Tabella01MarzoInverter[[#This Row],[Active power TX3-INV-2]] &lt;= 0),
    MIN(($H55 / 1000) * AI$10 * $BN$4, AI$11 * 0.876) * 0.25,
    IF(
        AND($H55 &gt; $BN$7, Tabella01MarzoInverter[[#This Row],[Active power TX2-INV-5]] &lt;= 0),
        Tabella01MarzoInverter[[#This Row],[Active power TX3-INV-2]] * 0.25,
        0
    )
    +
    IF(
        $N55 &lt; 0.875,
        MAX(0, MIN(($H55 / 1000) * AI$10 * $BN$4, AI$11 * 0.876) - (AI$11 * $N55)) * 0.25,
        0
    )
)</f>
        <v>0</v>
      </c>
      <c r="AJ55" s="36">
        <f>IF(
    AND($H55 &gt; $BN$7, Tabella01MarzoInverter[[#This Row],[Active power TX2-INV-6]] &lt;= 0, Tabella01MarzoInverter[[#This Row],[Active power TX3-INV-3]] &lt;= 0),
    MIN(($H55 / 1000) * AJ$10 * $BN$4, AJ$11 * 0.876) * 0.25,
    IF(
        AND($H55 &gt; $BN$7, Tabella01MarzoInverter[[#This Row],[Active power TX2-INV-6]] &lt;= 0),
        Tabella01MarzoInverter[[#This Row],[Active power TX3-INV-3]] * 0.25,
        0
    )
    +
    IF(
        $N55 &lt; 0.875,
        MAX(0, MIN(($H55 / 1000) * AJ$10 * $BN$4, AJ$11 * 0.876) - (AJ$11 * $N55)) * 0.25,
        0
    )
)</f>
        <v>0</v>
      </c>
      <c r="AK55" s="36">
        <f>IF(
    AND($H55 &gt; $BN$7, Tabella01MarzoInverter[[#This Row],[Active power TX2-INV-7]] &lt;= 0, Tabella01MarzoInverter[[#This Row],[Active power TX3-INV-4]] &lt;= 0),
    MIN(($H55 / 1000) * AK$10 * $BN$4, AK$11 * 0.876) * 0.25,
    IF(
        AND($H55 &gt; $BN$7, Tabella01MarzoInverter[[#This Row],[Active power TX2-INV-7]] &lt;= 0),
        Tabella01MarzoInverter[[#This Row],[Active power TX3-INV-4]] * 0.25,
        0
    )
    +
    IF(
        $N55 &lt; 0.875,
        MAX(0, MIN(($H55 / 1000) * AK$10 * $BN$4, AK$11 * 0.876) - (AK$11 * $N55)) * 0.25,
        0
    )
)</f>
        <v>0</v>
      </c>
      <c r="AL55" s="36">
        <f>IF(
    AND($H55 &gt; $BN$7, Tabella01MarzoInverter[[#This Row],[Active power TX2-INV-8]] &lt;= 0, Tabella01MarzoInverter[[#This Row],[Active power TX3-INV-5]] &lt;= 0),
    MIN(($H55 / 1000) * AL$10 * $BN$4, AL$11 * 0.876) * 0.25,
    IF(
        AND($H55 &gt; $BN$7, Tabella01MarzoInverter[[#This Row],[Active power TX2-INV-8]] &lt;= 0),
        Tabella01MarzoInverter[[#This Row],[Active power TX3-INV-5]] * 0.25,
        0
    )
    +
    IF(
        $N55 &lt; 0.875,
        MAX(0, MIN(($H55 / 1000) * AL$10 * $BN$4, AL$11 * 0.876) - (AL$11 * $N55)) * 0.25,
        0
    )
)</f>
        <v>0</v>
      </c>
      <c r="AM55" s="36">
        <f>IF(
    AND($H55 &gt; $BN$7, Tabella01MarzoInverter[[#This Row],[Active power TX2-INV-9]] &lt;= 0, Tabella01MarzoInverter[[#This Row],[Active power TX3-INV-6]] &lt;= 0),
    MIN(($H55 / 1000) * AM$10 * $BN$4, AM$11 * 0.876) * 0.25,
    IF(
        AND($H55 &gt; $BN$7, Tabella01MarzoInverter[[#This Row],[Active power TX2-INV-9]] &lt;= 0),
        Tabella01MarzoInverter[[#This Row],[Active power TX3-INV-6]] * 0.25,
        0
    )
    +
    IF(
        $N55 &lt; 0.875,
        MAX(0, MIN(($H55 / 1000) * AM$10 * $BN$4, AM$11 * 0.876) - (AM$11 * $N55)) * 0.25,
        0
    )
)</f>
        <v>0</v>
      </c>
      <c r="AN55" s="36">
        <f>IF(
    AND($H55 &gt; $BN$7, Tabella01MarzoInverter[[#This Row],[Active power TX2-INV-10]] &lt;= 0, Tabella01MarzoInverter[[#This Row],[Active power TX3-INV-7]] &lt;= 0),
    MIN(($H55 / 1000) * AN$10 * $BN$4, AN$11 * 0.876) * 0.25,
    IF(
        AND($H55 &gt; $BN$7, Tabella01MarzoInverter[[#This Row],[Active power TX2-INV-10]] &lt;= 0),
        Tabella01MarzoInverter[[#This Row],[Active power TX3-INV-7]] * 0.25,
        0
    )
    +
    IF(
        $N55 &lt; 0.875,
        MAX(0, MIN(($H55 / 1000) * AN$10 * $BN$4, AN$11 * 0.876) - (AN$11 * $N55)) * 0.25,
        0
    )
)</f>
        <v>0</v>
      </c>
      <c r="AO55" s="36">
        <f>IF(
    AND($H55 &gt; $BN$7, Tabella01MarzoInverter[[#This Row],[Active power TX2-INV-11]] &lt;= 0, Tabella01MarzoInverter[[#This Row],[Active power TX3-INV-8]] &lt;= 0),
    MIN(($H55 / 1000) * AO$10 * $BN$4, AO$11 * 0.876) * 0.25,
    IF(
        AND($H55 &gt; $BN$7, Tabella01MarzoInverter[[#This Row],[Active power TX2-INV-11]] &lt;= 0),
        Tabella01MarzoInverter[[#This Row],[Active power TX3-INV-8]] * 0.25,
        0
    )
    +
    IF(
        $N55 &lt; 0.875,
        MAX(0, MIN(($H55 / 1000) * AO$10 * $BN$4, AO$11 * 0.876) - (AO$11 * $N55)) * 0.25,
        0
    )
)</f>
        <v>0</v>
      </c>
      <c r="AP55" s="36">
        <f>IF(
    AND($H55 &gt; $BN$7, Tabella01MarzoInverter[[#This Row],[Active power TX2-INV-12]] &lt;= 0, Tabella01MarzoInverter[[#This Row],[Active power TX3-INV-9]] &lt;= 0),
    MIN(($H55 / 1000) * AP$10 * $BN$4, AP$11 * 0.876) * 0.25,
    IF(
        AND($H55 &gt; $BN$7, Tabella01MarzoInverter[[#This Row],[Active power TX2-INV-12]] &lt;= 0),
        Tabella01MarzoInverter[[#This Row],[Active power TX3-INV-9]] * 0.25,
        0
    )
    +
    IF(
        $N55 &lt; 0.875,
        MAX(0, MIN(($H55 / 1000) * AP$10 * $BN$4, AP$11 * 0.876) - (AP$11 * $N55)) * 0.25,
        0
    )
)</f>
        <v>0</v>
      </c>
      <c r="AQ55" s="8">
        <f>AVERAGE(TabellaMar2026[[#This Row],[Colonna39]:[Colonna6]])</f>
        <v>0</v>
      </c>
      <c r="AR55" s="8">
        <f>MAX(TabellaMar2026[[#This Row],[Colonna39]:[Colonna6]])</f>
        <v>0</v>
      </c>
      <c r="AS55" s="35">
        <f>MIN(TabellaMar2026[[#This Row],[Colonna39]:[Colonna6]])</f>
        <v>0</v>
      </c>
      <c r="AT55" s="48">
        <f>SUM(TabellaMar2026[[#This Row],[Colonna39]:[Colonna6]])</f>
        <v>0</v>
      </c>
      <c r="AU55" s="36" cm="1">
        <f t="array" ref="AU55">IF(
    AND($H55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($H55 / 1000) * AU$10 * $BN$4 * 0.25
    ),
    0
)
+
IF(
    $N55 &lt; 0.875,
    MAX(0, MIN(($H55 / 1000) * AU$10 * $BN$4, AU$11 * 0.876) - (AU$11 * $N55)) * 0.25,
    0
)</f>
        <v>0</v>
      </c>
      <c r="AV55" s="36" cm="1">
        <f t="array" ref="AV55">IF(
    AND($H55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($H55 / 1000) * AV$10 * $BN$4 * 0.25
    ),
    0
)
+
IF(
    $N55 &lt; 0.875,
    MAX(0, MIN(($H55 / 1000) * AV$10 * $BN$4, AV$11 * 0.876) - (AV$11 * $N55)) * 0.25,
    0
)</f>
        <v>0</v>
      </c>
      <c r="AW55" s="36" cm="1">
        <f t="array" ref="AW55">IF(
    AND($H55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($H55 / 1000) * AW$10 * $BN$4 * 0.25
    ),
    0
)
+
IF(
    $N55 &lt; 0.875,
    MAX(0, MIN(($H55 / 1000) * AW$10 * $BN$4, AW$11 * 0.876) - (AW$11 * $N55)) * 0.25,
    0
)</f>
        <v>0</v>
      </c>
      <c r="AX55" s="36" cm="1">
        <f t="array" ref="AX55">IF(
    AND($H55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($H55 / 1000) * AX$10 * $BN$4 * 0.25
    ),
    0
)
+
IF(
    $N55 &lt; 0.875,
    MAX(0, MIN(($H55 / 1000) * AX$10 * $BN$4, AX$11 * 0.876) - (AX$11 * $N55)) * 0.25,
    0
)</f>
        <v>0</v>
      </c>
      <c r="AY55" s="36" cm="1">
        <f t="array" ref="AY55">IF(
    AND($H55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($H55 / 1000) * AY$10 * $BN$4 * 0.25
    ),
    0
)
+
IF(
    $N55 &lt; 0.875,
    MAX(0, MIN(($H55 / 1000) * AY$10 * $BN$4, AY$11 * 0.876) - (AY$11 * $N55)) * 0.25,
    0
)</f>
        <v>0</v>
      </c>
      <c r="AZ55" s="36" cm="1">
        <f t="array" ref="AZ55">IF(
    AND($H55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($H55 / 1000) * AZ$10 * $BN$4 * 0.25
    ),
    0
)
+
IF(
    $N55 &lt; 0.875,
    MAX(0, MIN(($H55 / 1000) * AZ$10 * $BN$4, AZ$11 * 0.876) - (AZ$11 * $N55)) * 0.25,
    0
)</f>
        <v>0</v>
      </c>
      <c r="BA55" s="36" cm="1">
        <f t="array" ref="BA55">IF(
    AND($H55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($H55 / 1000) * BA$10 * $BN$4 * 0.25
    ),
    0
)
+
IF(
    $N55 &lt; 0.875,
    MAX(0, MIN(($H55 / 1000) * BA$10 * $BN$4, BA$11 * 0.876) - (BA$11 * $N55)) * 0.25,
    0
)</f>
        <v>0</v>
      </c>
      <c r="BB55" s="36" cm="1">
        <f t="array" ref="BB55">IF(
    AND($H55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($H55 / 1000) * BB$10 * $BN$4 * 0.25
    ),
    0
)
+
IF(
    $N55 &lt; 0.875,
    MAX(0, MIN(($H55 / 1000) * BB$10 * $BN$4, BB$11 * 0.876) - (BB$11 * $N55)) * 0.25,
    0
)</f>
        <v>0</v>
      </c>
      <c r="BC55" s="36" cm="1">
        <f t="array" ref="BC55">IF(
    AND($H55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($H55 / 1000) * BC$10 * $BN$4 * 0.25
    ),
    0
)
+
IF(
    $N55 &lt; 0.875,
    MAX(0, MIN(($H55 / 1000) * BC$10 * $BN$4, BC$11 * 0.876) - (BC$11 * $N55)) * 0.25,
    0
)</f>
        <v>0</v>
      </c>
      <c r="BD55" s="36" cm="1">
        <f t="array" ref="BD55">IF(
    AND($H55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($H55 / 1000) * BD$10 * $BN$4 * 0.25
    ),
    0
)
+
IF(
    $N55 &lt; 0.875,
    MAX(0, MIN(($H55 / 1000) * BD$10 * $BN$4, BD$11 * 0.876) - (BD$11 * $N55)) * 0.25,
    0
)</f>
        <v>0</v>
      </c>
      <c r="BE55" s="36" cm="1">
        <f t="array" ref="BE55">IF(
    AND($H55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($H55 / 1000) * BE$10 * $BN$4 * 0.25
    ),
    0
)
+
IF(
    $N55 &lt; 0.875,
    MAX(0, MIN(($H55 / 1000) * BE$10 * $BN$4, BE$11 * 0.876) - (BE$11 * $N55)) * 0.25,
    0
)</f>
        <v>0</v>
      </c>
      <c r="BF55" s="36" cm="1">
        <f t="array" ref="BF55">IF(
    AND($H55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($H55 / 1000) * BF$10 * $BN$4 * 0.25
    ),
    0
)
+
IF(
    $N55 &lt; 0.875,
    MAX(0, MIN(($H55 / 1000) * BF$10 * $BN$4, BF$11 * 0.876) - (BF$11 * $N55)) * 0.25,
    0
)</f>
        <v>0</v>
      </c>
      <c r="BG55" s="8">
        <f>AVERAGE(TabellaMar2026[[#This Row],[Colonna55]:[Colonna53]])</f>
        <v>0</v>
      </c>
      <c r="BH55" s="8">
        <f>MAX(TabellaMar2026[[#This Row],[Colonna55]:[Colonna53]])</f>
        <v>0</v>
      </c>
      <c r="BI55" s="35">
        <f>MIN(TabellaMar2026[[#This Row],[Colonna55]:[Colonna53]])</f>
        <v>0</v>
      </c>
      <c r="BJ55" s="48">
        <f>SUM(TabellaMar2026[[#This Row],[Colonna54]:[Colonna53]])</f>
        <v>0</v>
      </c>
      <c r="BK55" s="54">
        <f>(SUM(Tabella01MarzoInverter[[Active power TX1-INV-1]:[Active power TX3-INV-12]]) * 0.25) / (12625 * (SUM($G$15:$H$110) * 0.25 / 1000))</f>
        <v>1.014229628761051</v>
      </c>
      <c r="BL55" s="5"/>
      <c r="BM55" s="5"/>
      <c r="BN55" s="8"/>
      <c r="BO55" s="8"/>
      <c r="BP55" s="19"/>
    </row>
    <row r="56" spans="1:68" x14ac:dyDescent="0.25">
      <c r="A56" s="18">
        <v>46147</v>
      </c>
      <c r="B56" t="s">
        <v>56</v>
      </c>
      <c r="C56" s="5">
        <v>941.5</v>
      </c>
      <c r="D56" s="6">
        <v>0.235375</v>
      </c>
      <c r="E56" s="6">
        <v>958.7</v>
      </c>
      <c r="F56" s="6">
        <v>0.239675</v>
      </c>
      <c r="G56" s="6">
        <f>IFERROR((D56+F56)/2, 0)</f>
        <v>0.23752499999999999</v>
      </c>
      <c r="H56" s="7">
        <f>IFERROR(IF(AVERAGE(C56,E56)&gt;$BN$7,AVERAGE(C56,E56),0), 0)</f>
        <v>950.1</v>
      </c>
      <c r="I56" s="7">
        <f>IFERROR(IF(AND(D56=0,F56=0),0,IF(H56&gt;$BN$6,MAX(D56,F56),G56)), 0)</f>
        <v>0.239675</v>
      </c>
      <c r="J56" s="6">
        <f>IFERROR(IF(AND(D56&gt;0,F56&gt;0),ABS(D56-F56)/AVERAGE(D56,F56),0), 0)</f>
        <v>1.8103357541311434E-2</v>
      </c>
      <c r="K56" s="6">
        <v>30393.9</v>
      </c>
      <c r="L56" s="6">
        <v>30396.2</v>
      </c>
      <c r="M56" s="8">
        <f>IFERROR((L56-K56)*1000, 0)</f>
        <v>2299.9999999992724</v>
      </c>
      <c r="N56" s="6">
        <v>0.87599999999999989</v>
      </c>
      <c r="O56" s="8" cm="1">
        <f t="array" ref="O56">IF(
    AND($H56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($H56 / 1000) * O$10 * $BN$4 * 0.25
    ),
    0
)
+
IF(
    $N56 &lt; 0.875,
    MAX(0, MIN(($H56 / 1000) * O$10 * $BN$4, O$11 * 0.876) - (O$11 * $N56)) * 0.25,
    0
)</f>
        <v>0</v>
      </c>
      <c r="P56" s="8" cm="1">
        <f t="array" ref="P56">IF(
    AND($H56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($H56 / 1000) * P$10 * $BN$4 * 0.25
    ),
    0
)
+
IF(
    $N56 &lt; 0.875,
    MAX(0, MIN(($H56 / 1000) * P$10 * $BN$4, P$11 * 0.876) - (P$11 * $N56)) * 0.25,
    0
)</f>
        <v>0</v>
      </c>
      <c r="Q56" s="8" cm="1">
        <f t="array" ref="Q56">IF(
    AND($H56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($H56 / 1000) * Q$10 * $BN$4 * 0.25
    ),
    0
)
+
IF(
    $N56 &lt; 0.875,
    MAX(0, MIN(($H56 / 1000) * Q$10 * $BN$4, Q$11 * 0.876) - (Q$11 * $N56)) * 0.25,
    0
)</f>
        <v>0</v>
      </c>
      <c r="R56" s="8" cm="1">
        <f t="array" ref="R56">IF(
    AND($H56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($H56 / 1000) * R$10 * $BN$4 * 0.25
    ),
    0
)
+
IF(
    $N56 &lt; 0.875,
    MAX(0, MIN(($H56 / 1000) * R$10 * $BN$4, R$11 * 0.876) - (R$11 * $N56)) * 0.25,
    0
)</f>
        <v>0</v>
      </c>
      <c r="S56" s="8" cm="1">
        <f t="array" ref="S56">IF(
    AND($H56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($H56 / 1000) * S$10 * $BN$4 * 0.25
    ),
    0
)
+
IF(
    $N56 &lt; 0.875,
    MAX(0, MIN(($H56 / 1000) * S$10 * $BN$4, S$11 * 0.876) - (S$11 * $N56)) * 0.25,
    0
)</f>
        <v>0</v>
      </c>
      <c r="T56" s="8" cm="1">
        <f t="array" ref="T56">IF(
    AND($H56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($H56 / 1000) * T$10 * $BN$4 * 0.25
    ),
    0
)
+
IF(
    $N56 &lt; 0.875,
    MAX(0, MIN(($H56 / 1000) * T$10 * $BN$4, T$11 * 0.876) - (T$11 * $N56)) * 0.25,
    0
)</f>
        <v>0</v>
      </c>
      <c r="U56" s="8" cm="1">
        <f t="array" ref="U56">IF(
    AND($H56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($H56 / 1000) * U$10 * $BN$4 * 0.25
    ),
    0
)
+
IF(
    $N56 &lt; 0.875,
    MAX(0, MIN(($H56 / 1000) * U$10 * $BN$4, U$11 * 0.876) - (U$11 * $N56)) * 0.25,
    0
)</f>
        <v>0</v>
      </c>
      <c r="V56" s="8" cm="1">
        <f t="array" ref="V56">IF(
    AND($H56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($H56 / 1000) * V$10 * $BN$4 * 0.25
    ),
    0
)
+
IF(
    $N56 &lt; 0.875,
    MAX(0, MIN(($H56 / 1000) * V$10 * $BN$4, V$11 * 0.876) - (V$11 * $N56)) * 0.25,
    0
)</f>
        <v>0</v>
      </c>
      <c r="W56" s="8" cm="1">
        <f t="array" ref="W56">IF(
    AND($H56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($H56 / 1000) * W$10 * $BN$4 * 0.25
    ),
    0
)
+
IF(
    $N56 &lt; 0.875,
    MAX(0, MIN(($H56 / 1000) * W$10 * $BN$4, W$11 * 0.876) - (W$11 * $N56)) * 0.25,
    0
)</f>
        <v>0</v>
      </c>
      <c r="X56" s="8" cm="1">
        <f t="array" ref="X56">IF(
    AND($H56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($H56 / 1000) * X$10 * $BN$4 * 0.25
    ),
    0
)
+
IF(
    $N56 &lt; 0.875,
    MAX(0, MIN(($H56 / 1000) * X$10 * $BN$4, X$11 * 0.876) - (X$11 * $N56)) * 0.25,
    0
)</f>
        <v>0</v>
      </c>
      <c r="Y56" s="8" cm="1">
        <f t="array" ref="Y56">IF(
    AND($H56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($H56 / 1000) * Y$10 * $BN$4 * 0.25
    ),
    0
)
+
IF(
    $N56 &lt; 0.875,
    MAX(0, MIN(($H56 / 1000) * Y$10 * $BN$4, Y$11 * 0.876) - (Y$11 * $N56)) * 0.25,
    0
)</f>
        <v>0</v>
      </c>
      <c r="Z56" s="8" cm="1">
        <f t="array" ref="Z56">IF(
    AND($H56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($H56 / 1000) * Z$10 * $BN$4 * 0.25
    ),
    0
)
+
IF(
    $N56 &lt; 0.875,
    MAX(0, MIN(($H56 / 1000) * Z$10 * $BN$4, Z$11 * 0.876) - (Z$11 * $N56)) * 0.25,
    0
)</f>
        <v>0</v>
      </c>
      <c r="AA56" s="8">
        <f>AVERAGE(TabellaMar2026[[#This Row],[Colonna24]:[Colonna20]])</f>
        <v>0</v>
      </c>
      <c r="AB56" s="8">
        <f>MAX(TabellaMar2026[[#This Row],[Colonna24]:[Colonna20]])</f>
        <v>0</v>
      </c>
      <c r="AC56" s="35">
        <f>MIN(TabellaMar2026[[#This Row],[Colonna24]:[Colonna20]])</f>
        <v>0</v>
      </c>
      <c r="AD56" s="44">
        <f>SUM(TabellaMar2026[[#This Row],[Colonna24]:[Colonna20]])</f>
        <v>0</v>
      </c>
      <c r="AE56" s="36">
        <f>IF(
    AND($H56 &gt; $BN$7, Tabella01MarzoInverter[[#This Row],[Active power TX2-INV-1]] &lt;= 0, Tabella01MarzoInverter[[#This Row],[TX2 - Average Power]] &lt;= 0),
    MIN(($H56 / 1000) * AE$10 * $BN$4, AE$11 * 0.876) * 0.25,
    IF(
        AND($H56 &gt; $BN$7, Tabella01MarzoInverter[[#This Row],[Active power TX2-INV-1]] &lt;= 0),
        Tabella01MarzoInverter[[#This Row],[TX2 - Average Power]] * 0.25,
        0
    )
    +
    IF(
        $N56 &lt; 0.875,
        MAX(0, MIN(($H56 / 1000) * AE$10 * $BN$4, AE$11 * 0.876) - (AE$11 * $N56)) * 0.25,
        0
    )
)</f>
        <v>0</v>
      </c>
      <c r="AF56" s="36">
        <f>IF(
    AND($H56 &gt; $BN$7, Tabella01MarzoInverter[[#This Row],[Active power TX2-INV-2]] &lt;= 0, Tabella01MarzoInverter[[#This Row],[TX2 - Max Power]] &lt;= 0),
    MIN(($H56 / 1000) * AF$10 * $BN$4, AF$11 * 0.876) * 0.25,
    IF(
        AND($H56 &gt; $BN$7, Tabella01MarzoInverter[[#This Row],[Active power TX2-INV-2]] &lt;= 0),
        Tabella01MarzoInverter[[#This Row],[TX2 - Max Power]] * 0.25,
        0
    )
    +
    IF(
        $N56 &lt; 0.875,
        MAX(0, MIN(($H56 / 1000) * AF$10 * $BN$4, AF$11 * 0.876) - (AF$11 * $N56)) * 0.25,
        0
    )
)</f>
        <v>0</v>
      </c>
      <c r="AG56" s="36">
        <f>IF(
    AND($H56 &gt; $BN$7, Tabella01MarzoInverter[[#This Row],[Active power TX2-INV-3]] &lt;= 0, Tabella01MarzoInverter[[#This Row],[TX2 - Min Power]] &lt;= 0),
    MIN(($H56 / 1000) * AG$10 * $BN$4, AG$11 * 0.876) * 0.25,
    IF(
        AND($H56 &gt; $BN$7, Tabella01MarzoInverter[[#This Row],[Active power TX2-INV-3]] &lt;= 0),
        Tabella01MarzoInverter[[#This Row],[TX2 - Min Power]] * 0.25,
        0
    )
    +
    IF(
        $N56 &lt; 0.875,
        MAX(0, MIN(($H56 / 1000) * AG$10 * $BN$4, AG$11 * 0.876) - (AG$11 * $N56)) * 0.25,
        0
    )
)</f>
        <v>0</v>
      </c>
      <c r="AH56" s="36">
        <f>IF(
    AND($H56 &gt; $BN$7, Tabella01MarzoInverter[[#This Row],[Active power TX2-INV-4]] &lt;= 0, Tabella01MarzoInverter[[#This Row],[Active power TX3-INV-1]] &lt;= 0),
    MIN(($H56 / 1000) * AH$10 * $BN$4, AH$11 * 0.876) * 0.25,
    IF(
        AND($H56 &gt; $BN$7, Tabella01MarzoInverter[[#This Row],[Active power TX2-INV-4]] &lt;= 0),
        Tabella01MarzoInverter[[#This Row],[Active power TX3-INV-1]] * 0.25,
        0
    )
    +
    IF(
        $N56 &lt; 0.875,
        MAX(0, MIN(($H56 / 1000) * AH$10 * $BN$4, AH$11 * 0.876) - (AH$11 * $N56)) * 0.25,
        0
    )
)</f>
        <v>0</v>
      </c>
      <c r="AI56" s="36">
        <f>IF(
    AND($H56 &gt; $BN$7, Tabella01MarzoInverter[[#This Row],[Active power TX2-INV-5]] &lt;= 0, Tabella01MarzoInverter[[#This Row],[Active power TX3-INV-2]] &lt;= 0),
    MIN(($H56 / 1000) * AI$10 * $BN$4, AI$11 * 0.876) * 0.25,
    IF(
        AND($H56 &gt; $BN$7, Tabella01MarzoInverter[[#This Row],[Active power TX2-INV-5]] &lt;= 0),
        Tabella01MarzoInverter[[#This Row],[Active power TX3-INV-2]] * 0.25,
        0
    )
    +
    IF(
        $N56 &lt; 0.875,
        MAX(0, MIN(($H56 / 1000) * AI$10 * $BN$4, AI$11 * 0.876) - (AI$11 * $N56)) * 0.25,
        0
    )
)</f>
        <v>0</v>
      </c>
      <c r="AJ56" s="36">
        <f>IF(
    AND($H56 &gt; $BN$7, Tabella01MarzoInverter[[#This Row],[Active power TX2-INV-6]] &lt;= 0, Tabella01MarzoInverter[[#This Row],[Active power TX3-INV-3]] &lt;= 0),
    MIN(($H56 / 1000) * AJ$10 * $BN$4, AJ$11 * 0.876) * 0.25,
    IF(
        AND($H56 &gt; $BN$7, Tabella01MarzoInverter[[#This Row],[Active power TX2-INV-6]] &lt;= 0),
        Tabella01MarzoInverter[[#This Row],[Active power TX3-INV-3]] * 0.25,
        0
    )
    +
    IF(
        $N56 &lt; 0.875,
        MAX(0, MIN(($H56 / 1000) * AJ$10 * $BN$4, AJ$11 * 0.876) - (AJ$11 * $N56)) * 0.25,
        0
    )
)</f>
        <v>0</v>
      </c>
      <c r="AK56" s="36">
        <f>IF(
    AND($H56 &gt; $BN$7, Tabella01MarzoInverter[[#This Row],[Active power TX2-INV-7]] &lt;= 0, Tabella01MarzoInverter[[#This Row],[Active power TX3-INV-4]] &lt;= 0),
    MIN(($H56 / 1000) * AK$10 * $BN$4, AK$11 * 0.876) * 0.25,
    IF(
        AND($H56 &gt; $BN$7, Tabella01MarzoInverter[[#This Row],[Active power TX2-INV-7]] &lt;= 0),
        Tabella01MarzoInverter[[#This Row],[Active power TX3-INV-4]] * 0.25,
        0
    )
    +
    IF(
        $N56 &lt; 0.875,
        MAX(0, MIN(($H56 / 1000) * AK$10 * $BN$4, AK$11 * 0.876) - (AK$11 * $N56)) * 0.25,
        0
    )
)</f>
        <v>0</v>
      </c>
      <c r="AL56" s="36">
        <f>IF(
    AND($H56 &gt; $BN$7, Tabella01MarzoInverter[[#This Row],[Active power TX2-INV-8]] &lt;= 0, Tabella01MarzoInverter[[#This Row],[Active power TX3-INV-5]] &lt;= 0),
    MIN(($H56 / 1000) * AL$10 * $BN$4, AL$11 * 0.876) * 0.25,
    IF(
        AND($H56 &gt; $BN$7, Tabella01MarzoInverter[[#This Row],[Active power TX2-INV-8]] &lt;= 0),
        Tabella01MarzoInverter[[#This Row],[Active power TX3-INV-5]] * 0.25,
        0
    )
    +
    IF(
        $N56 &lt; 0.875,
        MAX(0, MIN(($H56 / 1000) * AL$10 * $BN$4, AL$11 * 0.876) - (AL$11 * $N56)) * 0.25,
        0
    )
)</f>
        <v>0</v>
      </c>
      <c r="AM56" s="36">
        <f>IF(
    AND($H56 &gt; $BN$7, Tabella01MarzoInverter[[#This Row],[Active power TX2-INV-9]] &lt;= 0, Tabella01MarzoInverter[[#This Row],[Active power TX3-INV-6]] &lt;= 0),
    MIN(($H56 / 1000) * AM$10 * $BN$4, AM$11 * 0.876) * 0.25,
    IF(
        AND($H56 &gt; $BN$7, Tabella01MarzoInverter[[#This Row],[Active power TX2-INV-9]] &lt;= 0),
        Tabella01MarzoInverter[[#This Row],[Active power TX3-INV-6]] * 0.25,
        0
    )
    +
    IF(
        $N56 &lt; 0.875,
        MAX(0, MIN(($H56 / 1000) * AM$10 * $BN$4, AM$11 * 0.876) - (AM$11 * $N56)) * 0.25,
        0
    )
)</f>
        <v>0</v>
      </c>
      <c r="AN56" s="36">
        <f>IF(
    AND($H56 &gt; $BN$7, Tabella01MarzoInverter[[#This Row],[Active power TX2-INV-10]] &lt;= 0, Tabella01MarzoInverter[[#This Row],[Active power TX3-INV-7]] &lt;= 0),
    MIN(($H56 / 1000) * AN$10 * $BN$4, AN$11 * 0.876) * 0.25,
    IF(
        AND($H56 &gt; $BN$7, Tabella01MarzoInverter[[#This Row],[Active power TX2-INV-10]] &lt;= 0),
        Tabella01MarzoInverter[[#This Row],[Active power TX3-INV-7]] * 0.25,
        0
    )
    +
    IF(
        $N56 &lt; 0.875,
        MAX(0, MIN(($H56 / 1000) * AN$10 * $BN$4, AN$11 * 0.876) - (AN$11 * $N56)) * 0.25,
        0
    )
)</f>
        <v>0</v>
      </c>
      <c r="AO56" s="36">
        <f>IF(
    AND($H56 &gt; $BN$7, Tabella01MarzoInverter[[#This Row],[Active power TX2-INV-11]] &lt;= 0, Tabella01MarzoInverter[[#This Row],[Active power TX3-INV-8]] &lt;= 0),
    MIN(($H56 / 1000) * AO$10 * $BN$4, AO$11 * 0.876) * 0.25,
    IF(
        AND($H56 &gt; $BN$7, Tabella01MarzoInverter[[#This Row],[Active power TX2-INV-11]] &lt;= 0),
        Tabella01MarzoInverter[[#This Row],[Active power TX3-INV-8]] * 0.25,
        0
    )
    +
    IF(
        $N56 &lt; 0.875,
        MAX(0, MIN(($H56 / 1000) * AO$10 * $BN$4, AO$11 * 0.876) - (AO$11 * $N56)) * 0.25,
        0
    )
)</f>
        <v>0</v>
      </c>
      <c r="AP56" s="36">
        <f>IF(
    AND($H56 &gt; $BN$7, Tabella01MarzoInverter[[#This Row],[Active power TX2-INV-12]] &lt;= 0, Tabella01MarzoInverter[[#This Row],[Active power TX3-INV-9]] &lt;= 0),
    MIN(($H56 / 1000) * AP$10 * $BN$4, AP$11 * 0.876) * 0.25,
    IF(
        AND($H56 &gt; $BN$7, Tabella01MarzoInverter[[#This Row],[Active power TX2-INV-12]] &lt;= 0),
        Tabella01MarzoInverter[[#This Row],[Active power TX3-INV-9]] * 0.25,
        0
    )
    +
    IF(
        $N56 &lt; 0.875,
        MAX(0, MIN(($H56 / 1000) * AP$10 * $BN$4, AP$11 * 0.876) - (AP$11 * $N56)) * 0.25,
        0
    )
)</f>
        <v>0</v>
      </c>
      <c r="AQ56" s="8">
        <f>AVERAGE(TabellaMar2026[[#This Row],[Colonna39]:[Colonna6]])</f>
        <v>0</v>
      </c>
      <c r="AR56" s="8">
        <f>MAX(TabellaMar2026[[#This Row],[Colonna39]:[Colonna6]])</f>
        <v>0</v>
      </c>
      <c r="AS56" s="35">
        <f>MIN(TabellaMar2026[[#This Row],[Colonna39]:[Colonna6]])</f>
        <v>0</v>
      </c>
      <c r="AT56" s="48">
        <f>SUM(TabellaMar2026[[#This Row],[Colonna39]:[Colonna6]])</f>
        <v>0</v>
      </c>
      <c r="AU56" s="36" cm="1">
        <f t="array" ref="AU56">IF(
    AND($H56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($H56 / 1000) * AU$10 * $BN$4 * 0.25
    ),
    0
)
+
IF(
    $N56 &lt; 0.875,
    MAX(0, MIN(($H56 / 1000) * AU$10 * $BN$4, AU$11 * 0.876) - (AU$11 * $N56)) * 0.25,
    0
)</f>
        <v>0</v>
      </c>
      <c r="AV56" s="36" cm="1">
        <f t="array" ref="AV56">IF(
    AND($H56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($H56 / 1000) * AV$10 * $BN$4 * 0.25
    ),
    0
)
+
IF(
    $N56 &lt; 0.875,
    MAX(0, MIN(($H56 / 1000) * AV$10 * $BN$4, AV$11 * 0.876) - (AV$11 * $N56)) * 0.25,
    0
)</f>
        <v>0</v>
      </c>
      <c r="AW56" s="36" cm="1">
        <f t="array" ref="AW56">IF(
    AND($H56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($H56 / 1000) * AW$10 * $BN$4 * 0.25
    ),
    0
)
+
IF(
    $N56 &lt; 0.875,
    MAX(0, MIN(($H56 / 1000) * AW$10 * $BN$4, AW$11 * 0.876) - (AW$11 * $N56)) * 0.25,
    0
)</f>
        <v>0</v>
      </c>
      <c r="AX56" s="36" cm="1">
        <f t="array" ref="AX56">IF(
    AND($H56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($H56 / 1000) * AX$10 * $BN$4 * 0.25
    ),
    0
)
+
IF(
    $N56 &lt; 0.875,
    MAX(0, MIN(($H56 / 1000) * AX$10 * $BN$4, AX$11 * 0.876) - (AX$11 * $N56)) * 0.25,
    0
)</f>
        <v>0</v>
      </c>
      <c r="AY56" s="36" cm="1">
        <f t="array" ref="AY56">IF(
    AND($H56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($H56 / 1000) * AY$10 * $BN$4 * 0.25
    ),
    0
)
+
IF(
    $N56 &lt; 0.875,
    MAX(0, MIN(($H56 / 1000) * AY$10 * $BN$4, AY$11 * 0.876) - (AY$11 * $N56)) * 0.25,
    0
)</f>
        <v>0</v>
      </c>
      <c r="AZ56" s="36" cm="1">
        <f t="array" ref="AZ56">IF(
    AND($H56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($H56 / 1000) * AZ$10 * $BN$4 * 0.25
    ),
    0
)
+
IF(
    $N56 &lt; 0.875,
    MAX(0, MIN(($H56 / 1000) * AZ$10 * $BN$4, AZ$11 * 0.876) - (AZ$11 * $N56)) * 0.25,
    0
)</f>
        <v>0</v>
      </c>
      <c r="BA56" s="36" cm="1">
        <f t="array" ref="BA56">IF(
    AND($H56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($H56 / 1000) * BA$10 * $BN$4 * 0.25
    ),
    0
)
+
IF(
    $N56 &lt; 0.875,
    MAX(0, MIN(($H56 / 1000) * BA$10 * $BN$4, BA$11 * 0.876) - (BA$11 * $N56)) * 0.25,
    0
)</f>
        <v>0</v>
      </c>
      <c r="BB56" s="36" cm="1">
        <f t="array" ref="BB56">IF(
    AND($H56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($H56 / 1000) * BB$10 * $BN$4 * 0.25
    ),
    0
)
+
IF(
    $N56 &lt; 0.875,
    MAX(0, MIN(($H56 / 1000) * BB$10 * $BN$4, BB$11 * 0.876) - (BB$11 * $N56)) * 0.25,
    0
)</f>
        <v>0</v>
      </c>
      <c r="BC56" s="36" cm="1">
        <f t="array" ref="BC56">IF(
    AND($H56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($H56 / 1000) * BC$10 * $BN$4 * 0.25
    ),
    0
)
+
IF(
    $N56 &lt; 0.875,
    MAX(0, MIN(($H56 / 1000) * BC$10 * $BN$4, BC$11 * 0.876) - (BC$11 * $N56)) * 0.25,
    0
)</f>
        <v>0</v>
      </c>
      <c r="BD56" s="36" cm="1">
        <f t="array" ref="BD56">IF(
    AND($H56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($H56 / 1000) * BD$10 * $BN$4 * 0.25
    ),
    0
)
+
IF(
    $N56 &lt; 0.875,
    MAX(0, MIN(($H56 / 1000) * BD$10 * $BN$4, BD$11 * 0.876) - (BD$11 * $N56)) * 0.25,
    0
)</f>
        <v>0</v>
      </c>
      <c r="BE56" s="36" cm="1">
        <f t="array" ref="BE56">IF(
    AND($H56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($H56 / 1000) * BE$10 * $BN$4 * 0.25
    ),
    0
)
+
IF(
    $N56 &lt; 0.875,
    MAX(0, MIN(($H56 / 1000) * BE$10 * $BN$4, BE$11 * 0.876) - (BE$11 * $N56)) * 0.25,
    0
)</f>
        <v>0</v>
      </c>
      <c r="BF56" s="36" cm="1">
        <f t="array" ref="BF56">IF(
    AND($H56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($H56 / 1000) * BF$10 * $BN$4 * 0.25
    ),
    0
)
+
IF(
    $N56 &lt; 0.875,
    MAX(0, MIN(($H56 / 1000) * BF$10 * $BN$4, BF$11 * 0.876) - (BF$11 * $N56)) * 0.25,
    0
)</f>
        <v>0</v>
      </c>
      <c r="BG56" s="8">
        <f>AVERAGE(TabellaMar2026[[#This Row],[Colonna55]:[Colonna53]])</f>
        <v>0</v>
      </c>
      <c r="BH56" s="8">
        <f>MAX(TabellaMar2026[[#This Row],[Colonna55]:[Colonna53]])</f>
        <v>0</v>
      </c>
      <c r="BI56" s="35">
        <f>MIN(TabellaMar2026[[#This Row],[Colonna55]:[Colonna53]])</f>
        <v>0</v>
      </c>
      <c r="BJ56" s="48">
        <f>SUM(TabellaMar2026[[#This Row],[Colonna54]:[Colonna53]])</f>
        <v>0</v>
      </c>
      <c r="BK56" s="54">
        <f>(SUM(Tabella01MarzoInverter[[Active power TX1-INV-1]:[Active power TX3-INV-12]]) * 0.25) / (12625 * (SUM($G$15:$H$110) * 0.25 / 1000))</f>
        <v>1.014229628761051</v>
      </c>
      <c r="BL56" s="5"/>
      <c r="BM56" s="5"/>
      <c r="BN56" s="8"/>
      <c r="BO56" s="8"/>
      <c r="BP56" s="19"/>
    </row>
    <row r="57" spans="1:68" x14ac:dyDescent="0.25">
      <c r="A57" s="18">
        <v>46147</v>
      </c>
      <c r="B57" t="s">
        <v>57</v>
      </c>
      <c r="C57" s="5">
        <v>924.7</v>
      </c>
      <c r="D57" s="6">
        <v>0.23117500000000002</v>
      </c>
      <c r="E57" s="6">
        <v>912.1</v>
      </c>
      <c r="F57" s="6">
        <v>0.22802500000000001</v>
      </c>
      <c r="G57" s="6">
        <f>IFERROR((D57+F57)/2, 0)</f>
        <v>0.22960000000000003</v>
      </c>
      <c r="H57" s="7">
        <f>IFERROR(IF(AVERAGE(C57,E57)&gt;$BN$7,AVERAGE(C57,E57),0), 0)</f>
        <v>918.40000000000009</v>
      </c>
      <c r="I57" s="7">
        <f>IFERROR(IF(AND(D57=0,F57=0),0,IF(H57&gt;$BN$6,MAX(D57,F57),G57)), 0)</f>
        <v>0.23117500000000002</v>
      </c>
      <c r="J57" s="6">
        <f>IFERROR(IF(AND(D57&gt;0,F57&gt;0),ABS(D57-F57)/AVERAGE(D57,F57),0), 0)</f>
        <v>1.371951219512201E-2</v>
      </c>
      <c r="K57" s="6">
        <v>30396.2</v>
      </c>
      <c r="L57" s="6">
        <v>30398.6</v>
      </c>
      <c r="M57" s="8">
        <f>IFERROR((L57-K57)*1000, 0)</f>
        <v>2399.9999999978172</v>
      </c>
      <c r="N57" s="6">
        <v>0.87599999999999989</v>
      </c>
      <c r="O57" s="8" cm="1">
        <f t="array" ref="O57">IF(
    AND($H57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($H57 / 1000) * O$10 * $BN$4 * 0.25
    ),
    0
)
+
IF(
    $N57 &lt; 0.875,
    MAX(0, MIN(($H57 / 1000) * O$10 * $BN$4, O$11 * 0.876) - (O$11 * $N57)) * 0.25,
    0
)</f>
        <v>0</v>
      </c>
      <c r="P57" s="8" cm="1">
        <f t="array" ref="P57">IF(
    AND($H57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($H57 / 1000) * P$10 * $BN$4 * 0.25
    ),
    0
)
+
IF(
    $N57 &lt; 0.875,
    MAX(0, MIN(($H57 / 1000) * P$10 * $BN$4, P$11 * 0.876) - (P$11 * $N57)) * 0.25,
    0
)</f>
        <v>0</v>
      </c>
      <c r="Q57" s="8" cm="1">
        <f t="array" ref="Q57">IF(
    AND($H57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($H57 / 1000) * Q$10 * $BN$4 * 0.25
    ),
    0
)
+
IF(
    $N57 &lt; 0.875,
    MAX(0, MIN(($H57 / 1000) * Q$10 * $BN$4, Q$11 * 0.876) - (Q$11 * $N57)) * 0.25,
    0
)</f>
        <v>0</v>
      </c>
      <c r="R57" s="8" cm="1">
        <f t="array" ref="R57">IF(
    AND($H57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($H57 / 1000) * R$10 * $BN$4 * 0.25
    ),
    0
)
+
IF(
    $N57 &lt; 0.875,
    MAX(0, MIN(($H57 / 1000) * R$10 * $BN$4, R$11 * 0.876) - (R$11 * $N57)) * 0.25,
    0
)</f>
        <v>0</v>
      </c>
      <c r="S57" s="8" cm="1">
        <f t="array" ref="S57">IF(
    AND($H57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($H57 / 1000) * S$10 * $BN$4 * 0.25
    ),
    0
)
+
IF(
    $N57 &lt; 0.875,
    MAX(0, MIN(($H57 / 1000) * S$10 * $BN$4, S$11 * 0.876) - (S$11 * $N57)) * 0.25,
    0
)</f>
        <v>0</v>
      </c>
      <c r="T57" s="8" cm="1">
        <f t="array" ref="T57">IF(
    AND($H57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($H57 / 1000) * T$10 * $BN$4 * 0.25
    ),
    0
)
+
IF(
    $N57 &lt; 0.875,
    MAX(0, MIN(($H57 / 1000) * T$10 * $BN$4, T$11 * 0.876) - (T$11 * $N57)) * 0.25,
    0
)</f>
        <v>0</v>
      </c>
      <c r="U57" s="8" cm="1">
        <f t="array" ref="U57">IF(
    AND($H57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($H57 / 1000) * U$10 * $BN$4 * 0.25
    ),
    0
)
+
IF(
    $N57 &lt; 0.875,
    MAX(0, MIN(($H57 / 1000) * U$10 * $BN$4, U$11 * 0.876) - (U$11 * $N57)) * 0.25,
    0
)</f>
        <v>0</v>
      </c>
      <c r="V57" s="8" cm="1">
        <f t="array" ref="V57">IF(
    AND($H57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($H57 / 1000) * V$10 * $BN$4 * 0.25
    ),
    0
)
+
IF(
    $N57 &lt; 0.875,
    MAX(0, MIN(($H57 / 1000) * V$10 * $BN$4, V$11 * 0.876) - (V$11 * $N57)) * 0.25,
    0
)</f>
        <v>0</v>
      </c>
      <c r="W57" s="8" cm="1">
        <f t="array" ref="W57">IF(
    AND($H57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($H57 / 1000) * W$10 * $BN$4 * 0.25
    ),
    0
)
+
IF(
    $N57 &lt; 0.875,
    MAX(0, MIN(($H57 / 1000) * W$10 * $BN$4, W$11 * 0.876) - (W$11 * $N57)) * 0.25,
    0
)</f>
        <v>0</v>
      </c>
      <c r="X57" s="8" cm="1">
        <f t="array" ref="X57">IF(
    AND($H57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($H57 / 1000) * X$10 * $BN$4 * 0.25
    ),
    0
)
+
IF(
    $N57 &lt; 0.875,
    MAX(0, MIN(($H57 / 1000) * X$10 * $BN$4, X$11 * 0.876) - (X$11 * $N57)) * 0.25,
    0
)</f>
        <v>0</v>
      </c>
      <c r="Y57" s="8" cm="1">
        <f t="array" ref="Y57">IF(
    AND($H57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($H57 / 1000) * Y$10 * $BN$4 * 0.25
    ),
    0
)
+
IF(
    $N57 &lt; 0.875,
    MAX(0, MIN(($H57 / 1000) * Y$10 * $BN$4, Y$11 * 0.876) - (Y$11 * $N57)) * 0.25,
    0
)</f>
        <v>0</v>
      </c>
      <c r="Z57" s="8" cm="1">
        <f t="array" ref="Z57">IF(
    AND($H57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($H57 / 1000) * Z$10 * $BN$4 * 0.25
    ),
    0
)
+
IF(
    $N57 &lt; 0.875,
    MAX(0, MIN(($H57 / 1000) * Z$10 * $BN$4, Z$11 * 0.876) - (Z$11 * $N57)) * 0.25,
    0
)</f>
        <v>0</v>
      </c>
      <c r="AA57" s="8">
        <f>AVERAGE(TabellaMar2026[[#This Row],[Colonna24]:[Colonna20]])</f>
        <v>0</v>
      </c>
      <c r="AB57" s="8">
        <f>MAX(TabellaMar2026[[#This Row],[Colonna24]:[Colonna20]])</f>
        <v>0</v>
      </c>
      <c r="AC57" s="35">
        <f>MIN(TabellaMar2026[[#This Row],[Colonna24]:[Colonna20]])</f>
        <v>0</v>
      </c>
      <c r="AD57" s="44">
        <f>SUM(TabellaMar2026[[#This Row],[Colonna24]:[Colonna20]])</f>
        <v>0</v>
      </c>
      <c r="AE57" s="36">
        <f>IF(
    AND($H57 &gt; $BN$7, Tabella01MarzoInverter[[#This Row],[Active power TX2-INV-1]] &lt;= 0, Tabella01MarzoInverter[[#This Row],[TX2 - Average Power]] &lt;= 0),
    MIN(($H57 / 1000) * AE$10 * $BN$4, AE$11 * 0.876) * 0.25,
    IF(
        AND($H57 &gt; $BN$7, Tabella01MarzoInverter[[#This Row],[Active power TX2-INV-1]] &lt;= 0),
        Tabella01MarzoInverter[[#This Row],[TX2 - Average Power]] * 0.25,
        0
    )
    +
    IF(
        $N57 &lt; 0.875,
        MAX(0, MIN(($H57 / 1000) * AE$10 * $BN$4, AE$11 * 0.876) - (AE$11 * $N57)) * 0.25,
        0
    )
)</f>
        <v>0</v>
      </c>
      <c r="AF57" s="36">
        <f>IF(
    AND($H57 &gt; $BN$7, Tabella01MarzoInverter[[#This Row],[Active power TX2-INV-2]] &lt;= 0, Tabella01MarzoInverter[[#This Row],[TX2 - Max Power]] &lt;= 0),
    MIN(($H57 / 1000) * AF$10 * $BN$4, AF$11 * 0.876) * 0.25,
    IF(
        AND($H57 &gt; $BN$7, Tabella01MarzoInverter[[#This Row],[Active power TX2-INV-2]] &lt;= 0),
        Tabella01MarzoInverter[[#This Row],[TX2 - Max Power]] * 0.25,
        0
    )
    +
    IF(
        $N57 &lt; 0.875,
        MAX(0, MIN(($H57 / 1000) * AF$10 * $BN$4, AF$11 * 0.876) - (AF$11 * $N57)) * 0.25,
        0
    )
)</f>
        <v>0</v>
      </c>
      <c r="AG57" s="36">
        <f>IF(
    AND($H57 &gt; $BN$7, Tabella01MarzoInverter[[#This Row],[Active power TX2-INV-3]] &lt;= 0, Tabella01MarzoInverter[[#This Row],[TX2 - Min Power]] &lt;= 0),
    MIN(($H57 / 1000) * AG$10 * $BN$4, AG$11 * 0.876) * 0.25,
    IF(
        AND($H57 &gt; $BN$7, Tabella01MarzoInverter[[#This Row],[Active power TX2-INV-3]] &lt;= 0),
        Tabella01MarzoInverter[[#This Row],[TX2 - Min Power]] * 0.25,
        0
    )
    +
    IF(
        $N57 &lt; 0.875,
        MAX(0, MIN(($H57 / 1000) * AG$10 * $BN$4, AG$11 * 0.876) - (AG$11 * $N57)) * 0.25,
        0
    )
)</f>
        <v>0</v>
      </c>
      <c r="AH57" s="36">
        <f>IF(
    AND($H57 &gt; $BN$7, Tabella01MarzoInverter[[#This Row],[Active power TX2-INV-4]] &lt;= 0, Tabella01MarzoInverter[[#This Row],[Active power TX3-INV-1]] &lt;= 0),
    MIN(($H57 / 1000) * AH$10 * $BN$4, AH$11 * 0.876) * 0.25,
    IF(
        AND($H57 &gt; $BN$7, Tabella01MarzoInverter[[#This Row],[Active power TX2-INV-4]] &lt;= 0),
        Tabella01MarzoInverter[[#This Row],[Active power TX3-INV-1]] * 0.25,
        0
    )
    +
    IF(
        $N57 &lt; 0.875,
        MAX(0, MIN(($H57 / 1000) * AH$10 * $BN$4, AH$11 * 0.876) - (AH$11 * $N57)) * 0.25,
        0
    )
)</f>
        <v>0</v>
      </c>
      <c r="AI57" s="36">
        <f>IF(
    AND($H57 &gt; $BN$7, Tabella01MarzoInverter[[#This Row],[Active power TX2-INV-5]] &lt;= 0, Tabella01MarzoInverter[[#This Row],[Active power TX3-INV-2]] &lt;= 0),
    MIN(($H57 / 1000) * AI$10 * $BN$4, AI$11 * 0.876) * 0.25,
    IF(
        AND($H57 &gt; $BN$7, Tabella01MarzoInverter[[#This Row],[Active power TX2-INV-5]] &lt;= 0),
        Tabella01MarzoInverter[[#This Row],[Active power TX3-INV-2]] * 0.25,
        0
    )
    +
    IF(
        $N57 &lt; 0.875,
        MAX(0, MIN(($H57 / 1000) * AI$10 * $BN$4, AI$11 * 0.876) - (AI$11 * $N57)) * 0.25,
        0
    )
)</f>
        <v>0</v>
      </c>
      <c r="AJ57" s="36">
        <f>IF(
    AND($H57 &gt; $BN$7, Tabella01MarzoInverter[[#This Row],[Active power TX2-INV-6]] &lt;= 0, Tabella01MarzoInverter[[#This Row],[Active power TX3-INV-3]] &lt;= 0),
    MIN(($H57 / 1000) * AJ$10 * $BN$4, AJ$11 * 0.876) * 0.25,
    IF(
        AND($H57 &gt; $BN$7, Tabella01MarzoInverter[[#This Row],[Active power TX2-INV-6]] &lt;= 0),
        Tabella01MarzoInverter[[#This Row],[Active power TX3-INV-3]] * 0.25,
        0
    )
    +
    IF(
        $N57 &lt; 0.875,
        MAX(0, MIN(($H57 / 1000) * AJ$10 * $BN$4, AJ$11 * 0.876) - (AJ$11 * $N57)) * 0.25,
        0
    )
)</f>
        <v>0</v>
      </c>
      <c r="AK57" s="36">
        <f>IF(
    AND($H57 &gt; $BN$7, Tabella01MarzoInverter[[#This Row],[Active power TX2-INV-7]] &lt;= 0, Tabella01MarzoInverter[[#This Row],[Active power TX3-INV-4]] &lt;= 0),
    MIN(($H57 / 1000) * AK$10 * $BN$4, AK$11 * 0.876) * 0.25,
    IF(
        AND($H57 &gt; $BN$7, Tabella01MarzoInverter[[#This Row],[Active power TX2-INV-7]] &lt;= 0),
        Tabella01MarzoInverter[[#This Row],[Active power TX3-INV-4]] * 0.25,
        0
    )
    +
    IF(
        $N57 &lt; 0.875,
        MAX(0, MIN(($H57 / 1000) * AK$10 * $BN$4, AK$11 * 0.876) - (AK$11 * $N57)) * 0.25,
        0
    )
)</f>
        <v>0</v>
      </c>
      <c r="AL57" s="36">
        <f>IF(
    AND($H57 &gt; $BN$7, Tabella01MarzoInverter[[#This Row],[Active power TX2-INV-8]] &lt;= 0, Tabella01MarzoInverter[[#This Row],[Active power TX3-INV-5]] &lt;= 0),
    MIN(($H57 / 1000) * AL$10 * $BN$4, AL$11 * 0.876) * 0.25,
    IF(
        AND($H57 &gt; $BN$7, Tabella01MarzoInverter[[#This Row],[Active power TX2-INV-8]] &lt;= 0),
        Tabella01MarzoInverter[[#This Row],[Active power TX3-INV-5]] * 0.25,
        0
    )
    +
    IF(
        $N57 &lt; 0.875,
        MAX(0, MIN(($H57 / 1000) * AL$10 * $BN$4, AL$11 * 0.876) - (AL$11 * $N57)) * 0.25,
        0
    )
)</f>
        <v>0</v>
      </c>
      <c r="AM57" s="36">
        <f>IF(
    AND($H57 &gt; $BN$7, Tabella01MarzoInverter[[#This Row],[Active power TX2-INV-9]] &lt;= 0, Tabella01MarzoInverter[[#This Row],[Active power TX3-INV-6]] &lt;= 0),
    MIN(($H57 / 1000) * AM$10 * $BN$4, AM$11 * 0.876) * 0.25,
    IF(
        AND($H57 &gt; $BN$7, Tabella01MarzoInverter[[#This Row],[Active power TX2-INV-9]] &lt;= 0),
        Tabella01MarzoInverter[[#This Row],[Active power TX3-INV-6]] * 0.25,
        0
    )
    +
    IF(
        $N57 &lt; 0.875,
        MAX(0, MIN(($H57 / 1000) * AM$10 * $BN$4, AM$11 * 0.876) - (AM$11 * $N57)) * 0.25,
        0
    )
)</f>
        <v>0</v>
      </c>
      <c r="AN57" s="36">
        <f>IF(
    AND($H57 &gt; $BN$7, Tabella01MarzoInverter[[#This Row],[Active power TX2-INV-10]] &lt;= 0, Tabella01MarzoInverter[[#This Row],[Active power TX3-INV-7]] &lt;= 0),
    MIN(($H57 / 1000) * AN$10 * $BN$4, AN$11 * 0.876) * 0.25,
    IF(
        AND($H57 &gt; $BN$7, Tabella01MarzoInverter[[#This Row],[Active power TX2-INV-10]] &lt;= 0),
        Tabella01MarzoInverter[[#This Row],[Active power TX3-INV-7]] * 0.25,
        0
    )
    +
    IF(
        $N57 &lt; 0.875,
        MAX(0, MIN(($H57 / 1000) * AN$10 * $BN$4, AN$11 * 0.876) - (AN$11 * $N57)) * 0.25,
        0
    )
)</f>
        <v>0</v>
      </c>
      <c r="AO57" s="36">
        <f>IF(
    AND($H57 &gt; $BN$7, Tabella01MarzoInverter[[#This Row],[Active power TX2-INV-11]] &lt;= 0, Tabella01MarzoInverter[[#This Row],[Active power TX3-INV-8]] &lt;= 0),
    MIN(($H57 / 1000) * AO$10 * $BN$4, AO$11 * 0.876) * 0.25,
    IF(
        AND($H57 &gt; $BN$7, Tabella01MarzoInverter[[#This Row],[Active power TX2-INV-11]] &lt;= 0),
        Tabella01MarzoInverter[[#This Row],[Active power TX3-INV-8]] * 0.25,
        0
    )
    +
    IF(
        $N57 &lt; 0.875,
        MAX(0, MIN(($H57 / 1000) * AO$10 * $BN$4, AO$11 * 0.876) - (AO$11 * $N57)) * 0.25,
        0
    )
)</f>
        <v>0</v>
      </c>
      <c r="AP57" s="36">
        <f>IF(
    AND($H57 &gt; $BN$7, Tabella01MarzoInverter[[#This Row],[Active power TX2-INV-12]] &lt;= 0, Tabella01MarzoInverter[[#This Row],[Active power TX3-INV-9]] &lt;= 0),
    MIN(($H57 / 1000) * AP$10 * $BN$4, AP$11 * 0.876) * 0.25,
    IF(
        AND($H57 &gt; $BN$7, Tabella01MarzoInverter[[#This Row],[Active power TX2-INV-12]] &lt;= 0),
        Tabella01MarzoInverter[[#This Row],[Active power TX3-INV-9]] * 0.25,
        0
    )
    +
    IF(
        $N57 &lt; 0.875,
        MAX(0, MIN(($H57 / 1000) * AP$10 * $BN$4, AP$11 * 0.876) - (AP$11 * $N57)) * 0.25,
        0
    )
)</f>
        <v>0</v>
      </c>
      <c r="AQ57" s="8">
        <f>AVERAGE(TabellaMar2026[[#This Row],[Colonna39]:[Colonna6]])</f>
        <v>0</v>
      </c>
      <c r="AR57" s="8">
        <f>MAX(TabellaMar2026[[#This Row],[Colonna39]:[Colonna6]])</f>
        <v>0</v>
      </c>
      <c r="AS57" s="35">
        <f>MIN(TabellaMar2026[[#This Row],[Colonna39]:[Colonna6]])</f>
        <v>0</v>
      </c>
      <c r="AT57" s="48">
        <f>SUM(TabellaMar2026[[#This Row],[Colonna39]:[Colonna6]])</f>
        <v>0</v>
      </c>
      <c r="AU57" s="36" cm="1">
        <f t="array" ref="AU57">IF(
    AND($H57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($H57 / 1000) * AU$10 * $BN$4 * 0.25
    ),
    0
)
+
IF(
    $N57 &lt; 0.875,
    MAX(0, MIN(($H57 / 1000) * AU$10 * $BN$4, AU$11 * 0.876) - (AU$11 * $N57)) * 0.25,
    0
)</f>
        <v>0</v>
      </c>
      <c r="AV57" s="36" cm="1">
        <f t="array" ref="AV57">IF(
    AND($H57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($H57 / 1000) * AV$10 * $BN$4 * 0.25
    ),
    0
)
+
IF(
    $N57 &lt; 0.875,
    MAX(0, MIN(($H57 / 1000) * AV$10 * $BN$4, AV$11 * 0.876) - (AV$11 * $N57)) * 0.25,
    0
)</f>
        <v>0</v>
      </c>
      <c r="AW57" s="36" cm="1">
        <f t="array" ref="AW57">IF(
    AND($H57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($H57 / 1000) * AW$10 * $BN$4 * 0.25
    ),
    0
)
+
IF(
    $N57 &lt; 0.875,
    MAX(0, MIN(($H57 / 1000) * AW$10 * $BN$4, AW$11 * 0.876) - (AW$11 * $N57)) * 0.25,
    0
)</f>
        <v>0</v>
      </c>
      <c r="AX57" s="36" cm="1">
        <f t="array" ref="AX57">IF(
    AND($H57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($H57 / 1000) * AX$10 * $BN$4 * 0.25
    ),
    0
)
+
IF(
    $N57 &lt; 0.875,
    MAX(0, MIN(($H57 / 1000) * AX$10 * $BN$4, AX$11 * 0.876) - (AX$11 * $N57)) * 0.25,
    0
)</f>
        <v>0</v>
      </c>
      <c r="AY57" s="36" cm="1">
        <f t="array" ref="AY57">IF(
    AND($H57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($H57 / 1000) * AY$10 * $BN$4 * 0.25
    ),
    0
)
+
IF(
    $N57 &lt; 0.875,
    MAX(0, MIN(($H57 / 1000) * AY$10 * $BN$4, AY$11 * 0.876) - (AY$11 * $N57)) * 0.25,
    0
)</f>
        <v>0</v>
      </c>
      <c r="AZ57" s="36" cm="1">
        <f t="array" ref="AZ57">IF(
    AND($H57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($H57 / 1000) * AZ$10 * $BN$4 * 0.25
    ),
    0
)
+
IF(
    $N57 &lt; 0.875,
    MAX(0, MIN(($H57 / 1000) * AZ$10 * $BN$4, AZ$11 * 0.876) - (AZ$11 * $N57)) * 0.25,
    0
)</f>
        <v>0</v>
      </c>
      <c r="BA57" s="36" cm="1">
        <f t="array" ref="BA57">IF(
    AND($H57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($H57 / 1000) * BA$10 * $BN$4 * 0.25
    ),
    0
)
+
IF(
    $N57 &lt; 0.875,
    MAX(0, MIN(($H57 / 1000) * BA$10 * $BN$4, BA$11 * 0.876) - (BA$11 * $N57)) * 0.25,
    0
)</f>
        <v>0</v>
      </c>
      <c r="BB57" s="36" cm="1">
        <f t="array" ref="BB57">IF(
    AND($H57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($H57 / 1000) * BB$10 * $BN$4 * 0.25
    ),
    0
)
+
IF(
    $N57 &lt; 0.875,
    MAX(0, MIN(($H57 / 1000) * BB$10 * $BN$4, BB$11 * 0.876) - (BB$11 * $N57)) * 0.25,
    0
)</f>
        <v>0</v>
      </c>
      <c r="BC57" s="36" cm="1">
        <f t="array" ref="BC57">IF(
    AND($H57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($H57 / 1000) * BC$10 * $BN$4 * 0.25
    ),
    0
)
+
IF(
    $N57 &lt; 0.875,
    MAX(0, MIN(($H57 / 1000) * BC$10 * $BN$4, BC$11 * 0.876) - (BC$11 * $N57)) * 0.25,
    0
)</f>
        <v>0</v>
      </c>
      <c r="BD57" s="36" cm="1">
        <f t="array" ref="BD57">IF(
    AND($H57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($H57 / 1000) * BD$10 * $BN$4 * 0.25
    ),
    0
)
+
IF(
    $N57 &lt; 0.875,
    MAX(0, MIN(($H57 / 1000) * BD$10 * $BN$4, BD$11 * 0.876) - (BD$11 * $N57)) * 0.25,
    0
)</f>
        <v>0</v>
      </c>
      <c r="BE57" s="36" cm="1">
        <f t="array" ref="BE57">IF(
    AND($H57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($H57 / 1000) * BE$10 * $BN$4 * 0.25
    ),
    0
)
+
IF(
    $N57 &lt; 0.875,
    MAX(0, MIN(($H57 / 1000) * BE$10 * $BN$4, BE$11 * 0.876) - (BE$11 * $N57)) * 0.25,
    0
)</f>
        <v>0</v>
      </c>
      <c r="BF57" s="36" cm="1">
        <f t="array" ref="BF57">IF(
    AND($H57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($H57 / 1000) * BF$10 * $BN$4 * 0.25
    ),
    0
)
+
IF(
    $N57 &lt; 0.875,
    MAX(0, MIN(($H57 / 1000) * BF$10 * $BN$4, BF$11 * 0.876) - (BF$11 * $N57)) * 0.25,
    0
)</f>
        <v>0</v>
      </c>
      <c r="BG57" s="8">
        <f>AVERAGE(TabellaMar2026[[#This Row],[Colonna55]:[Colonna53]])</f>
        <v>0</v>
      </c>
      <c r="BH57" s="8">
        <f>MAX(TabellaMar2026[[#This Row],[Colonna55]:[Colonna53]])</f>
        <v>0</v>
      </c>
      <c r="BI57" s="35">
        <f>MIN(TabellaMar2026[[#This Row],[Colonna55]:[Colonna53]])</f>
        <v>0</v>
      </c>
      <c r="BJ57" s="48">
        <f>SUM(TabellaMar2026[[#This Row],[Colonna54]:[Colonna53]])</f>
        <v>0</v>
      </c>
      <c r="BK57" s="54">
        <f>(SUM(Tabella01MarzoInverter[[Active power TX1-INV-1]:[Active power TX3-INV-12]]) * 0.25) / (12625 * (SUM($G$15:$H$110) * 0.25 / 1000))</f>
        <v>1.014229628761051</v>
      </c>
      <c r="BL57" s="5"/>
      <c r="BM57" s="5"/>
      <c r="BN57" s="8"/>
      <c r="BO57" s="8"/>
      <c r="BP57" s="19"/>
    </row>
    <row r="58" spans="1:68" x14ac:dyDescent="0.25">
      <c r="A58" s="18">
        <v>46147</v>
      </c>
      <c r="B58" t="s">
        <v>58</v>
      </c>
      <c r="C58" s="5">
        <v>946.9</v>
      </c>
      <c r="D58" s="6">
        <v>0.23672499999999999</v>
      </c>
      <c r="E58" s="6">
        <v>928.8</v>
      </c>
      <c r="F58" s="6">
        <v>0.23219999999999999</v>
      </c>
      <c r="G58" s="6">
        <f>IFERROR((D58+F58)/2, 0)</f>
        <v>0.23446249999999999</v>
      </c>
      <c r="H58" s="7">
        <f>IFERROR(IF(AVERAGE(C58,E58)&gt;$BN$7,AVERAGE(C58,E58),0), 0)</f>
        <v>937.84999999999991</v>
      </c>
      <c r="I58" s="7">
        <f>IFERROR(IF(AND(D58=0,F58=0),0,IF(H58&gt;$BN$6,MAX(D58,F58),G58)), 0)</f>
        <v>0.23672499999999999</v>
      </c>
      <c r="J58" s="6">
        <f>IFERROR(IF(AND(D58&gt;0,F58&gt;0),ABS(D58-F58)/AVERAGE(D58,F58),0), 0)</f>
        <v>1.9299461534360511E-2</v>
      </c>
      <c r="K58" s="6">
        <v>30398.6</v>
      </c>
      <c r="L58" s="6">
        <v>30401.1</v>
      </c>
      <c r="M58" s="8">
        <f>IFERROR((L58-K58)*1000, 0)</f>
        <v>2500</v>
      </c>
      <c r="N58" s="6">
        <v>0.87599999999999989</v>
      </c>
      <c r="O58" s="8" cm="1">
        <f t="array" ref="O58">IF(
    AND($H58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($H58 / 1000) * O$10 * $BN$4 * 0.25
    ),
    0
)
+
IF(
    $N58 &lt; 0.875,
    MAX(0, MIN(($H58 / 1000) * O$10 * $BN$4, O$11 * 0.876) - (O$11 * $N58)) * 0.25,
    0
)</f>
        <v>0</v>
      </c>
      <c r="P58" s="8" cm="1">
        <f t="array" ref="P58">IF(
    AND($H58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($H58 / 1000) * P$10 * $BN$4 * 0.25
    ),
    0
)
+
IF(
    $N58 &lt; 0.875,
    MAX(0, MIN(($H58 / 1000) * P$10 * $BN$4, P$11 * 0.876) - (P$11 * $N58)) * 0.25,
    0
)</f>
        <v>0</v>
      </c>
      <c r="Q58" s="8" cm="1">
        <f t="array" ref="Q58">IF(
    AND($H58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($H58 / 1000) * Q$10 * $BN$4 * 0.25
    ),
    0
)
+
IF(
    $N58 &lt; 0.875,
    MAX(0, MIN(($H58 / 1000) * Q$10 * $BN$4, Q$11 * 0.876) - (Q$11 * $N58)) * 0.25,
    0
)</f>
        <v>0</v>
      </c>
      <c r="R58" s="8" cm="1">
        <f t="array" ref="R58">IF(
    AND($H58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($H58 / 1000) * R$10 * $BN$4 * 0.25
    ),
    0
)
+
IF(
    $N58 &lt; 0.875,
    MAX(0, MIN(($H58 / 1000) * R$10 * $BN$4, R$11 * 0.876) - (R$11 * $N58)) * 0.25,
    0
)</f>
        <v>0</v>
      </c>
      <c r="S58" s="8" cm="1">
        <f t="array" ref="S58">IF(
    AND($H58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($H58 / 1000) * S$10 * $BN$4 * 0.25
    ),
    0
)
+
IF(
    $N58 &lt; 0.875,
    MAX(0, MIN(($H58 / 1000) * S$10 * $BN$4, S$11 * 0.876) - (S$11 * $N58)) * 0.25,
    0
)</f>
        <v>0</v>
      </c>
      <c r="T58" s="8" cm="1">
        <f t="array" ref="T58">IF(
    AND($H58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($H58 / 1000) * T$10 * $BN$4 * 0.25
    ),
    0
)
+
IF(
    $N58 &lt; 0.875,
    MAX(0, MIN(($H58 / 1000) * T$10 * $BN$4, T$11 * 0.876) - (T$11 * $N58)) * 0.25,
    0
)</f>
        <v>0</v>
      </c>
      <c r="U58" s="8" cm="1">
        <f t="array" ref="U58">IF(
    AND($H58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($H58 / 1000) * U$10 * $BN$4 * 0.25
    ),
    0
)
+
IF(
    $N58 &lt; 0.875,
    MAX(0, MIN(($H58 / 1000) * U$10 * $BN$4, U$11 * 0.876) - (U$11 * $N58)) * 0.25,
    0
)</f>
        <v>0</v>
      </c>
      <c r="V58" s="8" cm="1">
        <f t="array" ref="V58">IF(
    AND($H58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($H58 / 1000) * V$10 * $BN$4 * 0.25
    ),
    0
)
+
IF(
    $N58 &lt; 0.875,
    MAX(0, MIN(($H58 / 1000) * V$10 * $BN$4, V$11 * 0.876) - (V$11 * $N58)) * 0.25,
    0
)</f>
        <v>0</v>
      </c>
      <c r="W58" s="8" cm="1">
        <f t="array" ref="W58">IF(
    AND($H58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($H58 / 1000) * W$10 * $BN$4 * 0.25
    ),
    0
)
+
IF(
    $N58 &lt; 0.875,
    MAX(0, MIN(($H58 / 1000) * W$10 * $BN$4, W$11 * 0.876) - (W$11 * $N58)) * 0.25,
    0
)</f>
        <v>0</v>
      </c>
      <c r="X58" s="8" cm="1">
        <f t="array" ref="X58">IF(
    AND($H58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($H58 / 1000) * X$10 * $BN$4 * 0.25
    ),
    0
)
+
IF(
    $N58 &lt; 0.875,
    MAX(0, MIN(($H58 / 1000) * X$10 * $BN$4, X$11 * 0.876) - (X$11 * $N58)) * 0.25,
    0
)</f>
        <v>0</v>
      </c>
      <c r="Y58" s="8" cm="1">
        <f t="array" ref="Y58">IF(
    AND($H58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($H58 / 1000) * Y$10 * $BN$4 * 0.25
    ),
    0
)
+
IF(
    $N58 &lt; 0.875,
    MAX(0, MIN(($H58 / 1000) * Y$10 * $BN$4, Y$11 * 0.876) - (Y$11 * $N58)) * 0.25,
    0
)</f>
        <v>0</v>
      </c>
      <c r="Z58" s="8" cm="1">
        <f t="array" ref="Z58">IF(
    AND($H58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($H58 / 1000) * Z$10 * $BN$4 * 0.25
    ),
    0
)
+
IF(
    $N58 &lt; 0.875,
    MAX(0, MIN(($H58 / 1000) * Z$10 * $BN$4, Z$11 * 0.876) - (Z$11 * $N58)) * 0.25,
    0
)</f>
        <v>0</v>
      </c>
      <c r="AA58" s="8">
        <f>AVERAGE(TabellaMar2026[[#This Row],[Colonna24]:[Colonna20]])</f>
        <v>0</v>
      </c>
      <c r="AB58" s="8">
        <f>MAX(TabellaMar2026[[#This Row],[Colonna24]:[Colonna20]])</f>
        <v>0</v>
      </c>
      <c r="AC58" s="35">
        <f>MIN(TabellaMar2026[[#This Row],[Colonna24]:[Colonna20]])</f>
        <v>0</v>
      </c>
      <c r="AD58" s="44">
        <f>SUM(TabellaMar2026[[#This Row],[Colonna24]:[Colonna20]])</f>
        <v>0</v>
      </c>
      <c r="AE58" s="36">
        <f>IF(
    AND($H58 &gt; $BN$7, Tabella01MarzoInverter[[#This Row],[Active power TX2-INV-1]] &lt;= 0, Tabella01MarzoInverter[[#This Row],[TX2 - Average Power]] &lt;= 0),
    MIN(($H58 / 1000) * AE$10 * $BN$4, AE$11 * 0.876) * 0.25,
    IF(
        AND($H58 &gt; $BN$7, Tabella01MarzoInverter[[#This Row],[Active power TX2-INV-1]] &lt;= 0),
        Tabella01MarzoInverter[[#This Row],[TX2 - Average Power]] * 0.25,
        0
    )
    +
    IF(
        $N58 &lt; 0.875,
        MAX(0, MIN(($H58 / 1000) * AE$10 * $BN$4, AE$11 * 0.876) - (AE$11 * $N58)) * 0.25,
        0
    )
)</f>
        <v>0</v>
      </c>
      <c r="AF58" s="36">
        <f>IF(
    AND($H58 &gt; $BN$7, Tabella01MarzoInverter[[#This Row],[Active power TX2-INV-2]] &lt;= 0, Tabella01MarzoInverter[[#This Row],[TX2 - Max Power]] &lt;= 0),
    MIN(($H58 / 1000) * AF$10 * $BN$4, AF$11 * 0.876) * 0.25,
    IF(
        AND($H58 &gt; $BN$7, Tabella01MarzoInverter[[#This Row],[Active power TX2-INV-2]] &lt;= 0),
        Tabella01MarzoInverter[[#This Row],[TX2 - Max Power]] * 0.25,
        0
    )
    +
    IF(
        $N58 &lt; 0.875,
        MAX(0, MIN(($H58 / 1000) * AF$10 * $BN$4, AF$11 * 0.876) - (AF$11 * $N58)) * 0.25,
        0
    )
)</f>
        <v>0</v>
      </c>
      <c r="AG58" s="36">
        <f>IF(
    AND($H58 &gt; $BN$7, Tabella01MarzoInverter[[#This Row],[Active power TX2-INV-3]] &lt;= 0, Tabella01MarzoInverter[[#This Row],[TX2 - Min Power]] &lt;= 0),
    MIN(($H58 / 1000) * AG$10 * $BN$4, AG$11 * 0.876) * 0.25,
    IF(
        AND($H58 &gt; $BN$7, Tabella01MarzoInverter[[#This Row],[Active power TX2-INV-3]] &lt;= 0),
        Tabella01MarzoInverter[[#This Row],[TX2 - Min Power]] * 0.25,
        0
    )
    +
    IF(
        $N58 &lt; 0.875,
        MAX(0, MIN(($H58 / 1000) * AG$10 * $BN$4, AG$11 * 0.876) - (AG$11 * $N58)) * 0.25,
        0
    )
)</f>
        <v>0</v>
      </c>
      <c r="AH58" s="36">
        <f>IF(
    AND($H58 &gt; $BN$7, Tabella01MarzoInverter[[#This Row],[Active power TX2-INV-4]] &lt;= 0, Tabella01MarzoInverter[[#This Row],[Active power TX3-INV-1]] &lt;= 0),
    MIN(($H58 / 1000) * AH$10 * $BN$4, AH$11 * 0.876) * 0.25,
    IF(
        AND($H58 &gt; $BN$7, Tabella01MarzoInverter[[#This Row],[Active power TX2-INV-4]] &lt;= 0),
        Tabella01MarzoInverter[[#This Row],[Active power TX3-INV-1]] * 0.25,
        0
    )
    +
    IF(
        $N58 &lt; 0.875,
        MAX(0, MIN(($H58 / 1000) * AH$10 * $BN$4, AH$11 * 0.876) - (AH$11 * $N58)) * 0.25,
        0
    )
)</f>
        <v>0</v>
      </c>
      <c r="AI58" s="36">
        <f>IF(
    AND($H58 &gt; $BN$7, Tabella01MarzoInverter[[#This Row],[Active power TX2-INV-5]] &lt;= 0, Tabella01MarzoInverter[[#This Row],[Active power TX3-INV-2]] &lt;= 0),
    MIN(($H58 / 1000) * AI$10 * $BN$4, AI$11 * 0.876) * 0.25,
    IF(
        AND($H58 &gt; $BN$7, Tabella01MarzoInverter[[#This Row],[Active power TX2-INV-5]] &lt;= 0),
        Tabella01MarzoInverter[[#This Row],[Active power TX3-INV-2]] * 0.25,
        0
    )
    +
    IF(
        $N58 &lt; 0.875,
        MAX(0, MIN(($H58 / 1000) * AI$10 * $BN$4, AI$11 * 0.876) - (AI$11 * $N58)) * 0.25,
        0
    )
)</f>
        <v>0</v>
      </c>
      <c r="AJ58" s="36">
        <f>IF(
    AND($H58 &gt; $BN$7, Tabella01MarzoInverter[[#This Row],[Active power TX2-INV-6]] &lt;= 0, Tabella01MarzoInverter[[#This Row],[Active power TX3-INV-3]] &lt;= 0),
    MIN(($H58 / 1000) * AJ$10 * $BN$4, AJ$11 * 0.876) * 0.25,
    IF(
        AND($H58 &gt; $BN$7, Tabella01MarzoInverter[[#This Row],[Active power TX2-INV-6]] &lt;= 0),
        Tabella01MarzoInverter[[#This Row],[Active power TX3-INV-3]] * 0.25,
        0
    )
    +
    IF(
        $N58 &lt; 0.875,
        MAX(0, MIN(($H58 / 1000) * AJ$10 * $BN$4, AJ$11 * 0.876) - (AJ$11 * $N58)) * 0.25,
        0
    )
)</f>
        <v>0</v>
      </c>
      <c r="AK58" s="36">
        <f>IF(
    AND($H58 &gt; $BN$7, Tabella01MarzoInverter[[#This Row],[Active power TX2-INV-7]] &lt;= 0, Tabella01MarzoInverter[[#This Row],[Active power TX3-INV-4]] &lt;= 0),
    MIN(($H58 / 1000) * AK$10 * $BN$4, AK$11 * 0.876) * 0.25,
    IF(
        AND($H58 &gt; $BN$7, Tabella01MarzoInverter[[#This Row],[Active power TX2-INV-7]] &lt;= 0),
        Tabella01MarzoInverter[[#This Row],[Active power TX3-INV-4]] * 0.25,
        0
    )
    +
    IF(
        $N58 &lt; 0.875,
        MAX(0, MIN(($H58 / 1000) * AK$10 * $BN$4, AK$11 * 0.876) - (AK$11 * $N58)) * 0.25,
        0
    )
)</f>
        <v>0</v>
      </c>
      <c r="AL58" s="36">
        <f>IF(
    AND($H58 &gt; $BN$7, Tabella01MarzoInverter[[#This Row],[Active power TX2-INV-8]] &lt;= 0, Tabella01MarzoInverter[[#This Row],[Active power TX3-INV-5]] &lt;= 0),
    MIN(($H58 / 1000) * AL$10 * $BN$4, AL$11 * 0.876) * 0.25,
    IF(
        AND($H58 &gt; $BN$7, Tabella01MarzoInverter[[#This Row],[Active power TX2-INV-8]] &lt;= 0),
        Tabella01MarzoInverter[[#This Row],[Active power TX3-INV-5]] * 0.25,
        0
    )
    +
    IF(
        $N58 &lt; 0.875,
        MAX(0, MIN(($H58 / 1000) * AL$10 * $BN$4, AL$11 * 0.876) - (AL$11 * $N58)) * 0.25,
        0
    )
)</f>
        <v>0</v>
      </c>
      <c r="AM58" s="36">
        <f>IF(
    AND($H58 &gt; $BN$7, Tabella01MarzoInverter[[#This Row],[Active power TX2-INV-9]] &lt;= 0, Tabella01MarzoInverter[[#This Row],[Active power TX3-INV-6]] &lt;= 0),
    MIN(($H58 / 1000) * AM$10 * $BN$4, AM$11 * 0.876) * 0.25,
    IF(
        AND($H58 &gt; $BN$7, Tabella01MarzoInverter[[#This Row],[Active power TX2-INV-9]] &lt;= 0),
        Tabella01MarzoInverter[[#This Row],[Active power TX3-INV-6]] * 0.25,
        0
    )
    +
    IF(
        $N58 &lt; 0.875,
        MAX(0, MIN(($H58 / 1000) * AM$10 * $BN$4, AM$11 * 0.876) - (AM$11 * $N58)) * 0.25,
        0
    )
)</f>
        <v>0</v>
      </c>
      <c r="AN58" s="36">
        <f>IF(
    AND($H58 &gt; $BN$7, Tabella01MarzoInverter[[#This Row],[Active power TX2-INV-10]] &lt;= 0, Tabella01MarzoInverter[[#This Row],[Active power TX3-INV-7]] &lt;= 0),
    MIN(($H58 / 1000) * AN$10 * $BN$4, AN$11 * 0.876) * 0.25,
    IF(
        AND($H58 &gt; $BN$7, Tabella01MarzoInverter[[#This Row],[Active power TX2-INV-10]] &lt;= 0),
        Tabella01MarzoInverter[[#This Row],[Active power TX3-INV-7]] * 0.25,
        0
    )
    +
    IF(
        $N58 &lt; 0.875,
        MAX(0, MIN(($H58 / 1000) * AN$10 * $BN$4, AN$11 * 0.876) - (AN$11 * $N58)) * 0.25,
        0
    )
)</f>
        <v>0</v>
      </c>
      <c r="AO58" s="36">
        <f>IF(
    AND($H58 &gt; $BN$7, Tabella01MarzoInverter[[#This Row],[Active power TX2-INV-11]] &lt;= 0, Tabella01MarzoInverter[[#This Row],[Active power TX3-INV-8]] &lt;= 0),
    MIN(($H58 / 1000) * AO$10 * $BN$4, AO$11 * 0.876) * 0.25,
    IF(
        AND($H58 &gt; $BN$7, Tabella01MarzoInverter[[#This Row],[Active power TX2-INV-11]] &lt;= 0),
        Tabella01MarzoInverter[[#This Row],[Active power TX3-INV-8]] * 0.25,
        0
    )
    +
    IF(
        $N58 &lt; 0.875,
        MAX(0, MIN(($H58 / 1000) * AO$10 * $BN$4, AO$11 * 0.876) - (AO$11 * $N58)) * 0.25,
        0
    )
)</f>
        <v>0</v>
      </c>
      <c r="AP58" s="36">
        <f>IF(
    AND($H58 &gt; $BN$7, Tabella01MarzoInverter[[#This Row],[Active power TX2-INV-12]] &lt;= 0, Tabella01MarzoInverter[[#This Row],[Active power TX3-INV-9]] &lt;= 0),
    MIN(($H58 / 1000) * AP$10 * $BN$4, AP$11 * 0.876) * 0.25,
    IF(
        AND($H58 &gt; $BN$7, Tabella01MarzoInverter[[#This Row],[Active power TX2-INV-12]] &lt;= 0),
        Tabella01MarzoInverter[[#This Row],[Active power TX3-INV-9]] * 0.25,
        0
    )
    +
    IF(
        $N58 &lt; 0.875,
        MAX(0, MIN(($H58 / 1000) * AP$10 * $BN$4, AP$11 * 0.876) - (AP$11 * $N58)) * 0.25,
        0
    )
)</f>
        <v>0</v>
      </c>
      <c r="AQ58" s="8">
        <f>AVERAGE(TabellaMar2026[[#This Row],[Colonna39]:[Colonna6]])</f>
        <v>0</v>
      </c>
      <c r="AR58" s="8">
        <f>MAX(TabellaMar2026[[#This Row],[Colonna39]:[Colonna6]])</f>
        <v>0</v>
      </c>
      <c r="AS58" s="35">
        <f>MIN(TabellaMar2026[[#This Row],[Colonna39]:[Colonna6]])</f>
        <v>0</v>
      </c>
      <c r="AT58" s="48">
        <f>SUM(TabellaMar2026[[#This Row],[Colonna39]:[Colonna6]])</f>
        <v>0</v>
      </c>
      <c r="AU58" s="36" cm="1">
        <f t="array" ref="AU58">IF(
    AND($H58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($H58 / 1000) * AU$10 * $BN$4 * 0.25
    ),
    0
)
+
IF(
    $N58 &lt; 0.875,
    MAX(0, MIN(($H58 / 1000) * AU$10 * $BN$4, AU$11 * 0.876) - (AU$11 * $N58)) * 0.25,
    0
)</f>
        <v>0</v>
      </c>
      <c r="AV58" s="36" cm="1">
        <f t="array" ref="AV58">IF(
    AND($H58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($H58 / 1000) * AV$10 * $BN$4 * 0.25
    ),
    0
)
+
IF(
    $N58 &lt; 0.875,
    MAX(0, MIN(($H58 / 1000) * AV$10 * $BN$4, AV$11 * 0.876) - (AV$11 * $N58)) * 0.25,
    0
)</f>
        <v>0</v>
      </c>
      <c r="AW58" s="36" cm="1">
        <f t="array" ref="AW58">IF(
    AND($H58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($H58 / 1000) * AW$10 * $BN$4 * 0.25
    ),
    0
)
+
IF(
    $N58 &lt; 0.875,
    MAX(0, MIN(($H58 / 1000) * AW$10 * $BN$4, AW$11 * 0.876) - (AW$11 * $N58)) * 0.25,
    0
)</f>
        <v>0</v>
      </c>
      <c r="AX58" s="36" cm="1">
        <f t="array" ref="AX58">IF(
    AND($H58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($H58 / 1000) * AX$10 * $BN$4 * 0.25
    ),
    0
)
+
IF(
    $N58 &lt; 0.875,
    MAX(0, MIN(($H58 / 1000) * AX$10 * $BN$4, AX$11 * 0.876) - (AX$11 * $N58)) * 0.25,
    0
)</f>
        <v>0</v>
      </c>
      <c r="AY58" s="36" cm="1">
        <f t="array" ref="AY58">IF(
    AND($H58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($H58 / 1000) * AY$10 * $BN$4 * 0.25
    ),
    0
)
+
IF(
    $N58 &lt; 0.875,
    MAX(0, MIN(($H58 / 1000) * AY$10 * $BN$4, AY$11 * 0.876) - (AY$11 * $N58)) * 0.25,
    0
)</f>
        <v>0</v>
      </c>
      <c r="AZ58" s="36" cm="1">
        <f t="array" ref="AZ58">IF(
    AND($H58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($H58 / 1000) * AZ$10 * $BN$4 * 0.25
    ),
    0
)
+
IF(
    $N58 &lt; 0.875,
    MAX(0, MIN(($H58 / 1000) * AZ$10 * $BN$4, AZ$11 * 0.876) - (AZ$11 * $N58)) * 0.25,
    0
)</f>
        <v>0</v>
      </c>
      <c r="BA58" s="36" cm="1">
        <f t="array" ref="BA58">IF(
    AND($H58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($H58 / 1000) * BA$10 * $BN$4 * 0.25
    ),
    0
)
+
IF(
    $N58 &lt; 0.875,
    MAX(0, MIN(($H58 / 1000) * BA$10 * $BN$4, BA$11 * 0.876) - (BA$11 * $N58)) * 0.25,
    0
)</f>
        <v>0</v>
      </c>
      <c r="BB58" s="36" cm="1">
        <f t="array" ref="BB58">IF(
    AND($H58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($H58 / 1000) * BB$10 * $BN$4 * 0.25
    ),
    0
)
+
IF(
    $N58 &lt; 0.875,
    MAX(0, MIN(($H58 / 1000) * BB$10 * $BN$4, BB$11 * 0.876) - (BB$11 * $N58)) * 0.25,
    0
)</f>
        <v>0</v>
      </c>
      <c r="BC58" s="36" cm="1">
        <f t="array" ref="BC58">IF(
    AND($H58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($H58 / 1000) * BC$10 * $BN$4 * 0.25
    ),
    0
)
+
IF(
    $N58 &lt; 0.875,
    MAX(0, MIN(($H58 / 1000) * BC$10 * $BN$4, BC$11 * 0.876) - (BC$11 * $N58)) * 0.25,
    0
)</f>
        <v>0</v>
      </c>
      <c r="BD58" s="36" cm="1">
        <f t="array" ref="BD58">IF(
    AND($H58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($H58 / 1000) * BD$10 * $BN$4 * 0.25
    ),
    0
)
+
IF(
    $N58 &lt; 0.875,
    MAX(0, MIN(($H58 / 1000) * BD$10 * $BN$4, BD$11 * 0.876) - (BD$11 * $N58)) * 0.25,
    0
)</f>
        <v>0</v>
      </c>
      <c r="BE58" s="36" cm="1">
        <f t="array" ref="BE58">IF(
    AND($H58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($H58 / 1000) * BE$10 * $BN$4 * 0.25
    ),
    0
)
+
IF(
    $N58 &lt; 0.875,
    MAX(0, MIN(($H58 / 1000) * BE$10 * $BN$4, BE$11 * 0.876) - (BE$11 * $N58)) * 0.25,
    0
)</f>
        <v>0</v>
      </c>
      <c r="BF58" s="36" cm="1">
        <f t="array" ref="BF58">IF(
    AND($H58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($H58 / 1000) * BF$10 * $BN$4 * 0.25
    ),
    0
)
+
IF(
    $N58 &lt; 0.875,
    MAX(0, MIN(($H58 / 1000) * BF$10 * $BN$4, BF$11 * 0.876) - (BF$11 * $N58)) * 0.25,
    0
)</f>
        <v>0</v>
      </c>
      <c r="BG58" s="8">
        <f>AVERAGE(TabellaMar2026[[#This Row],[Colonna55]:[Colonna53]])</f>
        <v>0</v>
      </c>
      <c r="BH58" s="8">
        <f>MAX(TabellaMar2026[[#This Row],[Colonna55]:[Colonna53]])</f>
        <v>0</v>
      </c>
      <c r="BI58" s="35">
        <f>MIN(TabellaMar2026[[#This Row],[Colonna55]:[Colonna53]])</f>
        <v>0</v>
      </c>
      <c r="BJ58" s="48">
        <f>SUM(TabellaMar2026[[#This Row],[Colonna54]:[Colonna53]])</f>
        <v>0</v>
      </c>
      <c r="BK58" s="54">
        <f>(SUM(Tabella01MarzoInverter[[Active power TX1-INV-1]:[Active power TX3-INV-12]]) * 0.25) / (12625 * (SUM($G$15:$H$110) * 0.25 / 1000))</f>
        <v>1.014229628761051</v>
      </c>
      <c r="BL58" s="5"/>
      <c r="BM58" s="5"/>
      <c r="BN58" s="8"/>
      <c r="BO58" s="8"/>
      <c r="BP58" s="19"/>
    </row>
    <row r="59" spans="1:68" x14ac:dyDescent="0.25">
      <c r="A59" s="18">
        <v>46147</v>
      </c>
      <c r="B59" t="s">
        <v>59</v>
      </c>
      <c r="C59" s="5">
        <v>823.2</v>
      </c>
      <c r="D59" s="6">
        <v>0.20580000000000001</v>
      </c>
      <c r="E59" s="6">
        <v>823.4</v>
      </c>
      <c r="F59" s="6">
        <v>0.20585000000000001</v>
      </c>
      <c r="G59" s="6">
        <f>IFERROR((D59+F59)/2, 0)</f>
        <v>0.20582500000000001</v>
      </c>
      <c r="H59" s="7">
        <f>IFERROR(IF(AVERAGE(C59,E59)&gt;$BN$7,AVERAGE(C59,E59),0), 0)</f>
        <v>823.3</v>
      </c>
      <c r="I59" s="7">
        <f>IFERROR(IF(AND(D59=0,F59=0),0,IF(H59&gt;$BN$6,MAX(D59,F59),G59)), 0)</f>
        <v>0.20585000000000001</v>
      </c>
      <c r="J59" s="6">
        <f>IFERROR(IF(AND(D59&gt;0,F59&gt;0),ABS(D59-F59)/AVERAGE(D59,F59),0), 0)</f>
        <v>2.4292481476980197E-4</v>
      </c>
      <c r="K59" s="6">
        <v>30401.1</v>
      </c>
      <c r="L59" s="6">
        <v>30403.5</v>
      </c>
      <c r="M59" s="8">
        <f>IFERROR((L59-K59)*1000, 0)</f>
        <v>2400.0000000014552</v>
      </c>
      <c r="N59" s="6">
        <v>0.87599999999999989</v>
      </c>
      <c r="O59" s="8" cm="1">
        <f t="array" ref="O59">IF(
    AND($H59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($H59 / 1000) * O$10 * $BN$4 * 0.25
    ),
    0
)
+
IF(
    $N59 &lt; 0.875,
    MAX(0, MIN(($H59 / 1000) * O$10 * $BN$4, O$11 * 0.876) - (O$11 * $N59)) * 0.25,
    0
)</f>
        <v>0</v>
      </c>
      <c r="P59" s="8" cm="1">
        <f t="array" ref="P59">IF(
    AND($H59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($H59 / 1000) * P$10 * $BN$4 * 0.25
    ),
    0
)
+
IF(
    $N59 &lt; 0.875,
    MAX(0, MIN(($H59 / 1000) * P$10 * $BN$4, P$11 * 0.876) - (P$11 * $N59)) * 0.25,
    0
)</f>
        <v>0</v>
      </c>
      <c r="Q59" s="8" cm="1">
        <f t="array" ref="Q59">IF(
    AND($H59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($H59 / 1000) * Q$10 * $BN$4 * 0.25
    ),
    0
)
+
IF(
    $N59 &lt; 0.875,
    MAX(0, MIN(($H59 / 1000) * Q$10 * $BN$4, Q$11 * 0.876) - (Q$11 * $N59)) * 0.25,
    0
)</f>
        <v>0</v>
      </c>
      <c r="R59" s="8" cm="1">
        <f t="array" ref="R59">IF(
    AND($H59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($H59 / 1000) * R$10 * $BN$4 * 0.25
    ),
    0
)
+
IF(
    $N59 &lt; 0.875,
    MAX(0, MIN(($H59 / 1000) * R$10 * $BN$4, R$11 * 0.876) - (R$11 * $N59)) * 0.25,
    0
)</f>
        <v>0</v>
      </c>
      <c r="S59" s="8" cm="1">
        <f t="array" ref="S59">IF(
    AND($H59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($H59 / 1000) * S$10 * $BN$4 * 0.25
    ),
    0
)
+
IF(
    $N59 &lt; 0.875,
    MAX(0, MIN(($H59 / 1000) * S$10 * $BN$4, S$11 * 0.876) - (S$11 * $N59)) * 0.25,
    0
)</f>
        <v>0</v>
      </c>
      <c r="T59" s="8" cm="1">
        <f t="array" ref="T59">IF(
    AND($H59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($H59 / 1000) * T$10 * $BN$4 * 0.25
    ),
    0
)
+
IF(
    $N59 &lt; 0.875,
    MAX(0, MIN(($H59 / 1000) * T$10 * $BN$4, T$11 * 0.876) - (T$11 * $N59)) * 0.25,
    0
)</f>
        <v>0</v>
      </c>
      <c r="U59" s="8" cm="1">
        <f t="array" ref="U59">IF(
    AND($H59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($H59 / 1000) * U$10 * $BN$4 * 0.25
    ),
    0
)
+
IF(
    $N59 &lt; 0.875,
    MAX(0, MIN(($H59 / 1000) * U$10 * $BN$4, U$11 * 0.876) - (U$11 * $N59)) * 0.25,
    0
)</f>
        <v>0</v>
      </c>
      <c r="V59" s="8" cm="1">
        <f t="array" ref="V59">IF(
    AND($H59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($H59 / 1000) * V$10 * $BN$4 * 0.25
    ),
    0
)
+
IF(
    $N59 &lt; 0.875,
    MAX(0, MIN(($H59 / 1000) * V$10 * $BN$4, V$11 * 0.876) - (V$11 * $N59)) * 0.25,
    0
)</f>
        <v>0</v>
      </c>
      <c r="W59" s="8" cm="1">
        <f t="array" ref="W59">IF(
    AND($H59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($H59 / 1000) * W$10 * $BN$4 * 0.25
    ),
    0
)
+
IF(
    $N59 &lt; 0.875,
    MAX(0, MIN(($H59 / 1000) * W$10 * $BN$4, W$11 * 0.876) - (W$11 * $N59)) * 0.25,
    0
)</f>
        <v>0</v>
      </c>
      <c r="X59" s="8" cm="1">
        <f t="array" ref="X59">IF(
    AND($H59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($H59 / 1000) * X$10 * $BN$4 * 0.25
    ),
    0
)
+
IF(
    $N59 &lt; 0.875,
    MAX(0, MIN(($H59 / 1000) * X$10 * $BN$4, X$11 * 0.876) - (X$11 * $N59)) * 0.25,
    0
)</f>
        <v>0</v>
      </c>
      <c r="Y59" s="8" cm="1">
        <f t="array" ref="Y59">IF(
    AND($H59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($H59 / 1000) * Y$10 * $BN$4 * 0.25
    ),
    0
)
+
IF(
    $N59 &lt; 0.875,
    MAX(0, MIN(($H59 / 1000) * Y$10 * $BN$4, Y$11 * 0.876) - (Y$11 * $N59)) * 0.25,
    0
)</f>
        <v>0</v>
      </c>
      <c r="Z59" s="8" cm="1">
        <f t="array" ref="Z59">IF(
    AND($H59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($H59 / 1000) * Z$10 * $BN$4 * 0.25
    ),
    0
)
+
IF(
    $N59 &lt; 0.875,
    MAX(0, MIN(($H59 / 1000) * Z$10 * $BN$4, Z$11 * 0.876) - (Z$11 * $N59)) * 0.25,
    0
)</f>
        <v>0</v>
      </c>
      <c r="AA59" s="8">
        <f>AVERAGE(TabellaMar2026[[#This Row],[Colonna24]:[Colonna20]])</f>
        <v>0</v>
      </c>
      <c r="AB59" s="8">
        <f>MAX(TabellaMar2026[[#This Row],[Colonna24]:[Colonna20]])</f>
        <v>0</v>
      </c>
      <c r="AC59" s="35">
        <f>MIN(TabellaMar2026[[#This Row],[Colonna24]:[Colonna20]])</f>
        <v>0</v>
      </c>
      <c r="AD59" s="44">
        <f>SUM(TabellaMar2026[[#This Row],[Colonna24]:[Colonna20]])</f>
        <v>0</v>
      </c>
      <c r="AE59" s="36">
        <f>IF(
    AND($H59 &gt; $BN$7, Tabella01MarzoInverter[[#This Row],[Active power TX2-INV-1]] &lt;= 0, Tabella01MarzoInverter[[#This Row],[TX2 - Average Power]] &lt;= 0),
    MIN(($H59 / 1000) * AE$10 * $BN$4, AE$11 * 0.876) * 0.25,
    IF(
        AND($H59 &gt; $BN$7, Tabella01MarzoInverter[[#This Row],[Active power TX2-INV-1]] &lt;= 0),
        Tabella01MarzoInverter[[#This Row],[TX2 - Average Power]] * 0.25,
        0
    )
    +
    IF(
        $N59 &lt; 0.875,
        MAX(0, MIN(($H59 / 1000) * AE$10 * $BN$4, AE$11 * 0.876) - (AE$11 * $N59)) * 0.25,
        0
    )
)</f>
        <v>0</v>
      </c>
      <c r="AF59" s="36">
        <f>IF(
    AND($H59 &gt; $BN$7, Tabella01MarzoInverter[[#This Row],[Active power TX2-INV-2]] &lt;= 0, Tabella01MarzoInverter[[#This Row],[TX2 - Max Power]] &lt;= 0),
    MIN(($H59 / 1000) * AF$10 * $BN$4, AF$11 * 0.876) * 0.25,
    IF(
        AND($H59 &gt; $BN$7, Tabella01MarzoInverter[[#This Row],[Active power TX2-INV-2]] &lt;= 0),
        Tabella01MarzoInverter[[#This Row],[TX2 - Max Power]] * 0.25,
        0
    )
    +
    IF(
        $N59 &lt; 0.875,
        MAX(0, MIN(($H59 / 1000) * AF$10 * $BN$4, AF$11 * 0.876) - (AF$11 * $N59)) * 0.25,
        0
    )
)</f>
        <v>0</v>
      </c>
      <c r="AG59" s="36">
        <f>IF(
    AND($H59 &gt; $BN$7, Tabella01MarzoInverter[[#This Row],[Active power TX2-INV-3]] &lt;= 0, Tabella01MarzoInverter[[#This Row],[TX2 - Min Power]] &lt;= 0),
    MIN(($H59 / 1000) * AG$10 * $BN$4, AG$11 * 0.876) * 0.25,
    IF(
        AND($H59 &gt; $BN$7, Tabella01MarzoInverter[[#This Row],[Active power TX2-INV-3]] &lt;= 0),
        Tabella01MarzoInverter[[#This Row],[TX2 - Min Power]] * 0.25,
        0
    )
    +
    IF(
        $N59 &lt; 0.875,
        MAX(0, MIN(($H59 / 1000) * AG$10 * $BN$4, AG$11 * 0.876) - (AG$11 * $N59)) * 0.25,
        0
    )
)</f>
        <v>0</v>
      </c>
      <c r="AH59" s="36">
        <f>IF(
    AND($H59 &gt; $BN$7, Tabella01MarzoInverter[[#This Row],[Active power TX2-INV-4]] &lt;= 0, Tabella01MarzoInverter[[#This Row],[Active power TX3-INV-1]] &lt;= 0),
    MIN(($H59 / 1000) * AH$10 * $BN$4, AH$11 * 0.876) * 0.25,
    IF(
        AND($H59 &gt; $BN$7, Tabella01MarzoInverter[[#This Row],[Active power TX2-INV-4]] &lt;= 0),
        Tabella01MarzoInverter[[#This Row],[Active power TX3-INV-1]] * 0.25,
        0
    )
    +
    IF(
        $N59 &lt; 0.875,
        MAX(0, MIN(($H59 / 1000) * AH$10 * $BN$4, AH$11 * 0.876) - (AH$11 * $N59)) * 0.25,
        0
    )
)</f>
        <v>0</v>
      </c>
      <c r="AI59" s="36">
        <f>IF(
    AND($H59 &gt; $BN$7, Tabella01MarzoInverter[[#This Row],[Active power TX2-INV-5]] &lt;= 0, Tabella01MarzoInverter[[#This Row],[Active power TX3-INV-2]] &lt;= 0),
    MIN(($H59 / 1000) * AI$10 * $BN$4, AI$11 * 0.876) * 0.25,
    IF(
        AND($H59 &gt; $BN$7, Tabella01MarzoInverter[[#This Row],[Active power TX2-INV-5]] &lt;= 0),
        Tabella01MarzoInverter[[#This Row],[Active power TX3-INV-2]] * 0.25,
        0
    )
    +
    IF(
        $N59 &lt; 0.875,
        MAX(0, MIN(($H59 / 1000) * AI$10 * $BN$4, AI$11 * 0.876) - (AI$11 * $N59)) * 0.25,
        0
    )
)</f>
        <v>0</v>
      </c>
      <c r="AJ59" s="36">
        <f>IF(
    AND($H59 &gt; $BN$7, Tabella01MarzoInverter[[#This Row],[Active power TX2-INV-6]] &lt;= 0, Tabella01MarzoInverter[[#This Row],[Active power TX3-INV-3]] &lt;= 0),
    MIN(($H59 / 1000) * AJ$10 * $BN$4, AJ$11 * 0.876) * 0.25,
    IF(
        AND($H59 &gt; $BN$7, Tabella01MarzoInverter[[#This Row],[Active power TX2-INV-6]] &lt;= 0),
        Tabella01MarzoInverter[[#This Row],[Active power TX3-INV-3]] * 0.25,
        0
    )
    +
    IF(
        $N59 &lt; 0.875,
        MAX(0, MIN(($H59 / 1000) * AJ$10 * $BN$4, AJ$11 * 0.876) - (AJ$11 * $N59)) * 0.25,
        0
    )
)</f>
        <v>0</v>
      </c>
      <c r="AK59" s="36">
        <f>IF(
    AND($H59 &gt; $BN$7, Tabella01MarzoInverter[[#This Row],[Active power TX2-INV-7]] &lt;= 0, Tabella01MarzoInverter[[#This Row],[Active power TX3-INV-4]] &lt;= 0),
    MIN(($H59 / 1000) * AK$10 * $BN$4, AK$11 * 0.876) * 0.25,
    IF(
        AND($H59 &gt; $BN$7, Tabella01MarzoInverter[[#This Row],[Active power TX2-INV-7]] &lt;= 0),
        Tabella01MarzoInverter[[#This Row],[Active power TX3-INV-4]] * 0.25,
        0
    )
    +
    IF(
        $N59 &lt; 0.875,
        MAX(0, MIN(($H59 / 1000) * AK$10 * $BN$4, AK$11 * 0.876) - (AK$11 * $N59)) * 0.25,
        0
    )
)</f>
        <v>0</v>
      </c>
      <c r="AL59" s="36">
        <f>IF(
    AND($H59 &gt; $BN$7, Tabella01MarzoInverter[[#This Row],[Active power TX2-INV-8]] &lt;= 0, Tabella01MarzoInverter[[#This Row],[Active power TX3-INV-5]] &lt;= 0),
    MIN(($H59 / 1000) * AL$10 * $BN$4, AL$11 * 0.876) * 0.25,
    IF(
        AND($H59 &gt; $BN$7, Tabella01MarzoInverter[[#This Row],[Active power TX2-INV-8]] &lt;= 0),
        Tabella01MarzoInverter[[#This Row],[Active power TX3-INV-5]] * 0.25,
        0
    )
    +
    IF(
        $N59 &lt; 0.875,
        MAX(0, MIN(($H59 / 1000) * AL$10 * $BN$4, AL$11 * 0.876) - (AL$11 * $N59)) * 0.25,
        0
    )
)</f>
        <v>0</v>
      </c>
      <c r="AM59" s="36">
        <f>IF(
    AND($H59 &gt; $BN$7, Tabella01MarzoInverter[[#This Row],[Active power TX2-INV-9]] &lt;= 0, Tabella01MarzoInverter[[#This Row],[Active power TX3-INV-6]] &lt;= 0),
    MIN(($H59 / 1000) * AM$10 * $BN$4, AM$11 * 0.876) * 0.25,
    IF(
        AND($H59 &gt; $BN$7, Tabella01MarzoInverter[[#This Row],[Active power TX2-INV-9]] &lt;= 0),
        Tabella01MarzoInverter[[#This Row],[Active power TX3-INV-6]] * 0.25,
        0
    )
    +
    IF(
        $N59 &lt; 0.875,
        MAX(0, MIN(($H59 / 1000) * AM$10 * $BN$4, AM$11 * 0.876) - (AM$11 * $N59)) * 0.25,
        0
    )
)</f>
        <v>0</v>
      </c>
      <c r="AN59" s="36">
        <f>IF(
    AND($H59 &gt; $BN$7, Tabella01MarzoInverter[[#This Row],[Active power TX2-INV-10]] &lt;= 0, Tabella01MarzoInverter[[#This Row],[Active power TX3-INV-7]] &lt;= 0),
    MIN(($H59 / 1000) * AN$10 * $BN$4, AN$11 * 0.876) * 0.25,
    IF(
        AND($H59 &gt; $BN$7, Tabella01MarzoInverter[[#This Row],[Active power TX2-INV-10]] &lt;= 0),
        Tabella01MarzoInverter[[#This Row],[Active power TX3-INV-7]] * 0.25,
        0
    )
    +
    IF(
        $N59 &lt; 0.875,
        MAX(0, MIN(($H59 / 1000) * AN$10 * $BN$4, AN$11 * 0.876) - (AN$11 * $N59)) * 0.25,
        0
    )
)</f>
        <v>0</v>
      </c>
      <c r="AO59" s="36">
        <f>IF(
    AND($H59 &gt; $BN$7, Tabella01MarzoInverter[[#This Row],[Active power TX2-INV-11]] &lt;= 0, Tabella01MarzoInverter[[#This Row],[Active power TX3-INV-8]] &lt;= 0),
    MIN(($H59 / 1000) * AO$10 * $BN$4, AO$11 * 0.876) * 0.25,
    IF(
        AND($H59 &gt; $BN$7, Tabella01MarzoInverter[[#This Row],[Active power TX2-INV-11]] &lt;= 0),
        Tabella01MarzoInverter[[#This Row],[Active power TX3-INV-8]] * 0.25,
        0
    )
    +
    IF(
        $N59 &lt; 0.875,
        MAX(0, MIN(($H59 / 1000) * AO$10 * $BN$4, AO$11 * 0.876) - (AO$11 * $N59)) * 0.25,
        0
    )
)</f>
        <v>0</v>
      </c>
      <c r="AP59" s="36">
        <f>IF(
    AND($H59 &gt; $BN$7, Tabella01MarzoInverter[[#This Row],[Active power TX2-INV-12]] &lt;= 0, Tabella01MarzoInverter[[#This Row],[Active power TX3-INV-9]] &lt;= 0),
    MIN(($H59 / 1000) * AP$10 * $BN$4, AP$11 * 0.876) * 0.25,
    IF(
        AND($H59 &gt; $BN$7, Tabella01MarzoInverter[[#This Row],[Active power TX2-INV-12]] &lt;= 0),
        Tabella01MarzoInverter[[#This Row],[Active power TX3-INV-9]] * 0.25,
        0
    )
    +
    IF(
        $N59 &lt; 0.875,
        MAX(0, MIN(($H59 / 1000) * AP$10 * $BN$4, AP$11 * 0.876) - (AP$11 * $N59)) * 0.25,
        0
    )
)</f>
        <v>0</v>
      </c>
      <c r="AQ59" s="8">
        <f>AVERAGE(TabellaMar2026[[#This Row],[Colonna39]:[Colonna6]])</f>
        <v>0</v>
      </c>
      <c r="AR59" s="8">
        <f>MAX(TabellaMar2026[[#This Row],[Colonna39]:[Colonna6]])</f>
        <v>0</v>
      </c>
      <c r="AS59" s="35">
        <f>MIN(TabellaMar2026[[#This Row],[Colonna39]:[Colonna6]])</f>
        <v>0</v>
      </c>
      <c r="AT59" s="48">
        <f>SUM(TabellaMar2026[[#This Row],[Colonna39]:[Colonna6]])</f>
        <v>0</v>
      </c>
      <c r="AU59" s="36" cm="1">
        <f t="array" ref="AU59">IF(
    AND($H59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($H59 / 1000) * AU$10 * $BN$4 * 0.25
    ),
    0
)
+
IF(
    $N59 &lt; 0.875,
    MAX(0, MIN(($H59 / 1000) * AU$10 * $BN$4, AU$11 * 0.876) - (AU$11 * $N59)) * 0.25,
    0
)</f>
        <v>0</v>
      </c>
      <c r="AV59" s="36" cm="1">
        <f t="array" ref="AV59">IF(
    AND($H59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($H59 / 1000) * AV$10 * $BN$4 * 0.25
    ),
    0
)
+
IF(
    $N59 &lt; 0.875,
    MAX(0, MIN(($H59 / 1000) * AV$10 * $BN$4, AV$11 * 0.876) - (AV$11 * $N59)) * 0.25,
    0
)</f>
        <v>0</v>
      </c>
      <c r="AW59" s="36" cm="1">
        <f t="array" ref="AW59">IF(
    AND($H59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($H59 / 1000) * AW$10 * $BN$4 * 0.25
    ),
    0
)
+
IF(
    $N59 &lt; 0.875,
    MAX(0, MIN(($H59 / 1000) * AW$10 * $BN$4, AW$11 * 0.876) - (AW$11 * $N59)) * 0.25,
    0
)</f>
        <v>0</v>
      </c>
      <c r="AX59" s="36" cm="1">
        <f t="array" ref="AX59">IF(
    AND($H59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($H59 / 1000) * AX$10 * $BN$4 * 0.25
    ),
    0
)
+
IF(
    $N59 &lt; 0.875,
    MAX(0, MIN(($H59 / 1000) * AX$10 * $BN$4, AX$11 * 0.876) - (AX$11 * $N59)) * 0.25,
    0
)</f>
        <v>0</v>
      </c>
      <c r="AY59" s="36" cm="1">
        <f t="array" ref="AY59">IF(
    AND($H59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($H59 / 1000) * AY$10 * $BN$4 * 0.25
    ),
    0
)
+
IF(
    $N59 &lt; 0.875,
    MAX(0, MIN(($H59 / 1000) * AY$10 * $BN$4, AY$11 * 0.876) - (AY$11 * $N59)) * 0.25,
    0
)</f>
        <v>0</v>
      </c>
      <c r="AZ59" s="36" cm="1">
        <f t="array" ref="AZ59">IF(
    AND($H59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($H59 / 1000) * AZ$10 * $BN$4 * 0.25
    ),
    0
)
+
IF(
    $N59 &lt; 0.875,
    MAX(0, MIN(($H59 / 1000) * AZ$10 * $BN$4, AZ$11 * 0.876) - (AZ$11 * $N59)) * 0.25,
    0
)</f>
        <v>0</v>
      </c>
      <c r="BA59" s="36" cm="1">
        <f t="array" ref="BA59">IF(
    AND($H59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($H59 / 1000) * BA$10 * $BN$4 * 0.25
    ),
    0
)
+
IF(
    $N59 &lt; 0.875,
    MAX(0, MIN(($H59 / 1000) * BA$10 * $BN$4, BA$11 * 0.876) - (BA$11 * $N59)) * 0.25,
    0
)</f>
        <v>0</v>
      </c>
      <c r="BB59" s="36" cm="1">
        <f t="array" ref="BB59">IF(
    AND($H59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($H59 / 1000) * BB$10 * $BN$4 * 0.25
    ),
    0
)
+
IF(
    $N59 &lt; 0.875,
    MAX(0, MIN(($H59 / 1000) * BB$10 * $BN$4, BB$11 * 0.876) - (BB$11 * $N59)) * 0.25,
    0
)</f>
        <v>0</v>
      </c>
      <c r="BC59" s="36" cm="1">
        <f t="array" ref="BC59">IF(
    AND($H59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($H59 / 1000) * BC$10 * $BN$4 * 0.25
    ),
    0
)
+
IF(
    $N59 &lt; 0.875,
    MAX(0, MIN(($H59 / 1000) * BC$10 * $BN$4, BC$11 * 0.876) - (BC$11 * $N59)) * 0.25,
    0
)</f>
        <v>0</v>
      </c>
      <c r="BD59" s="36" cm="1">
        <f t="array" ref="BD59">IF(
    AND($H59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($H59 / 1000) * BD$10 * $BN$4 * 0.25
    ),
    0
)
+
IF(
    $N59 &lt; 0.875,
    MAX(0, MIN(($H59 / 1000) * BD$10 * $BN$4, BD$11 * 0.876) - (BD$11 * $N59)) * 0.25,
    0
)</f>
        <v>0</v>
      </c>
      <c r="BE59" s="36" cm="1">
        <f t="array" ref="BE59">IF(
    AND($H59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($H59 / 1000) * BE$10 * $BN$4 * 0.25
    ),
    0
)
+
IF(
    $N59 &lt; 0.875,
    MAX(0, MIN(($H59 / 1000) * BE$10 * $BN$4, BE$11 * 0.876) - (BE$11 * $N59)) * 0.25,
    0
)</f>
        <v>0</v>
      </c>
      <c r="BF59" s="36" cm="1">
        <f t="array" ref="BF59">IF(
    AND($H59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($H59 / 1000) * BF$10 * $BN$4 * 0.25
    ),
    0
)
+
IF(
    $N59 &lt; 0.875,
    MAX(0, MIN(($H59 / 1000) * BF$10 * $BN$4, BF$11 * 0.876) - (BF$11 * $N59)) * 0.25,
    0
)</f>
        <v>0</v>
      </c>
      <c r="BG59" s="8">
        <f>AVERAGE(TabellaMar2026[[#This Row],[Colonna55]:[Colonna53]])</f>
        <v>0</v>
      </c>
      <c r="BH59" s="8">
        <f>MAX(TabellaMar2026[[#This Row],[Colonna55]:[Colonna53]])</f>
        <v>0</v>
      </c>
      <c r="BI59" s="35">
        <f>MIN(TabellaMar2026[[#This Row],[Colonna55]:[Colonna53]])</f>
        <v>0</v>
      </c>
      <c r="BJ59" s="48">
        <f>SUM(TabellaMar2026[[#This Row],[Colonna54]:[Colonna53]])</f>
        <v>0</v>
      </c>
      <c r="BK59" s="54">
        <f>(SUM(Tabella01MarzoInverter[[Active power TX1-INV-1]:[Active power TX3-INV-12]]) * 0.25) / (12625 * (SUM($G$15:$H$110) * 0.25 / 1000))</f>
        <v>1.014229628761051</v>
      </c>
      <c r="BL59" s="5"/>
      <c r="BM59" s="5"/>
      <c r="BN59" s="8"/>
      <c r="BO59" s="8"/>
      <c r="BP59" s="19"/>
    </row>
    <row r="60" spans="1:68" x14ac:dyDescent="0.25">
      <c r="A60" s="18">
        <v>46147</v>
      </c>
      <c r="B60" t="s">
        <v>60</v>
      </c>
      <c r="C60" s="5">
        <v>932.7</v>
      </c>
      <c r="D60" s="6">
        <v>0.23317500000000002</v>
      </c>
      <c r="E60" s="6">
        <v>916.3</v>
      </c>
      <c r="F60" s="6">
        <v>0.229075</v>
      </c>
      <c r="G60" s="6">
        <f>IFERROR((D60+F60)/2, 0)</f>
        <v>0.23112500000000002</v>
      </c>
      <c r="H60" s="7">
        <f>IFERROR(IF(AVERAGE(C60,E60)&gt;$BN$7,AVERAGE(C60,E60),0), 0)</f>
        <v>924.5</v>
      </c>
      <c r="I60" s="7">
        <f>IFERROR(IF(AND(D60=0,F60=0),0,IF(H60&gt;$BN$6,MAX(D60,F60),G60)), 0)</f>
        <v>0.23317500000000002</v>
      </c>
      <c r="J60" s="6">
        <f>IFERROR(IF(AND(D60&gt;0,F60&gt;0),ABS(D60-F60)/AVERAGE(D60,F60),0), 0)</f>
        <v>1.773931855056796E-2</v>
      </c>
      <c r="K60" s="6">
        <v>30403.5</v>
      </c>
      <c r="L60" s="6">
        <v>30405.8</v>
      </c>
      <c r="M60" s="8">
        <f>IFERROR((L60-K60)*1000, 0)</f>
        <v>2299.9999999992724</v>
      </c>
      <c r="N60" s="6">
        <v>0.87599999999999989</v>
      </c>
      <c r="O60" s="8" cm="1">
        <f t="array" ref="O60">IF(
    AND($H60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($H60 / 1000) * O$10 * $BN$4 * 0.25
    ),
    0
)
+
IF(
    $N60 &lt; 0.875,
    MAX(0, MIN(($H60 / 1000) * O$10 * $BN$4, O$11 * 0.876) - (O$11 * $N60)) * 0.25,
    0
)</f>
        <v>0</v>
      </c>
      <c r="P60" s="8" cm="1">
        <f t="array" ref="P60">IF(
    AND($H60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($H60 / 1000) * P$10 * $BN$4 * 0.25
    ),
    0
)
+
IF(
    $N60 &lt; 0.875,
    MAX(0, MIN(($H60 / 1000) * P$10 * $BN$4, P$11 * 0.876) - (P$11 * $N60)) * 0.25,
    0
)</f>
        <v>0</v>
      </c>
      <c r="Q60" s="8" cm="1">
        <f t="array" ref="Q60">IF(
    AND($H60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($H60 / 1000) * Q$10 * $BN$4 * 0.25
    ),
    0
)
+
IF(
    $N60 &lt; 0.875,
    MAX(0, MIN(($H60 / 1000) * Q$10 * $BN$4, Q$11 * 0.876) - (Q$11 * $N60)) * 0.25,
    0
)</f>
        <v>0</v>
      </c>
      <c r="R60" s="8" cm="1">
        <f t="array" ref="R60">IF(
    AND($H60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($H60 / 1000) * R$10 * $BN$4 * 0.25
    ),
    0
)
+
IF(
    $N60 &lt; 0.875,
    MAX(0, MIN(($H60 / 1000) * R$10 * $BN$4, R$11 * 0.876) - (R$11 * $N60)) * 0.25,
    0
)</f>
        <v>0</v>
      </c>
      <c r="S60" s="8" cm="1">
        <f t="array" ref="S60">IF(
    AND($H60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($H60 / 1000) * S$10 * $BN$4 * 0.25
    ),
    0
)
+
IF(
    $N60 &lt; 0.875,
    MAX(0, MIN(($H60 / 1000) * S$10 * $BN$4, S$11 * 0.876) - (S$11 * $N60)) * 0.25,
    0
)</f>
        <v>0</v>
      </c>
      <c r="T60" s="8" cm="1">
        <f t="array" ref="T60">IF(
    AND($H60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($H60 / 1000) * T$10 * $BN$4 * 0.25
    ),
    0
)
+
IF(
    $N60 &lt; 0.875,
    MAX(0, MIN(($H60 / 1000) * T$10 * $BN$4, T$11 * 0.876) - (T$11 * $N60)) * 0.25,
    0
)</f>
        <v>0</v>
      </c>
      <c r="U60" s="8" cm="1">
        <f t="array" ref="U60">IF(
    AND($H60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($H60 / 1000) * U$10 * $BN$4 * 0.25
    ),
    0
)
+
IF(
    $N60 &lt; 0.875,
    MAX(0, MIN(($H60 / 1000) * U$10 * $BN$4, U$11 * 0.876) - (U$11 * $N60)) * 0.25,
    0
)</f>
        <v>0</v>
      </c>
      <c r="V60" s="8" cm="1">
        <f t="array" ref="V60">IF(
    AND($H60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($H60 / 1000) * V$10 * $BN$4 * 0.25
    ),
    0
)
+
IF(
    $N60 &lt; 0.875,
    MAX(0, MIN(($H60 / 1000) * V$10 * $BN$4, V$11 * 0.876) - (V$11 * $N60)) * 0.25,
    0
)</f>
        <v>0</v>
      </c>
      <c r="W60" s="8" cm="1">
        <f t="array" ref="W60">IF(
    AND($H60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($H60 / 1000) * W$10 * $BN$4 * 0.25
    ),
    0
)
+
IF(
    $N60 &lt; 0.875,
    MAX(0, MIN(($H60 / 1000) * W$10 * $BN$4, W$11 * 0.876) - (W$11 * $N60)) * 0.25,
    0
)</f>
        <v>0</v>
      </c>
      <c r="X60" s="8" cm="1">
        <f t="array" ref="X60">IF(
    AND($H60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($H60 / 1000) * X$10 * $BN$4 * 0.25
    ),
    0
)
+
IF(
    $N60 &lt; 0.875,
    MAX(0, MIN(($H60 / 1000) * X$10 * $BN$4, X$11 * 0.876) - (X$11 * $N60)) * 0.25,
    0
)</f>
        <v>0</v>
      </c>
      <c r="Y60" s="8" cm="1">
        <f t="array" ref="Y60">IF(
    AND($H60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($H60 / 1000) * Y$10 * $BN$4 * 0.25
    ),
    0
)
+
IF(
    $N60 &lt; 0.875,
    MAX(0, MIN(($H60 / 1000) * Y$10 * $BN$4, Y$11 * 0.876) - (Y$11 * $N60)) * 0.25,
    0
)</f>
        <v>0</v>
      </c>
      <c r="Z60" s="8" cm="1">
        <f t="array" ref="Z60">IF(
    AND($H60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($H60 / 1000) * Z$10 * $BN$4 * 0.25
    ),
    0
)
+
IF(
    $N60 &lt; 0.875,
    MAX(0, MIN(($H60 / 1000) * Z$10 * $BN$4, Z$11 * 0.876) - (Z$11 * $N60)) * 0.25,
    0
)</f>
        <v>0</v>
      </c>
      <c r="AA60" s="8">
        <f>AVERAGE(TabellaMar2026[[#This Row],[Colonna24]:[Colonna20]])</f>
        <v>0</v>
      </c>
      <c r="AB60" s="8">
        <f>MAX(TabellaMar2026[[#This Row],[Colonna24]:[Colonna20]])</f>
        <v>0</v>
      </c>
      <c r="AC60" s="35">
        <f>MIN(TabellaMar2026[[#This Row],[Colonna24]:[Colonna20]])</f>
        <v>0</v>
      </c>
      <c r="AD60" s="44">
        <f>SUM(TabellaMar2026[[#This Row],[Colonna24]:[Colonna20]])</f>
        <v>0</v>
      </c>
      <c r="AE60" s="36">
        <f>IF(
    AND($H60 &gt; $BN$7, Tabella01MarzoInverter[[#This Row],[Active power TX2-INV-1]] &lt;= 0, Tabella01MarzoInverter[[#This Row],[TX2 - Average Power]] &lt;= 0),
    MIN(($H60 / 1000) * AE$10 * $BN$4, AE$11 * 0.876) * 0.25,
    IF(
        AND($H60 &gt; $BN$7, Tabella01MarzoInverter[[#This Row],[Active power TX2-INV-1]] &lt;= 0),
        Tabella01MarzoInverter[[#This Row],[TX2 - Average Power]] * 0.25,
        0
    )
    +
    IF(
        $N60 &lt; 0.875,
        MAX(0, MIN(($H60 / 1000) * AE$10 * $BN$4, AE$11 * 0.876) - (AE$11 * $N60)) * 0.25,
        0
    )
)</f>
        <v>0</v>
      </c>
      <c r="AF60" s="36">
        <f>IF(
    AND($H60 &gt; $BN$7, Tabella01MarzoInverter[[#This Row],[Active power TX2-INV-2]] &lt;= 0, Tabella01MarzoInverter[[#This Row],[TX2 - Max Power]] &lt;= 0),
    MIN(($H60 / 1000) * AF$10 * $BN$4, AF$11 * 0.876) * 0.25,
    IF(
        AND($H60 &gt; $BN$7, Tabella01MarzoInverter[[#This Row],[Active power TX2-INV-2]] &lt;= 0),
        Tabella01MarzoInverter[[#This Row],[TX2 - Max Power]] * 0.25,
        0
    )
    +
    IF(
        $N60 &lt; 0.875,
        MAX(0, MIN(($H60 / 1000) * AF$10 * $BN$4, AF$11 * 0.876) - (AF$11 * $N60)) * 0.25,
        0
    )
)</f>
        <v>0</v>
      </c>
      <c r="AG60" s="36">
        <f>IF(
    AND($H60 &gt; $BN$7, Tabella01MarzoInverter[[#This Row],[Active power TX2-INV-3]] &lt;= 0, Tabella01MarzoInverter[[#This Row],[TX2 - Min Power]] &lt;= 0),
    MIN(($H60 / 1000) * AG$10 * $BN$4, AG$11 * 0.876) * 0.25,
    IF(
        AND($H60 &gt; $BN$7, Tabella01MarzoInverter[[#This Row],[Active power TX2-INV-3]] &lt;= 0),
        Tabella01MarzoInverter[[#This Row],[TX2 - Min Power]] * 0.25,
        0
    )
    +
    IF(
        $N60 &lt; 0.875,
        MAX(0, MIN(($H60 / 1000) * AG$10 * $BN$4, AG$11 * 0.876) - (AG$11 * $N60)) * 0.25,
        0
    )
)</f>
        <v>0</v>
      </c>
      <c r="AH60" s="36">
        <f>IF(
    AND($H60 &gt; $BN$7, Tabella01MarzoInverter[[#This Row],[Active power TX2-INV-4]] &lt;= 0, Tabella01MarzoInverter[[#This Row],[Active power TX3-INV-1]] &lt;= 0),
    MIN(($H60 / 1000) * AH$10 * $BN$4, AH$11 * 0.876) * 0.25,
    IF(
        AND($H60 &gt; $BN$7, Tabella01MarzoInverter[[#This Row],[Active power TX2-INV-4]] &lt;= 0),
        Tabella01MarzoInverter[[#This Row],[Active power TX3-INV-1]] * 0.25,
        0
    )
    +
    IF(
        $N60 &lt; 0.875,
        MAX(0, MIN(($H60 / 1000) * AH$10 * $BN$4, AH$11 * 0.876) - (AH$11 * $N60)) * 0.25,
        0
    )
)</f>
        <v>0</v>
      </c>
      <c r="AI60" s="36">
        <f>IF(
    AND($H60 &gt; $BN$7, Tabella01MarzoInverter[[#This Row],[Active power TX2-INV-5]] &lt;= 0, Tabella01MarzoInverter[[#This Row],[Active power TX3-INV-2]] &lt;= 0),
    MIN(($H60 / 1000) * AI$10 * $BN$4, AI$11 * 0.876) * 0.25,
    IF(
        AND($H60 &gt; $BN$7, Tabella01MarzoInverter[[#This Row],[Active power TX2-INV-5]] &lt;= 0),
        Tabella01MarzoInverter[[#This Row],[Active power TX3-INV-2]] * 0.25,
        0
    )
    +
    IF(
        $N60 &lt; 0.875,
        MAX(0, MIN(($H60 / 1000) * AI$10 * $BN$4, AI$11 * 0.876) - (AI$11 * $N60)) * 0.25,
        0
    )
)</f>
        <v>0</v>
      </c>
      <c r="AJ60" s="36">
        <f>IF(
    AND($H60 &gt; $BN$7, Tabella01MarzoInverter[[#This Row],[Active power TX2-INV-6]] &lt;= 0, Tabella01MarzoInverter[[#This Row],[Active power TX3-INV-3]] &lt;= 0),
    MIN(($H60 / 1000) * AJ$10 * $BN$4, AJ$11 * 0.876) * 0.25,
    IF(
        AND($H60 &gt; $BN$7, Tabella01MarzoInverter[[#This Row],[Active power TX2-INV-6]] &lt;= 0),
        Tabella01MarzoInverter[[#This Row],[Active power TX3-INV-3]] * 0.25,
        0
    )
    +
    IF(
        $N60 &lt; 0.875,
        MAX(0, MIN(($H60 / 1000) * AJ$10 * $BN$4, AJ$11 * 0.876) - (AJ$11 * $N60)) * 0.25,
        0
    )
)</f>
        <v>0</v>
      </c>
      <c r="AK60" s="36">
        <f>IF(
    AND($H60 &gt; $BN$7, Tabella01MarzoInverter[[#This Row],[Active power TX2-INV-7]] &lt;= 0, Tabella01MarzoInverter[[#This Row],[Active power TX3-INV-4]] &lt;= 0),
    MIN(($H60 / 1000) * AK$10 * $BN$4, AK$11 * 0.876) * 0.25,
    IF(
        AND($H60 &gt; $BN$7, Tabella01MarzoInverter[[#This Row],[Active power TX2-INV-7]] &lt;= 0),
        Tabella01MarzoInverter[[#This Row],[Active power TX3-INV-4]] * 0.25,
        0
    )
    +
    IF(
        $N60 &lt; 0.875,
        MAX(0, MIN(($H60 / 1000) * AK$10 * $BN$4, AK$11 * 0.876) - (AK$11 * $N60)) * 0.25,
        0
    )
)</f>
        <v>0</v>
      </c>
      <c r="AL60" s="36">
        <f>IF(
    AND($H60 &gt; $BN$7, Tabella01MarzoInverter[[#This Row],[Active power TX2-INV-8]] &lt;= 0, Tabella01MarzoInverter[[#This Row],[Active power TX3-INV-5]] &lt;= 0),
    MIN(($H60 / 1000) * AL$10 * $BN$4, AL$11 * 0.876) * 0.25,
    IF(
        AND($H60 &gt; $BN$7, Tabella01MarzoInverter[[#This Row],[Active power TX2-INV-8]] &lt;= 0),
        Tabella01MarzoInverter[[#This Row],[Active power TX3-INV-5]] * 0.25,
        0
    )
    +
    IF(
        $N60 &lt; 0.875,
        MAX(0, MIN(($H60 / 1000) * AL$10 * $BN$4, AL$11 * 0.876) - (AL$11 * $N60)) * 0.25,
        0
    )
)</f>
        <v>0</v>
      </c>
      <c r="AM60" s="36">
        <f>IF(
    AND($H60 &gt; $BN$7, Tabella01MarzoInverter[[#This Row],[Active power TX2-INV-9]] &lt;= 0, Tabella01MarzoInverter[[#This Row],[Active power TX3-INV-6]] &lt;= 0),
    MIN(($H60 / 1000) * AM$10 * $BN$4, AM$11 * 0.876) * 0.25,
    IF(
        AND($H60 &gt; $BN$7, Tabella01MarzoInverter[[#This Row],[Active power TX2-INV-9]] &lt;= 0),
        Tabella01MarzoInverter[[#This Row],[Active power TX3-INV-6]] * 0.25,
        0
    )
    +
    IF(
        $N60 &lt; 0.875,
        MAX(0, MIN(($H60 / 1000) * AM$10 * $BN$4, AM$11 * 0.876) - (AM$11 * $N60)) * 0.25,
        0
    )
)</f>
        <v>0</v>
      </c>
      <c r="AN60" s="36">
        <f>IF(
    AND($H60 &gt; $BN$7, Tabella01MarzoInverter[[#This Row],[Active power TX2-INV-10]] &lt;= 0, Tabella01MarzoInverter[[#This Row],[Active power TX3-INV-7]] &lt;= 0),
    MIN(($H60 / 1000) * AN$10 * $BN$4, AN$11 * 0.876) * 0.25,
    IF(
        AND($H60 &gt; $BN$7, Tabella01MarzoInverter[[#This Row],[Active power TX2-INV-10]] &lt;= 0),
        Tabella01MarzoInverter[[#This Row],[Active power TX3-INV-7]] * 0.25,
        0
    )
    +
    IF(
        $N60 &lt; 0.875,
        MAX(0, MIN(($H60 / 1000) * AN$10 * $BN$4, AN$11 * 0.876) - (AN$11 * $N60)) * 0.25,
        0
    )
)</f>
        <v>0</v>
      </c>
      <c r="AO60" s="36">
        <f>IF(
    AND($H60 &gt; $BN$7, Tabella01MarzoInverter[[#This Row],[Active power TX2-INV-11]] &lt;= 0, Tabella01MarzoInverter[[#This Row],[Active power TX3-INV-8]] &lt;= 0),
    MIN(($H60 / 1000) * AO$10 * $BN$4, AO$11 * 0.876) * 0.25,
    IF(
        AND($H60 &gt; $BN$7, Tabella01MarzoInverter[[#This Row],[Active power TX2-INV-11]] &lt;= 0),
        Tabella01MarzoInverter[[#This Row],[Active power TX3-INV-8]] * 0.25,
        0
    )
    +
    IF(
        $N60 &lt; 0.875,
        MAX(0, MIN(($H60 / 1000) * AO$10 * $BN$4, AO$11 * 0.876) - (AO$11 * $N60)) * 0.25,
        0
    )
)</f>
        <v>0</v>
      </c>
      <c r="AP60" s="36">
        <f>IF(
    AND($H60 &gt; $BN$7, Tabella01MarzoInverter[[#This Row],[Active power TX2-INV-12]] &lt;= 0, Tabella01MarzoInverter[[#This Row],[Active power TX3-INV-9]] &lt;= 0),
    MIN(($H60 / 1000) * AP$10 * $BN$4, AP$11 * 0.876) * 0.25,
    IF(
        AND($H60 &gt; $BN$7, Tabella01MarzoInverter[[#This Row],[Active power TX2-INV-12]] &lt;= 0),
        Tabella01MarzoInverter[[#This Row],[Active power TX3-INV-9]] * 0.25,
        0
    )
    +
    IF(
        $N60 &lt; 0.875,
        MAX(0, MIN(($H60 / 1000) * AP$10 * $BN$4, AP$11 * 0.876) - (AP$11 * $N60)) * 0.25,
        0
    )
)</f>
        <v>0</v>
      </c>
      <c r="AQ60" s="8">
        <f>AVERAGE(TabellaMar2026[[#This Row],[Colonna39]:[Colonna6]])</f>
        <v>0</v>
      </c>
      <c r="AR60" s="8">
        <f>MAX(TabellaMar2026[[#This Row],[Colonna39]:[Colonna6]])</f>
        <v>0</v>
      </c>
      <c r="AS60" s="35">
        <f>MIN(TabellaMar2026[[#This Row],[Colonna39]:[Colonna6]])</f>
        <v>0</v>
      </c>
      <c r="AT60" s="48">
        <f>SUM(TabellaMar2026[[#This Row],[Colonna39]:[Colonna6]])</f>
        <v>0</v>
      </c>
      <c r="AU60" s="36" cm="1">
        <f t="array" ref="AU60">IF(
    AND($H60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($H60 / 1000) * AU$10 * $BN$4 * 0.25
    ),
    0
)
+
IF(
    $N60 &lt; 0.875,
    MAX(0, MIN(($H60 / 1000) * AU$10 * $BN$4, AU$11 * 0.876) - (AU$11 * $N60)) * 0.25,
    0
)</f>
        <v>0</v>
      </c>
      <c r="AV60" s="36" cm="1">
        <f t="array" ref="AV60">IF(
    AND($H60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($H60 / 1000) * AV$10 * $BN$4 * 0.25
    ),
    0
)
+
IF(
    $N60 &lt; 0.875,
    MAX(0, MIN(($H60 / 1000) * AV$10 * $BN$4, AV$11 * 0.876) - (AV$11 * $N60)) * 0.25,
    0
)</f>
        <v>0</v>
      </c>
      <c r="AW60" s="36" cm="1">
        <f t="array" ref="AW60">IF(
    AND($H60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($H60 / 1000) * AW$10 * $BN$4 * 0.25
    ),
    0
)
+
IF(
    $N60 &lt; 0.875,
    MAX(0, MIN(($H60 / 1000) * AW$10 * $BN$4, AW$11 * 0.876) - (AW$11 * $N60)) * 0.25,
    0
)</f>
        <v>0</v>
      </c>
      <c r="AX60" s="36" cm="1">
        <f t="array" ref="AX60">IF(
    AND($H60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($H60 / 1000) * AX$10 * $BN$4 * 0.25
    ),
    0
)
+
IF(
    $N60 &lt; 0.875,
    MAX(0, MIN(($H60 / 1000) * AX$10 * $BN$4, AX$11 * 0.876) - (AX$11 * $N60)) * 0.25,
    0
)</f>
        <v>0</v>
      </c>
      <c r="AY60" s="36" cm="1">
        <f t="array" ref="AY60">IF(
    AND($H60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($H60 / 1000) * AY$10 * $BN$4 * 0.25
    ),
    0
)
+
IF(
    $N60 &lt; 0.875,
    MAX(0, MIN(($H60 / 1000) * AY$10 * $BN$4, AY$11 * 0.876) - (AY$11 * $N60)) * 0.25,
    0
)</f>
        <v>0</v>
      </c>
      <c r="AZ60" s="36" cm="1">
        <f t="array" ref="AZ60">IF(
    AND($H60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($H60 / 1000) * AZ$10 * $BN$4 * 0.25
    ),
    0
)
+
IF(
    $N60 &lt; 0.875,
    MAX(0, MIN(($H60 / 1000) * AZ$10 * $BN$4, AZ$11 * 0.876) - (AZ$11 * $N60)) * 0.25,
    0
)</f>
        <v>0</v>
      </c>
      <c r="BA60" s="36" cm="1">
        <f t="array" ref="BA60">IF(
    AND($H60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($H60 / 1000) * BA$10 * $BN$4 * 0.25
    ),
    0
)
+
IF(
    $N60 &lt; 0.875,
    MAX(0, MIN(($H60 / 1000) * BA$10 * $BN$4, BA$11 * 0.876) - (BA$11 * $N60)) * 0.25,
    0
)</f>
        <v>0</v>
      </c>
      <c r="BB60" s="36" cm="1">
        <f t="array" ref="BB60">IF(
    AND($H60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($H60 / 1000) * BB$10 * $BN$4 * 0.25
    ),
    0
)
+
IF(
    $N60 &lt; 0.875,
    MAX(0, MIN(($H60 / 1000) * BB$10 * $BN$4, BB$11 * 0.876) - (BB$11 * $N60)) * 0.25,
    0
)</f>
        <v>0</v>
      </c>
      <c r="BC60" s="36" cm="1">
        <f t="array" ref="BC60">IF(
    AND($H60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($H60 / 1000) * BC$10 * $BN$4 * 0.25
    ),
    0
)
+
IF(
    $N60 &lt; 0.875,
    MAX(0, MIN(($H60 / 1000) * BC$10 * $BN$4, BC$11 * 0.876) - (BC$11 * $N60)) * 0.25,
    0
)</f>
        <v>0</v>
      </c>
      <c r="BD60" s="36" cm="1">
        <f t="array" ref="BD60">IF(
    AND($H60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($H60 / 1000) * BD$10 * $BN$4 * 0.25
    ),
    0
)
+
IF(
    $N60 &lt; 0.875,
    MAX(0, MIN(($H60 / 1000) * BD$10 * $BN$4, BD$11 * 0.876) - (BD$11 * $N60)) * 0.25,
    0
)</f>
        <v>0</v>
      </c>
      <c r="BE60" s="36" cm="1">
        <f t="array" ref="BE60">IF(
    AND($H60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($H60 / 1000) * BE$10 * $BN$4 * 0.25
    ),
    0
)
+
IF(
    $N60 &lt; 0.875,
    MAX(0, MIN(($H60 / 1000) * BE$10 * $BN$4, BE$11 * 0.876) - (BE$11 * $N60)) * 0.25,
    0
)</f>
        <v>0</v>
      </c>
      <c r="BF60" s="36" cm="1">
        <f t="array" ref="BF60">IF(
    AND($H60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($H60 / 1000) * BF$10 * $BN$4 * 0.25
    ),
    0
)
+
IF(
    $N60 &lt; 0.875,
    MAX(0, MIN(($H60 / 1000) * BF$10 * $BN$4, BF$11 * 0.876) - (BF$11 * $N60)) * 0.25,
    0
)</f>
        <v>0</v>
      </c>
      <c r="BG60" s="8">
        <f>AVERAGE(TabellaMar2026[[#This Row],[Colonna55]:[Colonna53]])</f>
        <v>0</v>
      </c>
      <c r="BH60" s="8">
        <f>MAX(TabellaMar2026[[#This Row],[Colonna55]:[Colonna53]])</f>
        <v>0</v>
      </c>
      <c r="BI60" s="35">
        <f>MIN(TabellaMar2026[[#This Row],[Colonna55]:[Colonna53]])</f>
        <v>0</v>
      </c>
      <c r="BJ60" s="48">
        <f>SUM(TabellaMar2026[[#This Row],[Colonna54]:[Colonna53]])</f>
        <v>0</v>
      </c>
      <c r="BK60" s="54">
        <f>(SUM(Tabella01MarzoInverter[[Active power TX1-INV-1]:[Active power TX3-INV-12]]) * 0.25) / (12625 * (SUM($G$15:$H$110) * 0.25 / 1000))</f>
        <v>1.014229628761051</v>
      </c>
      <c r="BL60" s="5"/>
      <c r="BM60" s="5"/>
      <c r="BN60" s="8"/>
      <c r="BO60" s="8"/>
      <c r="BP60" s="19"/>
    </row>
    <row r="61" spans="1:68" x14ac:dyDescent="0.25">
      <c r="A61" s="18">
        <v>46147</v>
      </c>
      <c r="B61" t="s">
        <v>61</v>
      </c>
      <c r="C61" s="5">
        <v>923.3</v>
      </c>
      <c r="D61" s="6">
        <v>0.230825</v>
      </c>
      <c r="E61" s="6">
        <v>898.9</v>
      </c>
      <c r="F61" s="6">
        <v>0.22472500000000001</v>
      </c>
      <c r="G61" s="6">
        <f>IFERROR((D61+F61)/2, 0)</f>
        <v>0.22777500000000001</v>
      </c>
      <c r="H61" s="7">
        <f>IFERROR(IF(AVERAGE(C61,E61)&gt;$BN$7,AVERAGE(C61,E61),0), 0)</f>
        <v>911.09999999999991</v>
      </c>
      <c r="I61" s="7">
        <f>IFERROR(IF(AND(D61=0,F61=0),0,IF(H61&gt;$BN$6,MAX(D61,F61),G61)), 0)</f>
        <v>0.230825</v>
      </c>
      <c r="J61" s="6">
        <f>IFERROR(IF(AND(D61&gt;0,F61&gt;0),ABS(D61-F61)/AVERAGE(D61,F61),0), 0)</f>
        <v>2.6780814400175587E-2</v>
      </c>
      <c r="K61" s="6">
        <v>30405.8</v>
      </c>
      <c r="L61" s="6">
        <v>30408.3</v>
      </c>
      <c r="M61" s="8">
        <f>IFERROR((L61-K61)*1000, 0)</f>
        <v>2500</v>
      </c>
      <c r="N61" s="6">
        <v>0.87599999999999989</v>
      </c>
      <c r="O61" s="8" cm="1">
        <f t="array" ref="O61">IF(
    AND($H61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($H61 / 1000) * O$10 * $BN$4 * 0.25
    ),
    0
)
+
IF(
    $N61 &lt; 0.875,
    MAX(0, MIN(($H61 / 1000) * O$10 * $BN$4, O$11 * 0.876) - (O$11 * $N61)) * 0.25,
    0
)</f>
        <v>0</v>
      </c>
      <c r="P61" s="8" cm="1">
        <f t="array" ref="P61">IF(
    AND($H61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($H61 / 1000) * P$10 * $BN$4 * 0.25
    ),
    0
)
+
IF(
    $N61 &lt; 0.875,
    MAX(0, MIN(($H61 / 1000) * P$10 * $BN$4, P$11 * 0.876) - (P$11 * $N61)) * 0.25,
    0
)</f>
        <v>0</v>
      </c>
      <c r="Q61" s="8" cm="1">
        <f t="array" ref="Q61">IF(
    AND($H61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($H61 / 1000) * Q$10 * $BN$4 * 0.25
    ),
    0
)
+
IF(
    $N61 &lt; 0.875,
    MAX(0, MIN(($H61 / 1000) * Q$10 * $BN$4, Q$11 * 0.876) - (Q$11 * $N61)) * 0.25,
    0
)</f>
        <v>0</v>
      </c>
      <c r="R61" s="8" cm="1">
        <f t="array" ref="R61">IF(
    AND($H61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($H61 / 1000) * R$10 * $BN$4 * 0.25
    ),
    0
)
+
IF(
    $N61 &lt; 0.875,
    MAX(0, MIN(($H61 / 1000) * R$10 * $BN$4, R$11 * 0.876) - (R$11 * $N61)) * 0.25,
    0
)</f>
        <v>0</v>
      </c>
      <c r="S61" s="8" cm="1">
        <f t="array" ref="S61">IF(
    AND($H61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($H61 / 1000) * S$10 * $BN$4 * 0.25
    ),
    0
)
+
IF(
    $N61 &lt; 0.875,
    MAX(0, MIN(($H61 / 1000) * S$10 * $BN$4, S$11 * 0.876) - (S$11 * $N61)) * 0.25,
    0
)</f>
        <v>0</v>
      </c>
      <c r="T61" s="8" cm="1">
        <f t="array" ref="T61">IF(
    AND($H61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($H61 / 1000) * T$10 * $BN$4 * 0.25
    ),
    0
)
+
IF(
    $N61 &lt; 0.875,
    MAX(0, MIN(($H61 / 1000) * T$10 * $BN$4, T$11 * 0.876) - (T$11 * $N61)) * 0.25,
    0
)</f>
        <v>0</v>
      </c>
      <c r="U61" s="8" cm="1">
        <f t="array" ref="U61">IF(
    AND($H61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($H61 / 1000) * U$10 * $BN$4 * 0.25
    ),
    0
)
+
IF(
    $N61 &lt; 0.875,
    MAX(0, MIN(($H61 / 1000) * U$10 * $BN$4, U$11 * 0.876) - (U$11 * $N61)) * 0.25,
    0
)</f>
        <v>0</v>
      </c>
      <c r="V61" s="8" cm="1">
        <f t="array" ref="V61">IF(
    AND($H61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($H61 / 1000) * V$10 * $BN$4 * 0.25
    ),
    0
)
+
IF(
    $N61 &lt; 0.875,
    MAX(0, MIN(($H61 / 1000) * V$10 * $BN$4, V$11 * 0.876) - (V$11 * $N61)) * 0.25,
    0
)</f>
        <v>0</v>
      </c>
      <c r="W61" s="8" cm="1">
        <f t="array" ref="W61">IF(
    AND($H61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($H61 / 1000) * W$10 * $BN$4 * 0.25
    ),
    0
)
+
IF(
    $N61 &lt; 0.875,
    MAX(0, MIN(($H61 / 1000) * W$10 * $BN$4, W$11 * 0.876) - (W$11 * $N61)) * 0.25,
    0
)</f>
        <v>0</v>
      </c>
      <c r="X61" s="8" cm="1">
        <f t="array" ref="X61">IF(
    AND($H61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($H61 / 1000) * X$10 * $BN$4 * 0.25
    ),
    0
)
+
IF(
    $N61 &lt; 0.875,
    MAX(0, MIN(($H61 / 1000) * X$10 * $BN$4, X$11 * 0.876) - (X$11 * $N61)) * 0.25,
    0
)</f>
        <v>0</v>
      </c>
      <c r="Y61" s="8" cm="1">
        <f t="array" ref="Y61">IF(
    AND($H61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($H61 / 1000) * Y$10 * $BN$4 * 0.25
    ),
    0
)
+
IF(
    $N61 &lt; 0.875,
    MAX(0, MIN(($H61 / 1000) * Y$10 * $BN$4, Y$11 * 0.876) - (Y$11 * $N61)) * 0.25,
    0
)</f>
        <v>0</v>
      </c>
      <c r="Z61" s="8" cm="1">
        <f t="array" ref="Z61">IF(
    AND($H61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($H61 / 1000) * Z$10 * $BN$4 * 0.25
    ),
    0
)
+
IF(
    $N61 &lt; 0.875,
    MAX(0, MIN(($H61 / 1000) * Z$10 * $BN$4, Z$11 * 0.876) - (Z$11 * $N61)) * 0.25,
    0
)</f>
        <v>0</v>
      </c>
      <c r="AA61" s="8">
        <f>AVERAGE(TabellaMar2026[[#This Row],[Colonna24]:[Colonna20]])</f>
        <v>0</v>
      </c>
      <c r="AB61" s="8">
        <f>MAX(TabellaMar2026[[#This Row],[Colonna24]:[Colonna20]])</f>
        <v>0</v>
      </c>
      <c r="AC61" s="35">
        <f>MIN(TabellaMar2026[[#This Row],[Colonna24]:[Colonna20]])</f>
        <v>0</v>
      </c>
      <c r="AD61" s="44">
        <f>SUM(TabellaMar2026[[#This Row],[Colonna24]:[Colonna20]])</f>
        <v>0</v>
      </c>
      <c r="AE61" s="36">
        <f>IF(
    AND($H61 &gt; $BN$7, Tabella01MarzoInverter[[#This Row],[Active power TX2-INV-1]] &lt;= 0, Tabella01MarzoInverter[[#This Row],[TX2 - Average Power]] &lt;= 0),
    MIN(($H61 / 1000) * AE$10 * $BN$4, AE$11 * 0.876) * 0.25,
    IF(
        AND($H61 &gt; $BN$7, Tabella01MarzoInverter[[#This Row],[Active power TX2-INV-1]] &lt;= 0),
        Tabella01MarzoInverter[[#This Row],[TX2 - Average Power]] * 0.25,
        0
    )
    +
    IF(
        $N61 &lt; 0.875,
        MAX(0, MIN(($H61 / 1000) * AE$10 * $BN$4, AE$11 * 0.876) - (AE$11 * $N61)) * 0.25,
        0
    )
)</f>
        <v>0</v>
      </c>
      <c r="AF61" s="36">
        <f>IF(
    AND($H61 &gt; $BN$7, Tabella01MarzoInverter[[#This Row],[Active power TX2-INV-2]] &lt;= 0, Tabella01MarzoInverter[[#This Row],[TX2 - Max Power]] &lt;= 0),
    MIN(($H61 / 1000) * AF$10 * $BN$4, AF$11 * 0.876) * 0.25,
    IF(
        AND($H61 &gt; $BN$7, Tabella01MarzoInverter[[#This Row],[Active power TX2-INV-2]] &lt;= 0),
        Tabella01MarzoInverter[[#This Row],[TX2 - Max Power]] * 0.25,
        0
    )
    +
    IF(
        $N61 &lt; 0.875,
        MAX(0, MIN(($H61 / 1000) * AF$10 * $BN$4, AF$11 * 0.876) - (AF$11 * $N61)) * 0.25,
        0
    )
)</f>
        <v>0</v>
      </c>
      <c r="AG61" s="36">
        <f>IF(
    AND($H61 &gt; $BN$7, Tabella01MarzoInverter[[#This Row],[Active power TX2-INV-3]] &lt;= 0, Tabella01MarzoInverter[[#This Row],[TX2 - Min Power]] &lt;= 0),
    MIN(($H61 / 1000) * AG$10 * $BN$4, AG$11 * 0.876) * 0.25,
    IF(
        AND($H61 &gt; $BN$7, Tabella01MarzoInverter[[#This Row],[Active power TX2-INV-3]] &lt;= 0),
        Tabella01MarzoInverter[[#This Row],[TX2 - Min Power]] * 0.25,
        0
    )
    +
    IF(
        $N61 &lt; 0.875,
        MAX(0, MIN(($H61 / 1000) * AG$10 * $BN$4, AG$11 * 0.876) - (AG$11 * $N61)) * 0.25,
        0
    )
)</f>
        <v>0</v>
      </c>
      <c r="AH61" s="36">
        <f>IF(
    AND($H61 &gt; $BN$7, Tabella01MarzoInverter[[#This Row],[Active power TX2-INV-4]] &lt;= 0, Tabella01MarzoInverter[[#This Row],[Active power TX3-INV-1]] &lt;= 0),
    MIN(($H61 / 1000) * AH$10 * $BN$4, AH$11 * 0.876) * 0.25,
    IF(
        AND($H61 &gt; $BN$7, Tabella01MarzoInverter[[#This Row],[Active power TX2-INV-4]] &lt;= 0),
        Tabella01MarzoInverter[[#This Row],[Active power TX3-INV-1]] * 0.25,
        0
    )
    +
    IF(
        $N61 &lt; 0.875,
        MAX(0, MIN(($H61 / 1000) * AH$10 * $BN$4, AH$11 * 0.876) - (AH$11 * $N61)) * 0.25,
        0
    )
)</f>
        <v>0</v>
      </c>
      <c r="AI61" s="36">
        <f>IF(
    AND($H61 &gt; $BN$7, Tabella01MarzoInverter[[#This Row],[Active power TX2-INV-5]] &lt;= 0, Tabella01MarzoInverter[[#This Row],[Active power TX3-INV-2]] &lt;= 0),
    MIN(($H61 / 1000) * AI$10 * $BN$4, AI$11 * 0.876) * 0.25,
    IF(
        AND($H61 &gt; $BN$7, Tabella01MarzoInverter[[#This Row],[Active power TX2-INV-5]] &lt;= 0),
        Tabella01MarzoInverter[[#This Row],[Active power TX3-INV-2]] * 0.25,
        0
    )
    +
    IF(
        $N61 &lt; 0.875,
        MAX(0, MIN(($H61 / 1000) * AI$10 * $BN$4, AI$11 * 0.876) - (AI$11 * $N61)) * 0.25,
        0
    )
)</f>
        <v>0</v>
      </c>
      <c r="AJ61" s="36">
        <f>IF(
    AND($H61 &gt; $BN$7, Tabella01MarzoInverter[[#This Row],[Active power TX2-INV-6]] &lt;= 0, Tabella01MarzoInverter[[#This Row],[Active power TX3-INV-3]] &lt;= 0),
    MIN(($H61 / 1000) * AJ$10 * $BN$4, AJ$11 * 0.876) * 0.25,
    IF(
        AND($H61 &gt; $BN$7, Tabella01MarzoInverter[[#This Row],[Active power TX2-INV-6]] &lt;= 0),
        Tabella01MarzoInverter[[#This Row],[Active power TX3-INV-3]] * 0.25,
        0
    )
    +
    IF(
        $N61 &lt; 0.875,
        MAX(0, MIN(($H61 / 1000) * AJ$10 * $BN$4, AJ$11 * 0.876) - (AJ$11 * $N61)) * 0.25,
        0
    )
)</f>
        <v>0</v>
      </c>
      <c r="AK61" s="36">
        <f>IF(
    AND($H61 &gt; $BN$7, Tabella01MarzoInverter[[#This Row],[Active power TX2-INV-7]] &lt;= 0, Tabella01MarzoInverter[[#This Row],[Active power TX3-INV-4]] &lt;= 0),
    MIN(($H61 / 1000) * AK$10 * $BN$4, AK$11 * 0.876) * 0.25,
    IF(
        AND($H61 &gt; $BN$7, Tabella01MarzoInverter[[#This Row],[Active power TX2-INV-7]] &lt;= 0),
        Tabella01MarzoInverter[[#This Row],[Active power TX3-INV-4]] * 0.25,
        0
    )
    +
    IF(
        $N61 &lt; 0.875,
        MAX(0, MIN(($H61 / 1000) * AK$10 * $BN$4, AK$11 * 0.876) - (AK$11 * $N61)) * 0.25,
        0
    )
)</f>
        <v>0</v>
      </c>
      <c r="AL61" s="36">
        <f>IF(
    AND($H61 &gt; $BN$7, Tabella01MarzoInverter[[#This Row],[Active power TX2-INV-8]] &lt;= 0, Tabella01MarzoInverter[[#This Row],[Active power TX3-INV-5]] &lt;= 0),
    MIN(($H61 / 1000) * AL$10 * $BN$4, AL$11 * 0.876) * 0.25,
    IF(
        AND($H61 &gt; $BN$7, Tabella01MarzoInverter[[#This Row],[Active power TX2-INV-8]] &lt;= 0),
        Tabella01MarzoInverter[[#This Row],[Active power TX3-INV-5]] * 0.25,
        0
    )
    +
    IF(
        $N61 &lt; 0.875,
        MAX(0, MIN(($H61 / 1000) * AL$10 * $BN$4, AL$11 * 0.876) - (AL$11 * $N61)) * 0.25,
        0
    )
)</f>
        <v>0</v>
      </c>
      <c r="AM61" s="36">
        <f>IF(
    AND($H61 &gt; $BN$7, Tabella01MarzoInverter[[#This Row],[Active power TX2-INV-9]] &lt;= 0, Tabella01MarzoInverter[[#This Row],[Active power TX3-INV-6]] &lt;= 0),
    MIN(($H61 / 1000) * AM$10 * $BN$4, AM$11 * 0.876) * 0.25,
    IF(
        AND($H61 &gt; $BN$7, Tabella01MarzoInverter[[#This Row],[Active power TX2-INV-9]] &lt;= 0),
        Tabella01MarzoInverter[[#This Row],[Active power TX3-INV-6]] * 0.25,
        0
    )
    +
    IF(
        $N61 &lt; 0.875,
        MAX(0, MIN(($H61 / 1000) * AM$10 * $BN$4, AM$11 * 0.876) - (AM$11 * $N61)) * 0.25,
        0
    )
)</f>
        <v>0</v>
      </c>
      <c r="AN61" s="36">
        <f>IF(
    AND($H61 &gt; $BN$7, Tabella01MarzoInverter[[#This Row],[Active power TX2-INV-10]] &lt;= 0, Tabella01MarzoInverter[[#This Row],[Active power TX3-INV-7]] &lt;= 0),
    MIN(($H61 / 1000) * AN$10 * $BN$4, AN$11 * 0.876) * 0.25,
    IF(
        AND($H61 &gt; $BN$7, Tabella01MarzoInverter[[#This Row],[Active power TX2-INV-10]] &lt;= 0),
        Tabella01MarzoInverter[[#This Row],[Active power TX3-INV-7]] * 0.25,
        0
    )
    +
    IF(
        $N61 &lt; 0.875,
        MAX(0, MIN(($H61 / 1000) * AN$10 * $BN$4, AN$11 * 0.876) - (AN$11 * $N61)) * 0.25,
        0
    )
)</f>
        <v>0</v>
      </c>
      <c r="AO61" s="36">
        <f>IF(
    AND($H61 &gt; $BN$7, Tabella01MarzoInverter[[#This Row],[Active power TX2-INV-11]] &lt;= 0, Tabella01MarzoInverter[[#This Row],[Active power TX3-INV-8]] &lt;= 0),
    MIN(($H61 / 1000) * AO$10 * $BN$4, AO$11 * 0.876) * 0.25,
    IF(
        AND($H61 &gt; $BN$7, Tabella01MarzoInverter[[#This Row],[Active power TX2-INV-11]] &lt;= 0),
        Tabella01MarzoInverter[[#This Row],[Active power TX3-INV-8]] * 0.25,
        0
    )
    +
    IF(
        $N61 &lt; 0.875,
        MAX(0, MIN(($H61 / 1000) * AO$10 * $BN$4, AO$11 * 0.876) - (AO$11 * $N61)) * 0.25,
        0
    )
)</f>
        <v>0</v>
      </c>
      <c r="AP61" s="36">
        <f>IF(
    AND($H61 &gt; $BN$7, Tabella01MarzoInverter[[#This Row],[Active power TX2-INV-12]] &lt;= 0, Tabella01MarzoInverter[[#This Row],[Active power TX3-INV-9]] &lt;= 0),
    MIN(($H61 / 1000) * AP$10 * $BN$4, AP$11 * 0.876) * 0.25,
    IF(
        AND($H61 &gt; $BN$7, Tabella01MarzoInverter[[#This Row],[Active power TX2-INV-12]] &lt;= 0),
        Tabella01MarzoInverter[[#This Row],[Active power TX3-INV-9]] * 0.25,
        0
    )
    +
    IF(
        $N61 &lt; 0.875,
        MAX(0, MIN(($H61 / 1000) * AP$10 * $BN$4, AP$11 * 0.876) - (AP$11 * $N61)) * 0.25,
        0
    )
)</f>
        <v>0</v>
      </c>
      <c r="AQ61" s="8">
        <f>AVERAGE(TabellaMar2026[[#This Row],[Colonna39]:[Colonna6]])</f>
        <v>0</v>
      </c>
      <c r="AR61" s="8">
        <f>MAX(TabellaMar2026[[#This Row],[Colonna39]:[Colonna6]])</f>
        <v>0</v>
      </c>
      <c r="AS61" s="35">
        <f>MIN(TabellaMar2026[[#This Row],[Colonna39]:[Colonna6]])</f>
        <v>0</v>
      </c>
      <c r="AT61" s="48">
        <f>SUM(TabellaMar2026[[#This Row],[Colonna39]:[Colonna6]])</f>
        <v>0</v>
      </c>
      <c r="AU61" s="36" cm="1">
        <f t="array" ref="AU61">IF(
    AND($H61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($H61 / 1000) * AU$10 * $BN$4 * 0.25
    ),
    0
)
+
IF(
    $N61 &lt; 0.875,
    MAX(0, MIN(($H61 / 1000) * AU$10 * $BN$4, AU$11 * 0.876) - (AU$11 * $N61)) * 0.25,
    0
)</f>
        <v>0</v>
      </c>
      <c r="AV61" s="36" cm="1">
        <f t="array" ref="AV61">IF(
    AND($H61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($H61 / 1000) * AV$10 * $BN$4 * 0.25
    ),
    0
)
+
IF(
    $N61 &lt; 0.875,
    MAX(0, MIN(($H61 / 1000) * AV$10 * $BN$4, AV$11 * 0.876) - (AV$11 * $N61)) * 0.25,
    0
)</f>
        <v>0</v>
      </c>
      <c r="AW61" s="36" cm="1">
        <f t="array" ref="AW61">IF(
    AND($H61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($H61 / 1000) * AW$10 * $BN$4 * 0.25
    ),
    0
)
+
IF(
    $N61 &lt; 0.875,
    MAX(0, MIN(($H61 / 1000) * AW$10 * $BN$4, AW$11 * 0.876) - (AW$11 * $N61)) * 0.25,
    0
)</f>
        <v>0</v>
      </c>
      <c r="AX61" s="36" cm="1">
        <f t="array" ref="AX61">IF(
    AND($H61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($H61 / 1000) * AX$10 * $BN$4 * 0.25
    ),
    0
)
+
IF(
    $N61 &lt; 0.875,
    MAX(0, MIN(($H61 / 1000) * AX$10 * $BN$4, AX$11 * 0.876) - (AX$11 * $N61)) * 0.25,
    0
)</f>
        <v>0</v>
      </c>
      <c r="AY61" s="36" cm="1">
        <f t="array" ref="AY61">IF(
    AND($H61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($H61 / 1000) * AY$10 * $BN$4 * 0.25
    ),
    0
)
+
IF(
    $N61 &lt; 0.875,
    MAX(0, MIN(($H61 / 1000) * AY$10 * $BN$4, AY$11 * 0.876) - (AY$11 * $N61)) * 0.25,
    0
)</f>
        <v>0</v>
      </c>
      <c r="AZ61" s="36" cm="1">
        <f t="array" ref="AZ61">IF(
    AND($H61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($H61 / 1000) * AZ$10 * $BN$4 * 0.25
    ),
    0
)
+
IF(
    $N61 &lt; 0.875,
    MAX(0, MIN(($H61 / 1000) * AZ$10 * $BN$4, AZ$11 * 0.876) - (AZ$11 * $N61)) * 0.25,
    0
)</f>
        <v>0</v>
      </c>
      <c r="BA61" s="36" cm="1">
        <f t="array" ref="BA61">IF(
    AND($H61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($H61 / 1000) * BA$10 * $BN$4 * 0.25
    ),
    0
)
+
IF(
    $N61 &lt; 0.875,
    MAX(0, MIN(($H61 / 1000) * BA$10 * $BN$4, BA$11 * 0.876) - (BA$11 * $N61)) * 0.25,
    0
)</f>
        <v>0</v>
      </c>
      <c r="BB61" s="36" cm="1">
        <f t="array" ref="BB61">IF(
    AND($H61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($H61 / 1000) * BB$10 * $BN$4 * 0.25
    ),
    0
)
+
IF(
    $N61 &lt; 0.875,
    MAX(0, MIN(($H61 / 1000) * BB$10 * $BN$4, BB$11 * 0.876) - (BB$11 * $N61)) * 0.25,
    0
)</f>
        <v>0</v>
      </c>
      <c r="BC61" s="36" cm="1">
        <f t="array" ref="BC61">IF(
    AND($H61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($H61 / 1000) * BC$10 * $BN$4 * 0.25
    ),
    0
)
+
IF(
    $N61 &lt; 0.875,
    MAX(0, MIN(($H61 / 1000) * BC$10 * $BN$4, BC$11 * 0.876) - (BC$11 * $N61)) * 0.25,
    0
)</f>
        <v>0</v>
      </c>
      <c r="BD61" s="36" cm="1">
        <f t="array" ref="BD61">IF(
    AND($H61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($H61 / 1000) * BD$10 * $BN$4 * 0.25
    ),
    0
)
+
IF(
    $N61 &lt; 0.875,
    MAX(0, MIN(($H61 / 1000) * BD$10 * $BN$4, BD$11 * 0.876) - (BD$11 * $N61)) * 0.25,
    0
)</f>
        <v>0</v>
      </c>
      <c r="BE61" s="36" cm="1">
        <f t="array" ref="BE61">IF(
    AND($H61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($H61 / 1000) * BE$10 * $BN$4 * 0.25
    ),
    0
)
+
IF(
    $N61 &lt; 0.875,
    MAX(0, MIN(($H61 / 1000) * BE$10 * $BN$4, BE$11 * 0.876) - (BE$11 * $N61)) * 0.25,
    0
)</f>
        <v>0</v>
      </c>
      <c r="BF61" s="36" cm="1">
        <f t="array" ref="BF61">IF(
    AND($H61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($H61 / 1000) * BF$10 * $BN$4 * 0.25
    ),
    0
)
+
IF(
    $N61 &lt; 0.875,
    MAX(0, MIN(($H61 / 1000) * BF$10 * $BN$4, BF$11 * 0.876) - (BF$11 * $N61)) * 0.25,
    0
)</f>
        <v>0</v>
      </c>
      <c r="BG61" s="8">
        <f>AVERAGE(TabellaMar2026[[#This Row],[Colonna55]:[Colonna53]])</f>
        <v>0</v>
      </c>
      <c r="BH61" s="8">
        <f>MAX(TabellaMar2026[[#This Row],[Colonna55]:[Colonna53]])</f>
        <v>0</v>
      </c>
      <c r="BI61" s="35">
        <f>MIN(TabellaMar2026[[#This Row],[Colonna55]:[Colonna53]])</f>
        <v>0</v>
      </c>
      <c r="BJ61" s="48">
        <f>SUM(TabellaMar2026[[#This Row],[Colonna54]:[Colonna53]])</f>
        <v>0</v>
      </c>
      <c r="BK61" s="54">
        <f>(SUM(Tabella01MarzoInverter[[Active power TX1-INV-1]:[Active power TX3-INV-12]]) * 0.25) / (12625 * (SUM($G$15:$H$110) * 0.25 / 1000))</f>
        <v>1.014229628761051</v>
      </c>
      <c r="BL61" s="5"/>
      <c r="BM61" s="5"/>
      <c r="BN61" s="8"/>
      <c r="BO61" s="8"/>
      <c r="BP61" s="19"/>
    </row>
    <row r="62" spans="1:68" x14ac:dyDescent="0.25">
      <c r="A62" s="18">
        <v>46147</v>
      </c>
      <c r="B62" t="s">
        <v>62</v>
      </c>
      <c r="C62" s="5">
        <v>868.7</v>
      </c>
      <c r="D62" s="6">
        <v>0.21717500000000001</v>
      </c>
      <c r="E62" s="6">
        <v>860.3</v>
      </c>
      <c r="F62" s="6">
        <v>0.21507499999999999</v>
      </c>
      <c r="G62" s="6">
        <f>IFERROR((D62+F62)/2, 0)</f>
        <v>0.21612500000000001</v>
      </c>
      <c r="H62" s="7">
        <f>IFERROR(IF(AVERAGE(C62,E62)&gt;$BN$7,AVERAGE(C62,E62),0), 0)</f>
        <v>864.5</v>
      </c>
      <c r="I62" s="7">
        <f>IFERROR(IF(AND(D62=0,F62=0),0,IF(H62&gt;$BN$6,MAX(D62,F62),G62)), 0)</f>
        <v>0.21717500000000001</v>
      </c>
      <c r="J62" s="6">
        <f>IFERROR(IF(AND(D62&gt;0,F62&gt;0),ABS(D62-F62)/AVERAGE(D62,F62),0), 0)</f>
        <v>9.7165991902834863E-3</v>
      </c>
      <c r="K62" s="6">
        <v>30408.3</v>
      </c>
      <c r="L62" s="6">
        <v>30410.7</v>
      </c>
      <c r="M62" s="8">
        <f>IFERROR((L62-K62)*1000, 0)</f>
        <v>2400.0000000014552</v>
      </c>
      <c r="N62" s="6">
        <v>0.87599999999999989</v>
      </c>
      <c r="O62" s="8" cm="1">
        <f t="array" ref="O62">IF(
    AND($H62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($H62 / 1000) * O$10 * $BN$4 * 0.25
    ),
    0
)
+
IF(
    $N62 &lt; 0.875,
    MAX(0, MIN(($H62 / 1000) * O$10 * $BN$4, O$11 * 0.876) - (O$11 * $N62)) * 0.25,
    0
)</f>
        <v>0</v>
      </c>
      <c r="P62" s="8" cm="1">
        <f t="array" ref="P62">IF(
    AND($H62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($H62 / 1000) * P$10 * $BN$4 * 0.25
    ),
    0
)
+
IF(
    $N62 &lt; 0.875,
    MAX(0, MIN(($H62 / 1000) * P$10 * $BN$4, P$11 * 0.876) - (P$11 * $N62)) * 0.25,
    0
)</f>
        <v>0</v>
      </c>
      <c r="Q62" s="8" cm="1">
        <f t="array" ref="Q62">IF(
    AND($H62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($H62 / 1000) * Q$10 * $BN$4 * 0.25
    ),
    0
)
+
IF(
    $N62 &lt; 0.875,
    MAX(0, MIN(($H62 / 1000) * Q$10 * $BN$4, Q$11 * 0.876) - (Q$11 * $N62)) * 0.25,
    0
)</f>
        <v>0</v>
      </c>
      <c r="R62" s="8" cm="1">
        <f t="array" ref="R62">IF(
    AND($H62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($H62 / 1000) * R$10 * $BN$4 * 0.25
    ),
    0
)
+
IF(
    $N62 &lt; 0.875,
    MAX(0, MIN(($H62 / 1000) * R$10 * $BN$4, R$11 * 0.876) - (R$11 * $N62)) * 0.25,
    0
)</f>
        <v>0</v>
      </c>
      <c r="S62" s="8" cm="1">
        <f t="array" ref="S62">IF(
    AND($H62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($H62 / 1000) * S$10 * $BN$4 * 0.25
    ),
    0
)
+
IF(
    $N62 &lt; 0.875,
    MAX(0, MIN(($H62 / 1000) * S$10 * $BN$4, S$11 * 0.876) - (S$11 * $N62)) * 0.25,
    0
)</f>
        <v>0</v>
      </c>
      <c r="T62" s="8" cm="1">
        <f t="array" ref="T62">IF(
    AND($H62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($H62 / 1000) * T$10 * $BN$4 * 0.25
    ),
    0
)
+
IF(
    $N62 &lt; 0.875,
    MAX(0, MIN(($H62 / 1000) * T$10 * $BN$4, T$11 * 0.876) - (T$11 * $N62)) * 0.25,
    0
)</f>
        <v>0</v>
      </c>
      <c r="U62" s="8" cm="1">
        <f t="array" ref="U62">IF(
    AND($H62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($H62 / 1000) * U$10 * $BN$4 * 0.25
    ),
    0
)
+
IF(
    $N62 &lt; 0.875,
    MAX(0, MIN(($H62 / 1000) * U$10 * $BN$4, U$11 * 0.876) - (U$11 * $N62)) * 0.25,
    0
)</f>
        <v>0</v>
      </c>
      <c r="V62" s="8" cm="1">
        <f t="array" ref="V62">IF(
    AND($H62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($H62 / 1000) * V$10 * $BN$4 * 0.25
    ),
    0
)
+
IF(
    $N62 &lt; 0.875,
    MAX(0, MIN(($H62 / 1000) * V$10 * $BN$4, V$11 * 0.876) - (V$11 * $N62)) * 0.25,
    0
)</f>
        <v>0</v>
      </c>
      <c r="W62" s="8" cm="1">
        <f t="array" ref="W62">IF(
    AND($H62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($H62 / 1000) * W$10 * $BN$4 * 0.25
    ),
    0
)
+
IF(
    $N62 &lt; 0.875,
    MAX(0, MIN(($H62 / 1000) * W$10 * $BN$4, W$11 * 0.876) - (W$11 * $N62)) * 0.25,
    0
)</f>
        <v>0</v>
      </c>
      <c r="X62" s="8" cm="1">
        <f t="array" ref="X62">IF(
    AND($H62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($H62 / 1000) * X$10 * $BN$4 * 0.25
    ),
    0
)
+
IF(
    $N62 &lt; 0.875,
    MAX(0, MIN(($H62 / 1000) * X$10 * $BN$4, X$11 * 0.876) - (X$11 * $N62)) * 0.25,
    0
)</f>
        <v>0</v>
      </c>
      <c r="Y62" s="8" cm="1">
        <f t="array" ref="Y62">IF(
    AND($H62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($H62 / 1000) * Y$10 * $BN$4 * 0.25
    ),
    0
)
+
IF(
    $N62 &lt; 0.875,
    MAX(0, MIN(($H62 / 1000) * Y$10 * $BN$4, Y$11 * 0.876) - (Y$11 * $N62)) * 0.25,
    0
)</f>
        <v>0</v>
      </c>
      <c r="Z62" s="8" cm="1">
        <f t="array" ref="Z62">IF(
    AND($H62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($H62 / 1000) * Z$10 * $BN$4 * 0.25
    ),
    0
)
+
IF(
    $N62 &lt; 0.875,
    MAX(0, MIN(($H62 / 1000) * Z$10 * $BN$4, Z$11 * 0.876) - (Z$11 * $N62)) * 0.25,
    0
)</f>
        <v>0</v>
      </c>
      <c r="AA62" s="8">
        <f>AVERAGE(TabellaMar2026[[#This Row],[Colonna24]:[Colonna20]])</f>
        <v>0</v>
      </c>
      <c r="AB62" s="8">
        <f>MAX(TabellaMar2026[[#This Row],[Colonna24]:[Colonna20]])</f>
        <v>0</v>
      </c>
      <c r="AC62" s="35">
        <f>MIN(TabellaMar2026[[#This Row],[Colonna24]:[Colonna20]])</f>
        <v>0</v>
      </c>
      <c r="AD62" s="44">
        <f>SUM(TabellaMar2026[[#This Row],[Colonna24]:[Colonna20]])</f>
        <v>0</v>
      </c>
      <c r="AE62" s="36">
        <f>IF(
    AND($H62 &gt; $BN$7, Tabella01MarzoInverter[[#This Row],[Active power TX2-INV-1]] &lt;= 0, Tabella01MarzoInverter[[#This Row],[TX2 - Average Power]] &lt;= 0),
    MIN(($H62 / 1000) * AE$10 * $BN$4, AE$11 * 0.876) * 0.25,
    IF(
        AND($H62 &gt; $BN$7, Tabella01MarzoInverter[[#This Row],[Active power TX2-INV-1]] &lt;= 0),
        Tabella01MarzoInverter[[#This Row],[TX2 - Average Power]] * 0.25,
        0
    )
    +
    IF(
        $N62 &lt; 0.875,
        MAX(0, MIN(($H62 / 1000) * AE$10 * $BN$4, AE$11 * 0.876) - (AE$11 * $N62)) * 0.25,
        0
    )
)</f>
        <v>0</v>
      </c>
      <c r="AF62" s="36">
        <f>IF(
    AND($H62 &gt; $BN$7, Tabella01MarzoInverter[[#This Row],[Active power TX2-INV-2]] &lt;= 0, Tabella01MarzoInverter[[#This Row],[TX2 - Max Power]] &lt;= 0),
    MIN(($H62 / 1000) * AF$10 * $BN$4, AF$11 * 0.876) * 0.25,
    IF(
        AND($H62 &gt; $BN$7, Tabella01MarzoInverter[[#This Row],[Active power TX2-INV-2]] &lt;= 0),
        Tabella01MarzoInverter[[#This Row],[TX2 - Max Power]] * 0.25,
        0
    )
    +
    IF(
        $N62 &lt; 0.875,
        MAX(0, MIN(($H62 / 1000) * AF$10 * $BN$4, AF$11 * 0.876) - (AF$11 * $N62)) * 0.25,
        0
    )
)</f>
        <v>0</v>
      </c>
      <c r="AG62" s="36">
        <f>IF(
    AND($H62 &gt; $BN$7, Tabella01MarzoInverter[[#This Row],[Active power TX2-INV-3]] &lt;= 0, Tabella01MarzoInverter[[#This Row],[TX2 - Min Power]] &lt;= 0),
    MIN(($H62 / 1000) * AG$10 * $BN$4, AG$11 * 0.876) * 0.25,
    IF(
        AND($H62 &gt; $BN$7, Tabella01MarzoInverter[[#This Row],[Active power TX2-INV-3]] &lt;= 0),
        Tabella01MarzoInverter[[#This Row],[TX2 - Min Power]] * 0.25,
        0
    )
    +
    IF(
        $N62 &lt; 0.875,
        MAX(0, MIN(($H62 / 1000) * AG$10 * $BN$4, AG$11 * 0.876) - (AG$11 * $N62)) * 0.25,
        0
    )
)</f>
        <v>0</v>
      </c>
      <c r="AH62" s="36">
        <f>IF(
    AND($H62 &gt; $BN$7, Tabella01MarzoInverter[[#This Row],[Active power TX2-INV-4]] &lt;= 0, Tabella01MarzoInverter[[#This Row],[Active power TX3-INV-1]] &lt;= 0),
    MIN(($H62 / 1000) * AH$10 * $BN$4, AH$11 * 0.876) * 0.25,
    IF(
        AND($H62 &gt; $BN$7, Tabella01MarzoInverter[[#This Row],[Active power TX2-INV-4]] &lt;= 0),
        Tabella01MarzoInverter[[#This Row],[Active power TX3-INV-1]] * 0.25,
        0
    )
    +
    IF(
        $N62 &lt; 0.875,
        MAX(0, MIN(($H62 / 1000) * AH$10 * $BN$4, AH$11 * 0.876) - (AH$11 * $N62)) * 0.25,
        0
    )
)</f>
        <v>0</v>
      </c>
      <c r="AI62" s="36">
        <f>IF(
    AND($H62 &gt; $BN$7, Tabella01MarzoInverter[[#This Row],[Active power TX2-INV-5]] &lt;= 0, Tabella01MarzoInverter[[#This Row],[Active power TX3-INV-2]] &lt;= 0),
    MIN(($H62 / 1000) * AI$10 * $BN$4, AI$11 * 0.876) * 0.25,
    IF(
        AND($H62 &gt; $BN$7, Tabella01MarzoInverter[[#This Row],[Active power TX2-INV-5]] &lt;= 0),
        Tabella01MarzoInverter[[#This Row],[Active power TX3-INV-2]] * 0.25,
        0
    )
    +
    IF(
        $N62 &lt; 0.875,
        MAX(0, MIN(($H62 / 1000) * AI$10 * $BN$4, AI$11 * 0.876) - (AI$11 * $N62)) * 0.25,
        0
    )
)</f>
        <v>0</v>
      </c>
      <c r="AJ62" s="36">
        <f>IF(
    AND($H62 &gt; $BN$7, Tabella01MarzoInverter[[#This Row],[Active power TX2-INV-6]] &lt;= 0, Tabella01MarzoInverter[[#This Row],[Active power TX3-INV-3]] &lt;= 0),
    MIN(($H62 / 1000) * AJ$10 * $BN$4, AJ$11 * 0.876) * 0.25,
    IF(
        AND($H62 &gt; $BN$7, Tabella01MarzoInverter[[#This Row],[Active power TX2-INV-6]] &lt;= 0),
        Tabella01MarzoInverter[[#This Row],[Active power TX3-INV-3]] * 0.25,
        0
    )
    +
    IF(
        $N62 &lt; 0.875,
        MAX(0, MIN(($H62 / 1000) * AJ$10 * $BN$4, AJ$11 * 0.876) - (AJ$11 * $N62)) * 0.25,
        0
    )
)</f>
        <v>0</v>
      </c>
      <c r="AK62" s="36">
        <f>IF(
    AND($H62 &gt; $BN$7, Tabella01MarzoInverter[[#This Row],[Active power TX2-INV-7]] &lt;= 0, Tabella01MarzoInverter[[#This Row],[Active power TX3-INV-4]] &lt;= 0),
    MIN(($H62 / 1000) * AK$10 * $BN$4, AK$11 * 0.876) * 0.25,
    IF(
        AND($H62 &gt; $BN$7, Tabella01MarzoInverter[[#This Row],[Active power TX2-INV-7]] &lt;= 0),
        Tabella01MarzoInverter[[#This Row],[Active power TX3-INV-4]] * 0.25,
        0
    )
    +
    IF(
        $N62 &lt; 0.875,
        MAX(0, MIN(($H62 / 1000) * AK$10 * $BN$4, AK$11 * 0.876) - (AK$11 * $N62)) * 0.25,
        0
    )
)</f>
        <v>0</v>
      </c>
      <c r="AL62" s="36">
        <f>IF(
    AND($H62 &gt; $BN$7, Tabella01MarzoInverter[[#This Row],[Active power TX2-INV-8]] &lt;= 0, Tabella01MarzoInverter[[#This Row],[Active power TX3-INV-5]] &lt;= 0),
    MIN(($H62 / 1000) * AL$10 * $BN$4, AL$11 * 0.876) * 0.25,
    IF(
        AND($H62 &gt; $BN$7, Tabella01MarzoInverter[[#This Row],[Active power TX2-INV-8]] &lt;= 0),
        Tabella01MarzoInverter[[#This Row],[Active power TX3-INV-5]] * 0.25,
        0
    )
    +
    IF(
        $N62 &lt; 0.875,
        MAX(0, MIN(($H62 / 1000) * AL$10 * $BN$4, AL$11 * 0.876) - (AL$11 * $N62)) * 0.25,
        0
    )
)</f>
        <v>0</v>
      </c>
      <c r="AM62" s="36">
        <f>IF(
    AND($H62 &gt; $BN$7, Tabella01MarzoInverter[[#This Row],[Active power TX2-INV-9]] &lt;= 0, Tabella01MarzoInverter[[#This Row],[Active power TX3-INV-6]] &lt;= 0),
    MIN(($H62 / 1000) * AM$10 * $BN$4, AM$11 * 0.876) * 0.25,
    IF(
        AND($H62 &gt; $BN$7, Tabella01MarzoInverter[[#This Row],[Active power TX2-INV-9]] &lt;= 0),
        Tabella01MarzoInverter[[#This Row],[Active power TX3-INV-6]] * 0.25,
        0
    )
    +
    IF(
        $N62 &lt; 0.875,
        MAX(0, MIN(($H62 / 1000) * AM$10 * $BN$4, AM$11 * 0.876) - (AM$11 * $N62)) * 0.25,
        0
    )
)</f>
        <v>0</v>
      </c>
      <c r="AN62" s="36">
        <f>IF(
    AND($H62 &gt; $BN$7, Tabella01MarzoInverter[[#This Row],[Active power TX2-INV-10]] &lt;= 0, Tabella01MarzoInverter[[#This Row],[Active power TX3-INV-7]] &lt;= 0),
    MIN(($H62 / 1000) * AN$10 * $BN$4, AN$11 * 0.876) * 0.25,
    IF(
        AND($H62 &gt; $BN$7, Tabella01MarzoInverter[[#This Row],[Active power TX2-INV-10]] &lt;= 0),
        Tabella01MarzoInverter[[#This Row],[Active power TX3-INV-7]] * 0.25,
        0
    )
    +
    IF(
        $N62 &lt; 0.875,
        MAX(0, MIN(($H62 / 1000) * AN$10 * $BN$4, AN$11 * 0.876) - (AN$11 * $N62)) * 0.25,
        0
    )
)</f>
        <v>0</v>
      </c>
      <c r="AO62" s="36">
        <f>IF(
    AND($H62 &gt; $BN$7, Tabella01MarzoInverter[[#This Row],[Active power TX2-INV-11]] &lt;= 0, Tabella01MarzoInverter[[#This Row],[Active power TX3-INV-8]] &lt;= 0),
    MIN(($H62 / 1000) * AO$10 * $BN$4, AO$11 * 0.876) * 0.25,
    IF(
        AND($H62 &gt; $BN$7, Tabella01MarzoInverter[[#This Row],[Active power TX2-INV-11]] &lt;= 0),
        Tabella01MarzoInverter[[#This Row],[Active power TX3-INV-8]] * 0.25,
        0
    )
    +
    IF(
        $N62 &lt; 0.875,
        MAX(0, MIN(($H62 / 1000) * AO$10 * $BN$4, AO$11 * 0.876) - (AO$11 * $N62)) * 0.25,
        0
    )
)</f>
        <v>0</v>
      </c>
      <c r="AP62" s="36">
        <f>IF(
    AND($H62 &gt; $BN$7, Tabella01MarzoInverter[[#This Row],[Active power TX2-INV-12]] &lt;= 0, Tabella01MarzoInverter[[#This Row],[Active power TX3-INV-9]] &lt;= 0),
    MIN(($H62 / 1000) * AP$10 * $BN$4, AP$11 * 0.876) * 0.25,
    IF(
        AND($H62 &gt; $BN$7, Tabella01MarzoInverter[[#This Row],[Active power TX2-INV-12]] &lt;= 0),
        Tabella01MarzoInverter[[#This Row],[Active power TX3-INV-9]] * 0.25,
        0
    )
    +
    IF(
        $N62 &lt; 0.875,
        MAX(0, MIN(($H62 / 1000) * AP$10 * $BN$4, AP$11 * 0.876) - (AP$11 * $N62)) * 0.25,
        0
    )
)</f>
        <v>0</v>
      </c>
      <c r="AQ62" s="8">
        <f>AVERAGE(TabellaMar2026[[#This Row],[Colonna39]:[Colonna6]])</f>
        <v>0</v>
      </c>
      <c r="AR62" s="8">
        <f>MAX(TabellaMar2026[[#This Row],[Colonna39]:[Colonna6]])</f>
        <v>0</v>
      </c>
      <c r="AS62" s="35">
        <f>MIN(TabellaMar2026[[#This Row],[Colonna39]:[Colonna6]])</f>
        <v>0</v>
      </c>
      <c r="AT62" s="48">
        <f>SUM(TabellaMar2026[[#This Row],[Colonna39]:[Colonna6]])</f>
        <v>0</v>
      </c>
      <c r="AU62" s="36" cm="1">
        <f t="array" ref="AU62">IF(
    AND($H62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($H62 / 1000) * AU$10 * $BN$4 * 0.25
    ),
    0
)
+
IF(
    $N62 &lt; 0.875,
    MAX(0, MIN(($H62 / 1000) * AU$10 * $BN$4, AU$11 * 0.876) - (AU$11 * $N62)) * 0.25,
    0
)</f>
        <v>0</v>
      </c>
      <c r="AV62" s="36" cm="1">
        <f t="array" ref="AV62">IF(
    AND($H62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($H62 / 1000) * AV$10 * $BN$4 * 0.25
    ),
    0
)
+
IF(
    $N62 &lt; 0.875,
    MAX(0, MIN(($H62 / 1000) * AV$10 * $BN$4, AV$11 * 0.876) - (AV$11 * $N62)) * 0.25,
    0
)</f>
        <v>0</v>
      </c>
      <c r="AW62" s="36" cm="1">
        <f t="array" ref="AW62">IF(
    AND($H62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($H62 / 1000) * AW$10 * $BN$4 * 0.25
    ),
    0
)
+
IF(
    $N62 &lt; 0.875,
    MAX(0, MIN(($H62 / 1000) * AW$10 * $BN$4, AW$11 * 0.876) - (AW$11 * $N62)) * 0.25,
    0
)</f>
        <v>0</v>
      </c>
      <c r="AX62" s="36" cm="1">
        <f t="array" ref="AX62">IF(
    AND($H62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($H62 / 1000) * AX$10 * $BN$4 * 0.25
    ),
    0
)
+
IF(
    $N62 &lt; 0.875,
    MAX(0, MIN(($H62 / 1000) * AX$10 * $BN$4, AX$11 * 0.876) - (AX$11 * $N62)) * 0.25,
    0
)</f>
        <v>0</v>
      </c>
      <c r="AY62" s="36" cm="1">
        <f t="array" ref="AY62">IF(
    AND($H62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($H62 / 1000) * AY$10 * $BN$4 * 0.25
    ),
    0
)
+
IF(
    $N62 &lt; 0.875,
    MAX(0, MIN(($H62 / 1000) * AY$10 * $BN$4, AY$11 * 0.876) - (AY$11 * $N62)) * 0.25,
    0
)</f>
        <v>0</v>
      </c>
      <c r="AZ62" s="36" cm="1">
        <f t="array" ref="AZ62">IF(
    AND($H62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($H62 / 1000) * AZ$10 * $BN$4 * 0.25
    ),
    0
)
+
IF(
    $N62 &lt; 0.875,
    MAX(0, MIN(($H62 / 1000) * AZ$10 * $BN$4, AZ$11 * 0.876) - (AZ$11 * $N62)) * 0.25,
    0
)</f>
        <v>0</v>
      </c>
      <c r="BA62" s="36" cm="1">
        <f t="array" ref="BA62">IF(
    AND($H62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($H62 / 1000) * BA$10 * $BN$4 * 0.25
    ),
    0
)
+
IF(
    $N62 &lt; 0.875,
    MAX(0, MIN(($H62 / 1000) * BA$10 * $BN$4, BA$11 * 0.876) - (BA$11 * $N62)) * 0.25,
    0
)</f>
        <v>0</v>
      </c>
      <c r="BB62" s="36" cm="1">
        <f t="array" ref="BB62">IF(
    AND($H62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($H62 / 1000) * BB$10 * $BN$4 * 0.25
    ),
    0
)
+
IF(
    $N62 &lt; 0.875,
    MAX(0, MIN(($H62 / 1000) * BB$10 * $BN$4, BB$11 * 0.876) - (BB$11 * $N62)) * 0.25,
    0
)</f>
        <v>0</v>
      </c>
      <c r="BC62" s="36" cm="1">
        <f t="array" ref="BC62">IF(
    AND($H62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($H62 / 1000) * BC$10 * $BN$4 * 0.25
    ),
    0
)
+
IF(
    $N62 &lt; 0.875,
    MAX(0, MIN(($H62 / 1000) * BC$10 * $BN$4, BC$11 * 0.876) - (BC$11 * $N62)) * 0.25,
    0
)</f>
        <v>0</v>
      </c>
      <c r="BD62" s="36" cm="1">
        <f t="array" ref="BD62">IF(
    AND($H62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($H62 / 1000) * BD$10 * $BN$4 * 0.25
    ),
    0
)
+
IF(
    $N62 &lt; 0.875,
    MAX(0, MIN(($H62 / 1000) * BD$10 * $BN$4, BD$11 * 0.876) - (BD$11 * $N62)) * 0.25,
    0
)</f>
        <v>0</v>
      </c>
      <c r="BE62" s="36" cm="1">
        <f t="array" ref="BE62">IF(
    AND($H62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($H62 / 1000) * BE$10 * $BN$4 * 0.25
    ),
    0
)
+
IF(
    $N62 &lt; 0.875,
    MAX(0, MIN(($H62 / 1000) * BE$10 * $BN$4, BE$11 * 0.876) - (BE$11 * $N62)) * 0.25,
    0
)</f>
        <v>0</v>
      </c>
      <c r="BF62" s="36" cm="1">
        <f t="array" ref="BF62">IF(
    AND($H62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($H62 / 1000) * BF$10 * $BN$4 * 0.25
    ),
    0
)
+
IF(
    $N62 &lt; 0.875,
    MAX(0, MIN(($H62 / 1000) * BF$10 * $BN$4, BF$11 * 0.876) - (BF$11 * $N62)) * 0.25,
    0
)</f>
        <v>0</v>
      </c>
      <c r="BG62" s="8">
        <f>AVERAGE(TabellaMar2026[[#This Row],[Colonna55]:[Colonna53]])</f>
        <v>0</v>
      </c>
      <c r="BH62" s="8">
        <f>MAX(TabellaMar2026[[#This Row],[Colonna55]:[Colonna53]])</f>
        <v>0</v>
      </c>
      <c r="BI62" s="35">
        <f>MIN(TabellaMar2026[[#This Row],[Colonna55]:[Colonna53]])</f>
        <v>0</v>
      </c>
      <c r="BJ62" s="48">
        <f>SUM(TabellaMar2026[[#This Row],[Colonna54]:[Colonna53]])</f>
        <v>0</v>
      </c>
      <c r="BK62" s="54">
        <f>(SUM(Tabella01MarzoInverter[[Active power TX1-INV-1]:[Active power TX3-INV-12]]) * 0.25) / (12625 * (SUM($G$15:$H$110) * 0.25 / 1000))</f>
        <v>1.014229628761051</v>
      </c>
      <c r="BL62" s="5"/>
      <c r="BM62" s="5"/>
      <c r="BN62" s="8"/>
      <c r="BO62" s="8"/>
      <c r="BP62" s="19"/>
    </row>
    <row r="63" spans="1:68" x14ac:dyDescent="0.25">
      <c r="A63" s="18">
        <v>46147</v>
      </c>
      <c r="B63" t="s">
        <v>63</v>
      </c>
      <c r="C63" s="5">
        <v>904.5</v>
      </c>
      <c r="D63" s="6">
        <v>0.22612499999999999</v>
      </c>
      <c r="E63" s="6">
        <v>918.4</v>
      </c>
      <c r="F63" s="6">
        <v>0.2296</v>
      </c>
      <c r="G63" s="6">
        <f>IFERROR((D63+F63)/2, 0)</f>
        <v>0.2278625</v>
      </c>
      <c r="H63" s="7">
        <f>IFERROR(IF(AVERAGE(C63,E63)&gt;$BN$7,AVERAGE(C63,E63),0), 0)</f>
        <v>911.45</v>
      </c>
      <c r="I63" s="7">
        <f>IFERROR(IF(AND(D63=0,F63=0),0,IF(H63&gt;$BN$6,MAX(D63,F63),G63)), 0)</f>
        <v>0.2296</v>
      </c>
      <c r="J63" s="6">
        <f>IFERROR(IF(AND(D63&gt;0,F63&gt;0),ABS(D63-F63)/AVERAGE(D63,F63),0), 0)</f>
        <v>1.5250425146744224E-2</v>
      </c>
      <c r="K63" s="6">
        <v>30410.7</v>
      </c>
      <c r="L63" s="6">
        <v>30413.1</v>
      </c>
      <c r="M63" s="8">
        <f>IFERROR((L63-K63)*1000, 0)</f>
        <v>2399.9999999978172</v>
      </c>
      <c r="N63" s="6">
        <v>0.87599999999999989</v>
      </c>
      <c r="O63" s="8" cm="1">
        <f t="array" ref="O63">IF(
    AND($H63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($H63 / 1000) * O$10 * $BN$4 * 0.25
    ),
    0
)
+
IF(
    $N63 &lt; 0.875,
    MAX(0, MIN(($H63 / 1000) * O$10 * $BN$4, O$11 * 0.876) - (O$11 * $N63)) * 0.25,
    0
)</f>
        <v>0</v>
      </c>
      <c r="P63" s="8" cm="1">
        <f t="array" ref="P63">IF(
    AND($H63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($H63 / 1000) * P$10 * $BN$4 * 0.25
    ),
    0
)
+
IF(
    $N63 &lt; 0.875,
    MAX(0, MIN(($H63 / 1000) * P$10 * $BN$4, P$11 * 0.876) - (P$11 * $N63)) * 0.25,
    0
)</f>
        <v>0</v>
      </c>
      <c r="Q63" s="8" cm="1">
        <f t="array" ref="Q63">IF(
    AND($H63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($H63 / 1000) * Q$10 * $BN$4 * 0.25
    ),
    0
)
+
IF(
    $N63 &lt; 0.875,
    MAX(0, MIN(($H63 / 1000) * Q$10 * $BN$4, Q$11 * 0.876) - (Q$11 * $N63)) * 0.25,
    0
)</f>
        <v>0</v>
      </c>
      <c r="R63" s="8" cm="1">
        <f t="array" ref="R63">IF(
    AND($H63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($H63 / 1000) * R$10 * $BN$4 * 0.25
    ),
    0
)
+
IF(
    $N63 &lt; 0.875,
    MAX(0, MIN(($H63 / 1000) * R$10 * $BN$4, R$11 * 0.876) - (R$11 * $N63)) * 0.25,
    0
)</f>
        <v>0</v>
      </c>
      <c r="S63" s="8" cm="1">
        <f t="array" ref="S63">IF(
    AND($H63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($H63 / 1000) * S$10 * $BN$4 * 0.25
    ),
    0
)
+
IF(
    $N63 &lt; 0.875,
    MAX(0, MIN(($H63 / 1000) * S$10 * $BN$4, S$11 * 0.876) - (S$11 * $N63)) * 0.25,
    0
)</f>
        <v>0</v>
      </c>
      <c r="T63" s="8" cm="1">
        <f t="array" ref="T63">IF(
    AND($H63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($H63 / 1000) * T$10 * $BN$4 * 0.25
    ),
    0
)
+
IF(
    $N63 &lt; 0.875,
    MAX(0, MIN(($H63 / 1000) * T$10 * $BN$4, T$11 * 0.876) - (T$11 * $N63)) * 0.25,
    0
)</f>
        <v>0</v>
      </c>
      <c r="U63" s="8" cm="1">
        <f t="array" ref="U63">IF(
    AND($H63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($H63 / 1000) * U$10 * $BN$4 * 0.25
    ),
    0
)
+
IF(
    $N63 &lt; 0.875,
    MAX(0, MIN(($H63 / 1000) * U$10 * $BN$4, U$11 * 0.876) - (U$11 * $N63)) * 0.25,
    0
)</f>
        <v>0</v>
      </c>
      <c r="V63" s="8" cm="1">
        <f t="array" ref="V63">IF(
    AND($H63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($H63 / 1000) * V$10 * $BN$4 * 0.25
    ),
    0
)
+
IF(
    $N63 &lt; 0.875,
    MAX(0, MIN(($H63 / 1000) * V$10 * $BN$4, V$11 * 0.876) - (V$11 * $N63)) * 0.25,
    0
)</f>
        <v>0</v>
      </c>
      <c r="W63" s="8" cm="1">
        <f t="array" ref="W63">IF(
    AND($H63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($H63 / 1000) * W$10 * $BN$4 * 0.25
    ),
    0
)
+
IF(
    $N63 &lt; 0.875,
    MAX(0, MIN(($H63 / 1000) * W$10 * $BN$4, W$11 * 0.876) - (W$11 * $N63)) * 0.25,
    0
)</f>
        <v>0</v>
      </c>
      <c r="X63" s="8" cm="1">
        <f t="array" ref="X63">IF(
    AND($H63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($H63 / 1000) * X$10 * $BN$4 * 0.25
    ),
    0
)
+
IF(
    $N63 &lt; 0.875,
    MAX(0, MIN(($H63 / 1000) * X$10 * $BN$4, X$11 * 0.876) - (X$11 * $N63)) * 0.25,
    0
)</f>
        <v>0</v>
      </c>
      <c r="Y63" s="8" cm="1">
        <f t="array" ref="Y63">IF(
    AND($H63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($H63 / 1000) * Y$10 * $BN$4 * 0.25
    ),
    0
)
+
IF(
    $N63 &lt; 0.875,
    MAX(0, MIN(($H63 / 1000) * Y$10 * $BN$4, Y$11 * 0.876) - (Y$11 * $N63)) * 0.25,
    0
)</f>
        <v>0</v>
      </c>
      <c r="Z63" s="8" cm="1">
        <f t="array" ref="Z63">IF(
    AND($H63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($H63 / 1000) * Z$10 * $BN$4 * 0.25
    ),
    0
)
+
IF(
    $N63 &lt; 0.875,
    MAX(0, MIN(($H63 / 1000) * Z$10 * $BN$4, Z$11 * 0.876) - (Z$11 * $N63)) * 0.25,
    0
)</f>
        <v>0</v>
      </c>
      <c r="AA63" s="8">
        <f>AVERAGE(TabellaMar2026[[#This Row],[Colonna24]:[Colonna20]])</f>
        <v>0</v>
      </c>
      <c r="AB63" s="8">
        <f>MAX(TabellaMar2026[[#This Row],[Colonna24]:[Colonna20]])</f>
        <v>0</v>
      </c>
      <c r="AC63" s="35">
        <f>MIN(TabellaMar2026[[#This Row],[Colonna24]:[Colonna20]])</f>
        <v>0</v>
      </c>
      <c r="AD63" s="44">
        <f>SUM(TabellaMar2026[[#This Row],[Colonna24]:[Colonna20]])</f>
        <v>0</v>
      </c>
      <c r="AE63" s="36">
        <f>IF(
    AND($H63 &gt; $BN$7, Tabella01MarzoInverter[[#This Row],[Active power TX2-INV-1]] &lt;= 0, Tabella01MarzoInverter[[#This Row],[TX2 - Average Power]] &lt;= 0),
    MIN(($H63 / 1000) * AE$10 * $BN$4, AE$11 * 0.876) * 0.25,
    IF(
        AND($H63 &gt; $BN$7, Tabella01MarzoInverter[[#This Row],[Active power TX2-INV-1]] &lt;= 0),
        Tabella01MarzoInverter[[#This Row],[TX2 - Average Power]] * 0.25,
        0
    )
    +
    IF(
        $N63 &lt; 0.875,
        MAX(0, MIN(($H63 / 1000) * AE$10 * $BN$4, AE$11 * 0.876) - (AE$11 * $N63)) * 0.25,
        0
    )
)</f>
        <v>0</v>
      </c>
      <c r="AF63" s="36">
        <f>IF(
    AND($H63 &gt; $BN$7, Tabella01MarzoInverter[[#This Row],[Active power TX2-INV-2]] &lt;= 0, Tabella01MarzoInverter[[#This Row],[TX2 - Max Power]] &lt;= 0),
    MIN(($H63 / 1000) * AF$10 * $BN$4, AF$11 * 0.876) * 0.25,
    IF(
        AND($H63 &gt; $BN$7, Tabella01MarzoInverter[[#This Row],[Active power TX2-INV-2]] &lt;= 0),
        Tabella01MarzoInverter[[#This Row],[TX2 - Max Power]] * 0.25,
        0
    )
    +
    IF(
        $N63 &lt; 0.875,
        MAX(0, MIN(($H63 / 1000) * AF$10 * $BN$4, AF$11 * 0.876) - (AF$11 * $N63)) * 0.25,
        0
    )
)</f>
        <v>0</v>
      </c>
      <c r="AG63" s="36">
        <f>IF(
    AND($H63 &gt; $BN$7, Tabella01MarzoInverter[[#This Row],[Active power TX2-INV-3]] &lt;= 0, Tabella01MarzoInverter[[#This Row],[TX2 - Min Power]] &lt;= 0),
    MIN(($H63 / 1000) * AG$10 * $BN$4, AG$11 * 0.876) * 0.25,
    IF(
        AND($H63 &gt; $BN$7, Tabella01MarzoInverter[[#This Row],[Active power TX2-INV-3]] &lt;= 0),
        Tabella01MarzoInverter[[#This Row],[TX2 - Min Power]] * 0.25,
        0
    )
    +
    IF(
        $N63 &lt; 0.875,
        MAX(0, MIN(($H63 / 1000) * AG$10 * $BN$4, AG$11 * 0.876) - (AG$11 * $N63)) * 0.25,
        0
    )
)</f>
        <v>0</v>
      </c>
      <c r="AH63" s="36">
        <f>IF(
    AND($H63 &gt; $BN$7, Tabella01MarzoInverter[[#This Row],[Active power TX2-INV-4]] &lt;= 0, Tabella01MarzoInverter[[#This Row],[Active power TX3-INV-1]] &lt;= 0),
    MIN(($H63 / 1000) * AH$10 * $BN$4, AH$11 * 0.876) * 0.25,
    IF(
        AND($H63 &gt; $BN$7, Tabella01MarzoInverter[[#This Row],[Active power TX2-INV-4]] &lt;= 0),
        Tabella01MarzoInverter[[#This Row],[Active power TX3-INV-1]] * 0.25,
        0
    )
    +
    IF(
        $N63 &lt; 0.875,
        MAX(0, MIN(($H63 / 1000) * AH$10 * $BN$4, AH$11 * 0.876) - (AH$11 * $N63)) * 0.25,
        0
    )
)</f>
        <v>0</v>
      </c>
      <c r="AI63" s="36">
        <f>IF(
    AND($H63 &gt; $BN$7, Tabella01MarzoInverter[[#This Row],[Active power TX2-INV-5]] &lt;= 0, Tabella01MarzoInverter[[#This Row],[Active power TX3-INV-2]] &lt;= 0),
    MIN(($H63 / 1000) * AI$10 * $BN$4, AI$11 * 0.876) * 0.25,
    IF(
        AND($H63 &gt; $BN$7, Tabella01MarzoInverter[[#This Row],[Active power TX2-INV-5]] &lt;= 0),
        Tabella01MarzoInverter[[#This Row],[Active power TX3-INV-2]] * 0.25,
        0
    )
    +
    IF(
        $N63 &lt; 0.875,
        MAX(0, MIN(($H63 / 1000) * AI$10 * $BN$4, AI$11 * 0.876) - (AI$11 * $N63)) * 0.25,
        0
    )
)</f>
        <v>0</v>
      </c>
      <c r="AJ63" s="36">
        <f>IF(
    AND($H63 &gt; $BN$7, Tabella01MarzoInverter[[#This Row],[Active power TX2-INV-6]] &lt;= 0, Tabella01MarzoInverter[[#This Row],[Active power TX3-INV-3]] &lt;= 0),
    MIN(($H63 / 1000) * AJ$10 * $BN$4, AJ$11 * 0.876) * 0.25,
    IF(
        AND($H63 &gt; $BN$7, Tabella01MarzoInverter[[#This Row],[Active power TX2-INV-6]] &lt;= 0),
        Tabella01MarzoInverter[[#This Row],[Active power TX3-INV-3]] * 0.25,
        0
    )
    +
    IF(
        $N63 &lt; 0.875,
        MAX(0, MIN(($H63 / 1000) * AJ$10 * $BN$4, AJ$11 * 0.876) - (AJ$11 * $N63)) * 0.25,
        0
    )
)</f>
        <v>0</v>
      </c>
      <c r="AK63" s="36">
        <f>IF(
    AND($H63 &gt; $BN$7, Tabella01MarzoInverter[[#This Row],[Active power TX2-INV-7]] &lt;= 0, Tabella01MarzoInverter[[#This Row],[Active power TX3-INV-4]] &lt;= 0),
    MIN(($H63 / 1000) * AK$10 * $BN$4, AK$11 * 0.876) * 0.25,
    IF(
        AND($H63 &gt; $BN$7, Tabella01MarzoInverter[[#This Row],[Active power TX2-INV-7]] &lt;= 0),
        Tabella01MarzoInverter[[#This Row],[Active power TX3-INV-4]] * 0.25,
        0
    )
    +
    IF(
        $N63 &lt; 0.875,
        MAX(0, MIN(($H63 / 1000) * AK$10 * $BN$4, AK$11 * 0.876) - (AK$11 * $N63)) * 0.25,
        0
    )
)</f>
        <v>0</v>
      </c>
      <c r="AL63" s="36">
        <f>IF(
    AND($H63 &gt; $BN$7, Tabella01MarzoInverter[[#This Row],[Active power TX2-INV-8]] &lt;= 0, Tabella01MarzoInverter[[#This Row],[Active power TX3-INV-5]] &lt;= 0),
    MIN(($H63 / 1000) * AL$10 * $BN$4, AL$11 * 0.876) * 0.25,
    IF(
        AND($H63 &gt; $BN$7, Tabella01MarzoInverter[[#This Row],[Active power TX2-INV-8]] &lt;= 0),
        Tabella01MarzoInverter[[#This Row],[Active power TX3-INV-5]] * 0.25,
        0
    )
    +
    IF(
        $N63 &lt; 0.875,
        MAX(0, MIN(($H63 / 1000) * AL$10 * $BN$4, AL$11 * 0.876) - (AL$11 * $N63)) * 0.25,
        0
    )
)</f>
        <v>0</v>
      </c>
      <c r="AM63" s="36">
        <f>IF(
    AND($H63 &gt; $BN$7, Tabella01MarzoInverter[[#This Row],[Active power TX2-INV-9]] &lt;= 0, Tabella01MarzoInverter[[#This Row],[Active power TX3-INV-6]] &lt;= 0),
    MIN(($H63 / 1000) * AM$10 * $BN$4, AM$11 * 0.876) * 0.25,
    IF(
        AND($H63 &gt; $BN$7, Tabella01MarzoInverter[[#This Row],[Active power TX2-INV-9]] &lt;= 0),
        Tabella01MarzoInverter[[#This Row],[Active power TX3-INV-6]] * 0.25,
        0
    )
    +
    IF(
        $N63 &lt; 0.875,
        MAX(0, MIN(($H63 / 1000) * AM$10 * $BN$4, AM$11 * 0.876) - (AM$11 * $N63)) * 0.25,
        0
    )
)</f>
        <v>0</v>
      </c>
      <c r="AN63" s="36">
        <f>IF(
    AND($H63 &gt; $BN$7, Tabella01MarzoInverter[[#This Row],[Active power TX2-INV-10]] &lt;= 0, Tabella01MarzoInverter[[#This Row],[Active power TX3-INV-7]] &lt;= 0),
    MIN(($H63 / 1000) * AN$10 * $BN$4, AN$11 * 0.876) * 0.25,
    IF(
        AND($H63 &gt; $BN$7, Tabella01MarzoInverter[[#This Row],[Active power TX2-INV-10]] &lt;= 0),
        Tabella01MarzoInverter[[#This Row],[Active power TX3-INV-7]] * 0.25,
        0
    )
    +
    IF(
        $N63 &lt; 0.875,
        MAX(0, MIN(($H63 / 1000) * AN$10 * $BN$4, AN$11 * 0.876) - (AN$11 * $N63)) * 0.25,
        0
    )
)</f>
        <v>0</v>
      </c>
      <c r="AO63" s="36">
        <f>IF(
    AND($H63 &gt; $BN$7, Tabella01MarzoInverter[[#This Row],[Active power TX2-INV-11]] &lt;= 0, Tabella01MarzoInverter[[#This Row],[Active power TX3-INV-8]] &lt;= 0),
    MIN(($H63 / 1000) * AO$10 * $BN$4, AO$11 * 0.876) * 0.25,
    IF(
        AND($H63 &gt; $BN$7, Tabella01MarzoInverter[[#This Row],[Active power TX2-INV-11]] &lt;= 0),
        Tabella01MarzoInverter[[#This Row],[Active power TX3-INV-8]] * 0.25,
        0
    )
    +
    IF(
        $N63 &lt; 0.875,
        MAX(0, MIN(($H63 / 1000) * AO$10 * $BN$4, AO$11 * 0.876) - (AO$11 * $N63)) * 0.25,
        0
    )
)</f>
        <v>0</v>
      </c>
      <c r="AP63" s="36">
        <f>IF(
    AND($H63 &gt; $BN$7, Tabella01MarzoInverter[[#This Row],[Active power TX2-INV-12]] &lt;= 0, Tabella01MarzoInverter[[#This Row],[Active power TX3-INV-9]] &lt;= 0),
    MIN(($H63 / 1000) * AP$10 * $BN$4, AP$11 * 0.876) * 0.25,
    IF(
        AND($H63 &gt; $BN$7, Tabella01MarzoInverter[[#This Row],[Active power TX2-INV-12]] &lt;= 0),
        Tabella01MarzoInverter[[#This Row],[Active power TX3-INV-9]] * 0.25,
        0
    )
    +
    IF(
        $N63 &lt; 0.875,
        MAX(0, MIN(($H63 / 1000) * AP$10 * $BN$4, AP$11 * 0.876) - (AP$11 * $N63)) * 0.25,
        0
    )
)</f>
        <v>0</v>
      </c>
      <c r="AQ63" s="8">
        <f>AVERAGE(TabellaMar2026[[#This Row],[Colonna39]:[Colonna6]])</f>
        <v>0</v>
      </c>
      <c r="AR63" s="8">
        <f>MAX(TabellaMar2026[[#This Row],[Colonna39]:[Colonna6]])</f>
        <v>0</v>
      </c>
      <c r="AS63" s="35">
        <f>MIN(TabellaMar2026[[#This Row],[Colonna39]:[Colonna6]])</f>
        <v>0</v>
      </c>
      <c r="AT63" s="48">
        <f>SUM(TabellaMar2026[[#This Row],[Colonna39]:[Colonna6]])</f>
        <v>0</v>
      </c>
      <c r="AU63" s="36" cm="1">
        <f t="array" ref="AU63">IF(
    AND($H63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($H63 / 1000) * AU$10 * $BN$4 * 0.25
    ),
    0
)
+
IF(
    $N63 &lt; 0.875,
    MAX(0, MIN(($H63 / 1000) * AU$10 * $BN$4, AU$11 * 0.876) - (AU$11 * $N63)) * 0.25,
    0
)</f>
        <v>0</v>
      </c>
      <c r="AV63" s="36" cm="1">
        <f t="array" ref="AV63">IF(
    AND($H63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($H63 / 1000) * AV$10 * $BN$4 * 0.25
    ),
    0
)
+
IF(
    $N63 &lt; 0.875,
    MAX(0, MIN(($H63 / 1000) * AV$10 * $BN$4, AV$11 * 0.876) - (AV$11 * $N63)) * 0.25,
    0
)</f>
        <v>0</v>
      </c>
      <c r="AW63" s="36" cm="1">
        <f t="array" ref="AW63">IF(
    AND($H63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($H63 / 1000) * AW$10 * $BN$4 * 0.25
    ),
    0
)
+
IF(
    $N63 &lt; 0.875,
    MAX(0, MIN(($H63 / 1000) * AW$10 * $BN$4, AW$11 * 0.876) - (AW$11 * $N63)) * 0.25,
    0
)</f>
        <v>0</v>
      </c>
      <c r="AX63" s="36" cm="1">
        <f t="array" ref="AX63">IF(
    AND($H63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($H63 / 1000) * AX$10 * $BN$4 * 0.25
    ),
    0
)
+
IF(
    $N63 &lt; 0.875,
    MAX(0, MIN(($H63 / 1000) * AX$10 * $BN$4, AX$11 * 0.876) - (AX$11 * $N63)) * 0.25,
    0
)</f>
        <v>0</v>
      </c>
      <c r="AY63" s="36" cm="1">
        <f t="array" ref="AY63">IF(
    AND($H63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($H63 / 1000) * AY$10 * $BN$4 * 0.25
    ),
    0
)
+
IF(
    $N63 &lt; 0.875,
    MAX(0, MIN(($H63 / 1000) * AY$10 * $BN$4, AY$11 * 0.876) - (AY$11 * $N63)) * 0.25,
    0
)</f>
        <v>0</v>
      </c>
      <c r="AZ63" s="36" cm="1">
        <f t="array" ref="AZ63">IF(
    AND($H63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($H63 / 1000) * AZ$10 * $BN$4 * 0.25
    ),
    0
)
+
IF(
    $N63 &lt; 0.875,
    MAX(0, MIN(($H63 / 1000) * AZ$10 * $BN$4, AZ$11 * 0.876) - (AZ$11 * $N63)) * 0.25,
    0
)</f>
        <v>0</v>
      </c>
      <c r="BA63" s="36" cm="1">
        <f t="array" ref="BA63">IF(
    AND($H63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($H63 / 1000) * BA$10 * $BN$4 * 0.25
    ),
    0
)
+
IF(
    $N63 &lt; 0.875,
    MAX(0, MIN(($H63 / 1000) * BA$10 * $BN$4, BA$11 * 0.876) - (BA$11 * $N63)) * 0.25,
    0
)</f>
        <v>0</v>
      </c>
      <c r="BB63" s="36" cm="1">
        <f t="array" ref="BB63">IF(
    AND($H63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($H63 / 1000) * BB$10 * $BN$4 * 0.25
    ),
    0
)
+
IF(
    $N63 &lt; 0.875,
    MAX(0, MIN(($H63 / 1000) * BB$10 * $BN$4, BB$11 * 0.876) - (BB$11 * $N63)) * 0.25,
    0
)</f>
        <v>0</v>
      </c>
      <c r="BC63" s="36" cm="1">
        <f t="array" ref="BC63">IF(
    AND($H63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($H63 / 1000) * BC$10 * $BN$4 * 0.25
    ),
    0
)
+
IF(
    $N63 &lt; 0.875,
    MAX(0, MIN(($H63 / 1000) * BC$10 * $BN$4, BC$11 * 0.876) - (BC$11 * $N63)) * 0.25,
    0
)</f>
        <v>0</v>
      </c>
      <c r="BD63" s="36" cm="1">
        <f t="array" ref="BD63">IF(
    AND($H63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($H63 / 1000) * BD$10 * $BN$4 * 0.25
    ),
    0
)
+
IF(
    $N63 &lt; 0.875,
    MAX(0, MIN(($H63 / 1000) * BD$10 * $BN$4, BD$11 * 0.876) - (BD$11 * $N63)) * 0.25,
    0
)</f>
        <v>0</v>
      </c>
      <c r="BE63" s="36" cm="1">
        <f t="array" ref="BE63">IF(
    AND($H63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($H63 / 1000) * BE$10 * $BN$4 * 0.25
    ),
    0
)
+
IF(
    $N63 &lt; 0.875,
    MAX(0, MIN(($H63 / 1000) * BE$10 * $BN$4, BE$11 * 0.876) - (BE$11 * $N63)) * 0.25,
    0
)</f>
        <v>0</v>
      </c>
      <c r="BF63" s="36" cm="1">
        <f t="array" ref="BF63">IF(
    AND($H63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($H63 / 1000) * BF$10 * $BN$4 * 0.25
    ),
    0
)
+
IF(
    $N63 &lt; 0.875,
    MAX(0, MIN(($H63 / 1000) * BF$10 * $BN$4, BF$11 * 0.876) - (BF$11 * $N63)) * 0.25,
    0
)</f>
        <v>0</v>
      </c>
      <c r="BG63" s="8">
        <f>AVERAGE(TabellaMar2026[[#This Row],[Colonna55]:[Colonna53]])</f>
        <v>0</v>
      </c>
      <c r="BH63" s="8">
        <f>MAX(TabellaMar2026[[#This Row],[Colonna55]:[Colonna53]])</f>
        <v>0</v>
      </c>
      <c r="BI63" s="35">
        <f>MIN(TabellaMar2026[[#This Row],[Colonna55]:[Colonna53]])</f>
        <v>0</v>
      </c>
      <c r="BJ63" s="48">
        <f>SUM(TabellaMar2026[[#This Row],[Colonna54]:[Colonna53]])</f>
        <v>0</v>
      </c>
      <c r="BK63" s="54">
        <f>(SUM(Tabella01MarzoInverter[[Active power TX1-INV-1]:[Active power TX3-INV-12]]) * 0.25) / (12625 * (SUM($G$15:$H$110) * 0.25 / 1000))</f>
        <v>1.014229628761051</v>
      </c>
      <c r="BL63" s="5"/>
      <c r="BM63" s="5"/>
      <c r="BN63" s="8"/>
      <c r="BO63" s="8"/>
      <c r="BP63" s="19"/>
    </row>
    <row r="64" spans="1:68" x14ac:dyDescent="0.25">
      <c r="A64" s="18">
        <v>46147</v>
      </c>
      <c r="B64" t="s">
        <v>64</v>
      </c>
      <c r="C64" s="5">
        <v>834.3</v>
      </c>
      <c r="D64" s="6">
        <v>0.20857499999999998</v>
      </c>
      <c r="E64" s="6">
        <v>826.2</v>
      </c>
      <c r="F64" s="6">
        <v>0.20655000000000001</v>
      </c>
      <c r="G64" s="6">
        <f>IFERROR((D64+F64)/2, 0)</f>
        <v>0.20756249999999998</v>
      </c>
      <c r="H64" s="7">
        <f>IFERROR(IF(AVERAGE(C64,E64)&gt;$BN$7,AVERAGE(C64,E64),0), 0)</f>
        <v>830.25</v>
      </c>
      <c r="I64" s="7">
        <f>IFERROR(IF(AND(D64=0,F64=0),0,IF(H64&gt;$BN$6,MAX(D64,F64),G64)), 0)</f>
        <v>0.20857499999999998</v>
      </c>
      <c r="J64" s="6">
        <f>IFERROR(IF(AND(D64&gt;0,F64&gt;0),ABS(D64-F64)/AVERAGE(D64,F64),0), 0)</f>
        <v>9.7560975609754727E-3</v>
      </c>
      <c r="K64" s="6">
        <v>30413.1</v>
      </c>
      <c r="L64" s="6">
        <v>30415.3</v>
      </c>
      <c r="M64" s="8">
        <f>IFERROR((L64-K64)*1000, 0)</f>
        <v>2200.0000000007276</v>
      </c>
      <c r="N64" s="6">
        <v>0.87599999999999989</v>
      </c>
      <c r="O64" s="8" cm="1">
        <f t="array" ref="O64">IF(
    AND($H64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($H64 / 1000) * O$10 * $BN$4 * 0.25
    ),
    0
)
+
IF(
    $N64 &lt; 0.875,
    MAX(0, MIN(($H64 / 1000) * O$10 * $BN$4, O$11 * 0.876) - (O$11 * $N64)) * 0.25,
    0
)</f>
        <v>0</v>
      </c>
      <c r="P64" s="8" cm="1">
        <f t="array" ref="P64">IF(
    AND($H64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($H64 / 1000) * P$10 * $BN$4 * 0.25
    ),
    0
)
+
IF(
    $N64 &lt; 0.875,
    MAX(0, MIN(($H64 / 1000) * P$10 * $BN$4, P$11 * 0.876) - (P$11 * $N64)) * 0.25,
    0
)</f>
        <v>0</v>
      </c>
      <c r="Q64" s="8" cm="1">
        <f t="array" ref="Q64">IF(
    AND($H64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($H64 / 1000) * Q$10 * $BN$4 * 0.25
    ),
    0
)
+
IF(
    $N64 &lt; 0.875,
    MAX(0, MIN(($H64 / 1000) * Q$10 * $BN$4, Q$11 * 0.876) - (Q$11 * $N64)) * 0.25,
    0
)</f>
        <v>0</v>
      </c>
      <c r="R64" s="8" cm="1">
        <f t="array" ref="R64">IF(
    AND($H64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($H64 / 1000) * R$10 * $BN$4 * 0.25
    ),
    0
)
+
IF(
    $N64 &lt; 0.875,
    MAX(0, MIN(($H64 / 1000) * R$10 * $BN$4, R$11 * 0.876) - (R$11 * $N64)) * 0.25,
    0
)</f>
        <v>0</v>
      </c>
      <c r="S64" s="8" cm="1">
        <f t="array" ref="S64">IF(
    AND($H64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($H64 / 1000) * S$10 * $BN$4 * 0.25
    ),
    0
)
+
IF(
    $N64 &lt; 0.875,
    MAX(0, MIN(($H64 / 1000) * S$10 * $BN$4, S$11 * 0.876) - (S$11 * $N64)) * 0.25,
    0
)</f>
        <v>0</v>
      </c>
      <c r="T64" s="8" cm="1">
        <f t="array" ref="T64">IF(
    AND($H64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($H64 / 1000) * T$10 * $BN$4 * 0.25
    ),
    0
)
+
IF(
    $N64 &lt; 0.875,
    MAX(0, MIN(($H64 / 1000) * T$10 * $BN$4, T$11 * 0.876) - (T$11 * $N64)) * 0.25,
    0
)</f>
        <v>0</v>
      </c>
      <c r="U64" s="8" cm="1">
        <f t="array" ref="U64">IF(
    AND($H64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($H64 / 1000) * U$10 * $BN$4 * 0.25
    ),
    0
)
+
IF(
    $N64 &lt; 0.875,
    MAX(0, MIN(($H64 / 1000) * U$10 * $BN$4, U$11 * 0.876) - (U$11 * $N64)) * 0.25,
    0
)</f>
        <v>0</v>
      </c>
      <c r="V64" s="8" cm="1">
        <f t="array" ref="V64">IF(
    AND($H64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($H64 / 1000) * V$10 * $BN$4 * 0.25
    ),
    0
)
+
IF(
    $N64 &lt; 0.875,
    MAX(0, MIN(($H64 / 1000) * V$10 * $BN$4, V$11 * 0.876) - (V$11 * $N64)) * 0.25,
    0
)</f>
        <v>0</v>
      </c>
      <c r="W64" s="8" cm="1">
        <f t="array" ref="W64">IF(
    AND($H64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($H64 / 1000) * W$10 * $BN$4 * 0.25
    ),
    0
)
+
IF(
    $N64 &lt; 0.875,
    MAX(0, MIN(($H64 / 1000) * W$10 * $BN$4, W$11 * 0.876) - (W$11 * $N64)) * 0.25,
    0
)</f>
        <v>0</v>
      </c>
      <c r="X64" s="8" cm="1">
        <f t="array" ref="X64">IF(
    AND($H64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($H64 / 1000) * X$10 * $BN$4 * 0.25
    ),
    0
)
+
IF(
    $N64 &lt; 0.875,
    MAX(0, MIN(($H64 / 1000) * X$10 * $BN$4, X$11 * 0.876) - (X$11 * $N64)) * 0.25,
    0
)</f>
        <v>0</v>
      </c>
      <c r="Y64" s="8" cm="1">
        <f t="array" ref="Y64">IF(
    AND($H64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($H64 / 1000) * Y$10 * $BN$4 * 0.25
    ),
    0
)
+
IF(
    $N64 &lt; 0.875,
    MAX(0, MIN(($H64 / 1000) * Y$10 * $BN$4, Y$11 * 0.876) - (Y$11 * $N64)) * 0.25,
    0
)</f>
        <v>0</v>
      </c>
      <c r="Z64" s="8" cm="1">
        <f t="array" ref="Z64">IF(
    AND($H64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($H64 / 1000) * Z$10 * $BN$4 * 0.25
    ),
    0
)
+
IF(
    $N64 &lt; 0.875,
    MAX(0, MIN(($H64 / 1000) * Z$10 * $BN$4, Z$11 * 0.876) - (Z$11 * $N64)) * 0.25,
    0
)</f>
        <v>0</v>
      </c>
      <c r="AA64" s="8">
        <f>AVERAGE(TabellaMar2026[[#This Row],[Colonna24]:[Colonna20]])</f>
        <v>0</v>
      </c>
      <c r="AB64" s="8">
        <f>MAX(TabellaMar2026[[#This Row],[Colonna24]:[Colonna20]])</f>
        <v>0</v>
      </c>
      <c r="AC64" s="35">
        <f>MIN(TabellaMar2026[[#This Row],[Colonna24]:[Colonna20]])</f>
        <v>0</v>
      </c>
      <c r="AD64" s="44">
        <f>SUM(TabellaMar2026[[#This Row],[Colonna24]:[Colonna20]])</f>
        <v>0</v>
      </c>
      <c r="AE64" s="36">
        <f>IF(
    AND($H64 &gt; $BN$7, Tabella01MarzoInverter[[#This Row],[Active power TX2-INV-1]] &lt;= 0, Tabella01MarzoInverter[[#This Row],[TX2 - Average Power]] &lt;= 0),
    MIN(($H64 / 1000) * AE$10 * $BN$4, AE$11 * 0.876) * 0.25,
    IF(
        AND($H64 &gt; $BN$7, Tabella01MarzoInverter[[#This Row],[Active power TX2-INV-1]] &lt;= 0),
        Tabella01MarzoInverter[[#This Row],[TX2 - Average Power]] * 0.25,
        0
    )
    +
    IF(
        $N64 &lt; 0.875,
        MAX(0, MIN(($H64 / 1000) * AE$10 * $BN$4, AE$11 * 0.876) - (AE$11 * $N64)) * 0.25,
        0
    )
)</f>
        <v>0</v>
      </c>
      <c r="AF64" s="36">
        <f>IF(
    AND($H64 &gt; $BN$7, Tabella01MarzoInverter[[#This Row],[Active power TX2-INV-2]] &lt;= 0, Tabella01MarzoInverter[[#This Row],[TX2 - Max Power]] &lt;= 0),
    MIN(($H64 / 1000) * AF$10 * $BN$4, AF$11 * 0.876) * 0.25,
    IF(
        AND($H64 &gt; $BN$7, Tabella01MarzoInverter[[#This Row],[Active power TX2-INV-2]] &lt;= 0),
        Tabella01MarzoInverter[[#This Row],[TX2 - Max Power]] * 0.25,
        0
    )
    +
    IF(
        $N64 &lt; 0.875,
        MAX(0, MIN(($H64 / 1000) * AF$10 * $BN$4, AF$11 * 0.876) - (AF$11 * $N64)) * 0.25,
        0
    )
)</f>
        <v>0</v>
      </c>
      <c r="AG64" s="36">
        <f>IF(
    AND($H64 &gt; $BN$7, Tabella01MarzoInverter[[#This Row],[Active power TX2-INV-3]] &lt;= 0, Tabella01MarzoInverter[[#This Row],[TX2 - Min Power]] &lt;= 0),
    MIN(($H64 / 1000) * AG$10 * $BN$4, AG$11 * 0.876) * 0.25,
    IF(
        AND($H64 &gt; $BN$7, Tabella01MarzoInverter[[#This Row],[Active power TX2-INV-3]] &lt;= 0),
        Tabella01MarzoInverter[[#This Row],[TX2 - Min Power]] * 0.25,
        0
    )
    +
    IF(
        $N64 &lt; 0.875,
        MAX(0, MIN(($H64 / 1000) * AG$10 * $BN$4, AG$11 * 0.876) - (AG$11 * $N64)) * 0.25,
        0
    )
)</f>
        <v>0</v>
      </c>
      <c r="AH64" s="36">
        <f>IF(
    AND($H64 &gt; $BN$7, Tabella01MarzoInverter[[#This Row],[Active power TX2-INV-4]] &lt;= 0, Tabella01MarzoInverter[[#This Row],[Active power TX3-INV-1]] &lt;= 0),
    MIN(($H64 / 1000) * AH$10 * $BN$4, AH$11 * 0.876) * 0.25,
    IF(
        AND($H64 &gt; $BN$7, Tabella01MarzoInverter[[#This Row],[Active power TX2-INV-4]] &lt;= 0),
        Tabella01MarzoInverter[[#This Row],[Active power TX3-INV-1]] * 0.25,
        0
    )
    +
    IF(
        $N64 &lt; 0.875,
        MAX(0, MIN(($H64 / 1000) * AH$10 * $BN$4, AH$11 * 0.876) - (AH$11 * $N64)) * 0.25,
        0
    )
)</f>
        <v>0</v>
      </c>
      <c r="AI64" s="36">
        <f>IF(
    AND($H64 &gt; $BN$7, Tabella01MarzoInverter[[#This Row],[Active power TX2-INV-5]] &lt;= 0, Tabella01MarzoInverter[[#This Row],[Active power TX3-INV-2]] &lt;= 0),
    MIN(($H64 / 1000) * AI$10 * $BN$4, AI$11 * 0.876) * 0.25,
    IF(
        AND($H64 &gt; $BN$7, Tabella01MarzoInverter[[#This Row],[Active power TX2-INV-5]] &lt;= 0),
        Tabella01MarzoInverter[[#This Row],[Active power TX3-INV-2]] * 0.25,
        0
    )
    +
    IF(
        $N64 &lt; 0.875,
        MAX(0, MIN(($H64 / 1000) * AI$10 * $BN$4, AI$11 * 0.876) - (AI$11 * $N64)) * 0.25,
        0
    )
)</f>
        <v>0</v>
      </c>
      <c r="AJ64" s="36">
        <f>IF(
    AND($H64 &gt; $BN$7, Tabella01MarzoInverter[[#This Row],[Active power TX2-INV-6]] &lt;= 0, Tabella01MarzoInverter[[#This Row],[Active power TX3-INV-3]] &lt;= 0),
    MIN(($H64 / 1000) * AJ$10 * $BN$4, AJ$11 * 0.876) * 0.25,
    IF(
        AND($H64 &gt; $BN$7, Tabella01MarzoInverter[[#This Row],[Active power TX2-INV-6]] &lt;= 0),
        Tabella01MarzoInverter[[#This Row],[Active power TX3-INV-3]] * 0.25,
        0
    )
    +
    IF(
        $N64 &lt; 0.875,
        MAX(0, MIN(($H64 / 1000) * AJ$10 * $BN$4, AJ$11 * 0.876) - (AJ$11 * $N64)) * 0.25,
        0
    )
)</f>
        <v>0</v>
      </c>
      <c r="AK64" s="36">
        <f>IF(
    AND($H64 &gt; $BN$7, Tabella01MarzoInverter[[#This Row],[Active power TX2-INV-7]] &lt;= 0, Tabella01MarzoInverter[[#This Row],[Active power TX3-INV-4]] &lt;= 0),
    MIN(($H64 / 1000) * AK$10 * $BN$4, AK$11 * 0.876) * 0.25,
    IF(
        AND($H64 &gt; $BN$7, Tabella01MarzoInverter[[#This Row],[Active power TX2-INV-7]] &lt;= 0),
        Tabella01MarzoInverter[[#This Row],[Active power TX3-INV-4]] * 0.25,
        0
    )
    +
    IF(
        $N64 &lt; 0.875,
        MAX(0, MIN(($H64 / 1000) * AK$10 * $BN$4, AK$11 * 0.876) - (AK$11 * $N64)) * 0.25,
        0
    )
)</f>
        <v>0</v>
      </c>
      <c r="AL64" s="36">
        <f>IF(
    AND($H64 &gt; $BN$7, Tabella01MarzoInverter[[#This Row],[Active power TX2-INV-8]] &lt;= 0, Tabella01MarzoInverter[[#This Row],[Active power TX3-INV-5]] &lt;= 0),
    MIN(($H64 / 1000) * AL$10 * $BN$4, AL$11 * 0.876) * 0.25,
    IF(
        AND($H64 &gt; $BN$7, Tabella01MarzoInverter[[#This Row],[Active power TX2-INV-8]] &lt;= 0),
        Tabella01MarzoInverter[[#This Row],[Active power TX3-INV-5]] * 0.25,
        0
    )
    +
    IF(
        $N64 &lt; 0.875,
        MAX(0, MIN(($H64 / 1000) * AL$10 * $BN$4, AL$11 * 0.876) - (AL$11 * $N64)) * 0.25,
        0
    )
)</f>
        <v>0</v>
      </c>
      <c r="AM64" s="36">
        <f>IF(
    AND($H64 &gt; $BN$7, Tabella01MarzoInverter[[#This Row],[Active power TX2-INV-9]] &lt;= 0, Tabella01MarzoInverter[[#This Row],[Active power TX3-INV-6]] &lt;= 0),
    MIN(($H64 / 1000) * AM$10 * $BN$4, AM$11 * 0.876) * 0.25,
    IF(
        AND($H64 &gt; $BN$7, Tabella01MarzoInverter[[#This Row],[Active power TX2-INV-9]] &lt;= 0),
        Tabella01MarzoInverter[[#This Row],[Active power TX3-INV-6]] * 0.25,
        0
    )
    +
    IF(
        $N64 &lt; 0.875,
        MAX(0, MIN(($H64 / 1000) * AM$10 * $BN$4, AM$11 * 0.876) - (AM$11 * $N64)) * 0.25,
        0
    )
)</f>
        <v>0</v>
      </c>
      <c r="AN64" s="36">
        <f>IF(
    AND($H64 &gt; $BN$7, Tabella01MarzoInverter[[#This Row],[Active power TX2-INV-10]] &lt;= 0, Tabella01MarzoInverter[[#This Row],[Active power TX3-INV-7]] &lt;= 0),
    MIN(($H64 / 1000) * AN$10 * $BN$4, AN$11 * 0.876) * 0.25,
    IF(
        AND($H64 &gt; $BN$7, Tabella01MarzoInverter[[#This Row],[Active power TX2-INV-10]] &lt;= 0),
        Tabella01MarzoInverter[[#This Row],[Active power TX3-INV-7]] * 0.25,
        0
    )
    +
    IF(
        $N64 &lt; 0.875,
        MAX(0, MIN(($H64 / 1000) * AN$10 * $BN$4, AN$11 * 0.876) - (AN$11 * $N64)) * 0.25,
        0
    )
)</f>
        <v>0</v>
      </c>
      <c r="AO64" s="36">
        <f>IF(
    AND($H64 &gt; $BN$7, Tabella01MarzoInverter[[#This Row],[Active power TX2-INV-11]] &lt;= 0, Tabella01MarzoInverter[[#This Row],[Active power TX3-INV-8]] &lt;= 0),
    MIN(($H64 / 1000) * AO$10 * $BN$4, AO$11 * 0.876) * 0.25,
    IF(
        AND($H64 &gt; $BN$7, Tabella01MarzoInverter[[#This Row],[Active power TX2-INV-11]] &lt;= 0),
        Tabella01MarzoInverter[[#This Row],[Active power TX3-INV-8]] * 0.25,
        0
    )
    +
    IF(
        $N64 &lt; 0.875,
        MAX(0, MIN(($H64 / 1000) * AO$10 * $BN$4, AO$11 * 0.876) - (AO$11 * $N64)) * 0.25,
        0
    )
)</f>
        <v>0</v>
      </c>
      <c r="AP64" s="36">
        <f>IF(
    AND($H64 &gt; $BN$7, Tabella01MarzoInverter[[#This Row],[Active power TX2-INV-12]] &lt;= 0, Tabella01MarzoInverter[[#This Row],[Active power TX3-INV-9]] &lt;= 0),
    MIN(($H64 / 1000) * AP$10 * $BN$4, AP$11 * 0.876) * 0.25,
    IF(
        AND($H64 &gt; $BN$7, Tabella01MarzoInverter[[#This Row],[Active power TX2-INV-12]] &lt;= 0),
        Tabella01MarzoInverter[[#This Row],[Active power TX3-INV-9]] * 0.25,
        0
    )
    +
    IF(
        $N64 &lt; 0.875,
        MAX(0, MIN(($H64 / 1000) * AP$10 * $BN$4, AP$11 * 0.876) - (AP$11 * $N64)) * 0.25,
        0
    )
)</f>
        <v>0</v>
      </c>
      <c r="AQ64" s="8">
        <f>AVERAGE(TabellaMar2026[[#This Row],[Colonna39]:[Colonna6]])</f>
        <v>0</v>
      </c>
      <c r="AR64" s="8">
        <f>MAX(TabellaMar2026[[#This Row],[Colonna39]:[Colonna6]])</f>
        <v>0</v>
      </c>
      <c r="AS64" s="35">
        <f>MIN(TabellaMar2026[[#This Row],[Colonna39]:[Colonna6]])</f>
        <v>0</v>
      </c>
      <c r="AT64" s="48">
        <f>SUM(TabellaMar2026[[#This Row],[Colonna39]:[Colonna6]])</f>
        <v>0</v>
      </c>
      <c r="AU64" s="36" cm="1">
        <f t="array" ref="AU64">IF(
    AND($H64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($H64 / 1000) * AU$10 * $BN$4 * 0.25
    ),
    0
)
+
IF(
    $N64 &lt; 0.875,
    MAX(0, MIN(($H64 / 1000) * AU$10 * $BN$4, AU$11 * 0.876) - (AU$11 * $N64)) * 0.25,
    0
)</f>
        <v>0</v>
      </c>
      <c r="AV64" s="36" cm="1">
        <f t="array" ref="AV64">IF(
    AND($H64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($H64 / 1000) * AV$10 * $BN$4 * 0.25
    ),
    0
)
+
IF(
    $N64 &lt; 0.875,
    MAX(0, MIN(($H64 / 1000) * AV$10 * $BN$4, AV$11 * 0.876) - (AV$11 * $N64)) * 0.25,
    0
)</f>
        <v>0</v>
      </c>
      <c r="AW64" s="36" cm="1">
        <f t="array" ref="AW64">IF(
    AND($H64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($H64 / 1000) * AW$10 * $BN$4 * 0.25
    ),
    0
)
+
IF(
    $N64 &lt; 0.875,
    MAX(0, MIN(($H64 / 1000) * AW$10 * $BN$4, AW$11 * 0.876) - (AW$11 * $N64)) * 0.25,
    0
)</f>
        <v>0</v>
      </c>
      <c r="AX64" s="36" cm="1">
        <f t="array" ref="AX64">IF(
    AND($H64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($H64 / 1000) * AX$10 * $BN$4 * 0.25
    ),
    0
)
+
IF(
    $N64 &lt; 0.875,
    MAX(0, MIN(($H64 / 1000) * AX$10 * $BN$4, AX$11 * 0.876) - (AX$11 * $N64)) * 0.25,
    0
)</f>
        <v>0</v>
      </c>
      <c r="AY64" s="36" cm="1">
        <f t="array" ref="AY64">IF(
    AND($H64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($H64 / 1000) * AY$10 * $BN$4 * 0.25
    ),
    0
)
+
IF(
    $N64 &lt; 0.875,
    MAX(0, MIN(($H64 / 1000) * AY$10 * $BN$4, AY$11 * 0.876) - (AY$11 * $N64)) * 0.25,
    0
)</f>
        <v>0</v>
      </c>
      <c r="AZ64" s="36" cm="1">
        <f t="array" ref="AZ64">IF(
    AND($H64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($H64 / 1000) * AZ$10 * $BN$4 * 0.25
    ),
    0
)
+
IF(
    $N64 &lt; 0.875,
    MAX(0, MIN(($H64 / 1000) * AZ$10 * $BN$4, AZ$11 * 0.876) - (AZ$11 * $N64)) * 0.25,
    0
)</f>
        <v>0</v>
      </c>
      <c r="BA64" s="36" cm="1">
        <f t="array" ref="BA64">IF(
    AND($H64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($H64 / 1000) * BA$10 * $BN$4 * 0.25
    ),
    0
)
+
IF(
    $N64 &lt; 0.875,
    MAX(0, MIN(($H64 / 1000) * BA$10 * $BN$4, BA$11 * 0.876) - (BA$11 * $N64)) * 0.25,
    0
)</f>
        <v>0</v>
      </c>
      <c r="BB64" s="36" cm="1">
        <f t="array" ref="BB64">IF(
    AND($H64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($H64 / 1000) * BB$10 * $BN$4 * 0.25
    ),
    0
)
+
IF(
    $N64 &lt; 0.875,
    MAX(0, MIN(($H64 / 1000) * BB$10 * $BN$4, BB$11 * 0.876) - (BB$11 * $N64)) * 0.25,
    0
)</f>
        <v>0</v>
      </c>
      <c r="BC64" s="36" cm="1">
        <f t="array" ref="BC64">IF(
    AND($H64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($H64 / 1000) * BC$10 * $BN$4 * 0.25
    ),
    0
)
+
IF(
    $N64 &lt; 0.875,
    MAX(0, MIN(($H64 / 1000) * BC$10 * $BN$4, BC$11 * 0.876) - (BC$11 * $N64)) * 0.25,
    0
)</f>
        <v>0</v>
      </c>
      <c r="BD64" s="36" cm="1">
        <f t="array" ref="BD64">IF(
    AND($H64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($H64 / 1000) * BD$10 * $BN$4 * 0.25
    ),
    0
)
+
IF(
    $N64 &lt; 0.875,
    MAX(0, MIN(($H64 / 1000) * BD$10 * $BN$4, BD$11 * 0.876) - (BD$11 * $N64)) * 0.25,
    0
)</f>
        <v>0</v>
      </c>
      <c r="BE64" s="36" cm="1">
        <f t="array" ref="BE64">IF(
    AND($H64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($H64 / 1000) * BE$10 * $BN$4 * 0.25
    ),
    0
)
+
IF(
    $N64 &lt; 0.875,
    MAX(0, MIN(($H64 / 1000) * BE$10 * $BN$4, BE$11 * 0.876) - (BE$11 * $N64)) * 0.25,
    0
)</f>
        <v>0</v>
      </c>
      <c r="BF64" s="36" cm="1">
        <f t="array" ref="BF64">IF(
    AND($H64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($H64 / 1000) * BF$10 * $BN$4 * 0.25
    ),
    0
)
+
IF(
    $N64 &lt; 0.875,
    MAX(0, MIN(($H64 / 1000) * BF$10 * $BN$4, BF$11 * 0.876) - (BF$11 * $N64)) * 0.25,
    0
)</f>
        <v>0</v>
      </c>
      <c r="BG64" s="8">
        <f>AVERAGE(TabellaMar2026[[#This Row],[Colonna55]:[Colonna53]])</f>
        <v>0</v>
      </c>
      <c r="BH64" s="8">
        <f>MAX(TabellaMar2026[[#This Row],[Colonna55]:[Colonna53]])</f>
        <v>0</v>
      </c>
      <c r="BI64" s="35">
        <f>MIN(TabellaMar2026[[#This Row],[Colonna55]:[Colonna53]])</f>
        <v>0</v>
      </c>
      <c r="BJ64" s="48">
        <f>SUM(TabellaMar2026[[#This Row],[Colonna54]:[Colonna53]])</f>
        <v>0</v>
      </c>
      <c r="BK64" s="54">
        <f>(SUM(Tabella01MarzoInverter[[Active power TX1-INV-1]:[Active power TX3-INV-12]]) * 0.25) / (12625 * (SUM($G$15:$H$110) * 0.25 / 1000))</f>
        <v>1.014229628761051</v>
      </c>
      <c r="BL64" s="5"/>
      <c r="BM64" s="5"/>
      <c r="BN64" s="8"/>
      <c r="BO64" s="8"/>
      <c r="BP64" s="19"/>
    </row>
    <row r="65" spans="1:68" x14ac:dyDescent="0.25">
      <c r="A65" s="18">
        <v>46147</v>
      </c>
      <c r="B65" t="s">
        <v>65</v>
      </c>
      <c r="C65" s="5">
        <v>827.5</v>
      </c>
      <c r="D65" s="6">
        <v>0.206875</v>
      </c>
      <c r="E65" s="6">
        <v>790.8</v>
      </c>
      <c r="F65" s="6">
        <v>0.19769999999999999</v>
      </c>
      <c r="G65" s="6">
        <f>IFERROR((D65+F65)/2, 0)</f>
        <v>0.20228750000000001</v>
      </c>
      <c r="H65" s="7">
        <f>IFERROR(IF(AVERAGE(C65,E65)&gt;$BN$7,AVERAGE(C65,E65),0), 0)</f>
        <v>809.15</v>
      </c>
      <c r="I65" s="7">
        <f>IFERROR(IF(AND(D65=0,F65=0),0,IF(H65&gt;$BN$6,MAX(D65,F65),G65)), 0)</f>
        <v>0.206875</v>
      </c>
      <c r="J65" s="6">
        <f>IFERROR(IF(AND(D65&gt;0,F65&gt;0),ABS(D65-F65)/AVERAGE(D65,F65),0), 0)</f>
        <v>4.5356238027559864E-2</v>
      </c>
      <c r="K65" s="6">
        <v>30415.3</v>
      </c>
      <c r="L65" s="6">
        <v>30417.7</v>
      </c>
      <c r="M65" s="8">
        <f>IFERROR((L65-K65)*1000, 0)</f>
        <v>2400.0000000014552</v>
      </c>
      <c r="N65" s="6">
        <v>0.87599999999999989</v>
      </c>
      <c r="O65" s="8" cm="1">
        <f t="array" ref="O65">IF(
    AND($H65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($H65 / 1000) * O$10 * $BN$4 * 0.25
    ),
    0
)
+
IF(
    $N65 &lt; 0.875,
    MAX(0, MIN(($H65 / 1000) * O$10 * $BN$4, O$11 * 0.876) - (O$11 * $N65)) * 0.25,
    0
)</f>
        <v>0</v>
      </c>
      <c r="P65" s="8" cm="1">
        <f t="array" ref="P65">IF(
    AND($H65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($H65 / 1000) * P$10 * $BN$4 * 0.25
    ),
    0
)
+
IF(
    $N65 &lt; 0.875,
    MAX(0, MIN(($H65 / 1000) * P$10 * $BN$4, P$11 * 0.876) - (P$11 * $N65)) * 0.25,
    0
)</f>
        <v>0</v>
      </c>
      <c r="Q65" s="8" cm="1">
        <f t="array" ref="Q65">IF(
    AND($H65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($H65 / 1000) * Q$10 * $BN$4 * 0.25
    ),
    0
)
+
IF(
    $N65 &lt; 0.875,
    MAX(0, MIN(($H65 / 1000) * Q$10 * $BN$4, Q$11 * 0.876) - (Q$11 * $N65)) * 0.25,
    0
)</f>
        <v>0</v>
      </c>
      <c r="R65" s="8" cm="1">
        <f t="array" ref="R65">IF(
    AND($H65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($H65 / 1000) * R$10 * $BN$4 * 0.25
    ),
    0
)
+
IF(
    $N65 &lt; 0.875,
    MAX(0, MIN(($H65 / 1000) * R$10 * $BN$4, R$11 * 0.876) - (R$11 * $N65)) * 0.25,
    0
)</f>
        <v>0</v>
      </c>
      <c r="S65" s="8" cm="1">
        <f t="array" ref="S65">IF(
    AND($H65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($H65 / 1000) * S$10 * $BN$4 * 0.25
    ),
    0
)
+
IF(
    $N65 &lt; 0.875,
    MAX(0, MIN(($H65 / 1000) * S$10 * $BN$4, S$11 * 0.876) - (S$11 * $N65)) * 0.25,
    0
)</f>
        <v>0</v>
      </c>
      <c r="T65" s="8" cm="1">
        <f t="array" ref="T65">IF(
    AND($H65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($H65 / 1000) * T$10 * $BN$4 * 0.25
    ),
    0
)
+
IF(
    $N65 &lt; 0.875,
    MAX(0, MIN(($H65 / 1000) * T$10 * $BN$4, T$11 * 0.876) - (T$11 * $N65)) * 0.25,
    0
)</f>
        <v>0</v>
      </c>
      <c r="U65" s="8" cm="1">
        <f t="array" ref="U65">IF(
    AND($H65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($H65 / 1000) * U$10 * $BN$4 * 0.25
    ),
    0
)
+
IF(
    $N65 &lt; 0.875,
    MAX(0, MIN(($H65 / 1000) * U$10 * $BN$4, U$11 * 0.876) - (U$11 * $N65)) * 0.25,
    0
)</f>
        <v>0</v>
      </c>
      <c r="V65" s="8" cm="1">
        <f t="array" ref="V65">IF(
    AND($H65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($H65 / 1000) * V$10 * $BN$4 * 0.25
    ),
    0
)
+
IF(
    $N65 &lt; 0.875,
    MAX(0, MIN(($H65 / 1000) * V$10 * $BN$4, V$11 * 0.876) - (V$11 * $N65)) * 0.25,
    0
)</f>
        <v>0</v>
      </c>
      <c r="W65" s="8" cm="1">
        <f t="array" ref="W65">IF(
    AND($H65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($H65 / 1000) * W$10 * $BN$4 * 0.25
    ),
    0
)
+
IF(
    $N65 &lt; 0.875,
    MAX(0, MIN(($H65 / 1000) * W$10 * $BN$4, W$11 * 0.876) - (W$11 * $N65)) * 0.25,
    0
)</f>
        <v>0</v>
      </c>
      <c r="X65" s="8" cm="1">
        <f t="array" ref="X65">IF(
    AND($H65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($H65 / 1000) * X$10 * $BN$4 * 0.25
    ),
    0
)
+
IF(
    $N65 &lt; 0.875,
    MAX(0, MIN(($H65 / 1000) * X$10 * $BN$4, X$11 * 0.876) - (X$11 * $N65)) * 0.25,
    0
)</f>
        <v>0</v>
      </c>
      <c r="Y65" s="8" cm="1">
        <f t="array" ref="Y65">IF(
    AND($H65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($H65 / 1000) * Y$10 * $BN$4 * 0.25
    ),
    0
)
+
IF(
    $N65 &lt; 0.875,
    MAX(0, MIN(($H65 / 1000) * Y$10 * $BN$4, Y$11 * 0.876) - (Y$11 * $N65)) * 0.25,
    0
)</f>
        <v>0</v>
      </c>
      <c r="Z65" s="8" cm="1">
        <f t="array" ref="Z65">IF(
    AND($H65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($H65 / 1000) * Z$10 * $BN$4 * 0.25
    ),
    0
)
+
IF(
    $N65 &lt; 0.875,
    MAX(0, MIN(($H65 / 1000) * Z$10 * $BN$4, Z$11 * 0.876) - (Z$11 * $N65)) * 0.25,
    0
)</f>
        <v>0</v>
      </c>
      <c r="AA65" s="8">
        <f>AVERAGE(TabellaMar2026[[#This Row],[Colonna24]:[Colonna20]])</f>
        <v>0</v>
      </c>
      <c r="AB65" s="8">
        <f>MAX(TabellaMar2026[[#This Row],[Colonna24]:[Colonna20]])</f>
        <v>0</v>
      </c>
      <c r="AC65" s="35">
        <f>MIN(TabellaMar2026[[#This Row],[Colonna24]:[Colonna20]])</f>
        <v>0</v>
      </c>
      <c r="AD65" s="44">
        <f>SUM(TabellaMar2026[[#This Row],[Colonna24]:[Colonna20]])</f>
        <v>0</v>
      </c>
      <c r="AE65" s="36">
        <f>IF(
    AND($H65 &gt; $BN$7, Tabella01MarzoInverter[[#This Row],[Active power TX2-INV-1]] &lt;= 0, Tabella01MarzoInverter[[#This Row],[TX2 - Average Power]] &lt;= 0),
    MIN(($H65 / 1000) * AE$10 * $BN$4, AE$11 * 0.876) * 0.25,
    IF(
        AND($H65 &gt; $BN$7, Tabella01MarzoInverter[[#This Row],[Active power TX2-INV-1]] &lt;= 0),
        Tabella01MarzoInverter[[#This Row],[TX2 - Average Power]] * 0.25,
        0
    )
    +
    IF(
        $N65 &lt; 0.875,
        MAX(0, MIN(($H65 / 1000) * AE$10 * $BN$4, AE$11 * 0.876) - (AE$11 * $N65)) * 0.25,
        0
    )
)</f>
        <v>0</v>
      </c>
      <c r="AF65" s="36">
        <f>IF(
    AND($H65 &gt; $BN$7, Tabella01MarzoInverter[[#This Row],[Active power TX2-INV-2]] &lt;= 0, Tabella01MarzoInverter[[#This Row],[TX2 - Max Power]] &lt;= 0),
    MIN(($H65 / 1000) * AF$10 * $BN$4, AF$11 * 0.876) * 0.25,
    IF(
        AND($H65 &gt; $BN$7, Tabella01MarzoInverter[[#This Row],[Active power TX2-INV-2]] &lt;= 0),
        Tabella01MarzoInverter[[#This Row],[TX2 - Max Power]] * 0.25,
        0
    )
    +
    IF(
        $N65 &lt; 0.875,
        MAX(0, MIN(($H65 / 1000) * AF$10 * $BN$4, AF$11 * 0.876) - (AF$11 * $N65)) * 0.25,
        0
    )
)</f>
        <v>0</v>
      </c>
      <c r="AG65" s="36">
        <f>IF(
    AND($H65 &gt; $BN$7, Tabella01MarzoInverter[[#This Row],[Active power TX2-INV-3]] &lt;= 0, Tabella01MarzoInverter[[#This Row],[TX2 - Min Power]] &lt;= 0),
    MIN(($H65 / 1000) * AG$10 * $BN$4, AG$11 * 0.876) * 0.25,
    IF(
        AND($H65 &gt; $BN$7, Tabella01MarzoInverter[[#This Row],[Active power TX2-INV-3]] &lt;= 0),
        Tabella01MarzoInverter[[#This Row],[TX2 - Min Power]] * 0.25,
        0
    )
    +
    IF(
        $N65 &lt; 0.875,
        MAX(0, MIN(($H65 / 1000) * AG$10 * $BN$4, AG$11 * 0.876) - (AG$11 * $N65)) * 0.25,
        0
    )
)</f>
        <v>0</v>
      </c>
      <c r="AH65" s="36">
        <f>IF(
    AND($H65 &gt; $BN$7, Tabella01MarzoInverter[[#This Row],[Active power TX2-INV-4]] &lt;= 0, Tabella01MarzoInverter[[#This Row],[Active power TX3-INV-1]] &lt;= 0),
    MIN(($H65 / 1000) * AH$10 * $BN$4, AH$11 * 0.876) * 0.25,
    IF(
        AND($H65 &gt; $BN$7, Tabella01MarzoInverter[[#This Row],[Active power TX2-INV-4]] &lt;= 0),
        Tabella01MarzoInverter[[#This Row],[Active power TX3-INV-1]] * 0.25,
        0
    )
    +
    IF(
        $N65 &lt; 0.875,
        MAX(0, MIN(($H65 / 1000) * AH$10 * $BN$4, AH$11 * 0.876) - (AH$11 * $N65)) * 0.25,
        0
    )
)</f>
        <v>0</v>
      </c>
      <c r="AI65" s="36">
        <f>IF(
    AND($H65 &gt; $BN$7, Tabella01MarzoInverter[[#This Row],[Active power TX2-INV-5]] &lt;= 0, Tabella01MarzoInverter[[#This Row],[Active power TX3-INV-2]] &lt;= 0),
    MIN(($H65 / 1000) * AI$10 * $BN$4, AI$11 * 0.876) * 0.25,
    IF(
        AND($H65 &gt; $BN$7, Tabella01MarzoInverter[[#This Row],[Active power TX2-INV-5]] &lt;= 0),
        Tabella01MarzoInverter[[#This Row],[Active power TX3-INV-2]] * 0.25,
        0
    )
    +
    IF(
        $N65 &lt; 0.875,
        MAX(0, MIN(($H65 / 1000) * AI$10 * $BN$4, AI$11 * 0.876) - (AI$11 * $N65)) * 0.25,
        0
    )
)</f>
        <v>0</v>
      </c>
      <c r="AJ65" s="36">
        <f>IF(
    AND($H65 &gt; $BN$7, Tabella01MarzoInverter[[#This Row],[Active power TX2-INV-6]] &lt;= 0, Tabella01MarzoInverter[[#This Row],[Active power TX3-INV-3]] &lt;= 0),
    MIN(($H65 / 1000) * AJ$10 * $BN$4, AJ$11 * 0.876) * 0.25,
    IF(
        AND($H65 &gt; $BN$7, Tabella01MarzoInverter[[#This Row],[Active power TX2-INV-6]] &lt;= 0),
        Tabella01MarzoInverter[[#This Row],[Active power TX3-INV-3]] * 0.25,
        0
    )
    +
    IF(
        $N65 &lt; 0.875,
        MAX(0, MIN(($H65 / 1000) * AJ$10 * $BN$4, AJ$11 * 0.876) - (AJ$11 * $N65)) * 0.25,
        0
    )
)</f>
        <v>0</v>
      </c>
      <c r="AK65" s="36">
        <f>IF(
    AND($H65 &gt; $BN$7, Tabella01MarzoInverter[[#This Row],[Active power TX2-INV-7]] &lt;= 0, Tabella01MarzoInverter[[#This Row],[Active power TX3-INV-4]] &lt;= 0),
    MIN(($H65 / 1000) * AK$10 * $BN$4, AK$11 * 0.876) * 0.25,
    IF(
        AND($H65 &gt; $BN$7, Tabella01MarzoInverter[[#This Row],[Active power TX2-INV-7]] &lt;= 0),
        Tabella01MarzoInverter[[#This Row],[Active power TX3-INV-4]] * 0.25,
        0
    )
    +
    IF(
        $N65 &lt; 0.875,
        MAX(0, MIN(($H65 / 1000) * AK$10 * $BN$4, AK$11 * 0.876) - (AK$11 * $N65)) * 0.25,
        0
    )
)</f>
        <v>0</v>
      </c>
      <c r="AL65" s="36">
        <f>IF(
    AND($H65 &gt; $BN$7, Tabella01MarzoInverter[[#This Row],[Active power TX2-INV-8]] &lt;= 0, Tabella01MarzoInverter[[#This Row],[Active power TX3-INV-5]] &lt;= 0),
    MIN(($H65 / 1000) * AL$10 * $BN$4, AL$11 * 0.876) * 0.25,
    IF(
        AND($H65 &gt; $BN$7, Tabella01MarzoInverter[[#This Row],[Active power TX2-INV-8]] &lt;= 0),
        Tabella01MarzoInverter[[#This Row],[Active power TX3-INV-5]] * 0.25,
        0
    )
    +
    IF(
        $N65 &lt; 0.875,
        MAX(0, MIN(($H65 / 1000) * AL$10 * $BN$4, AL$11 * 0.876) - (AL$11 * $N65)) * 0.25,
        0
    )
)</f>
        <v>0</v>
      </c>
      <c r="AM65" s="36">
        <f>IF(
    AND($H65 &gt; $BN$7, Tabella01MarzoInverter[[#This Row],[Active power TX2-INV-9]] &lt;= 0, Tabella01MarzoInverter[[#This Row],[Active power TX3-INV-6]] &lt;= 0),
    MIN(($H65 / 1000) * AM$10 * $BN$4, AM$11 * 0.876) * 0.25,
    IF(
        AND($H65 &gt; $BN$7, Tabella01MarzoInverter[[#This Row],[Active power TX2-INV-9]] &lt;= 0),
        Tabella01MarzoInverter[[#This Row],[Active power TX3-INV-6]] * 0.25,
        0
    )
    +
    IF(
        $N65 &lt; 0.875,
        MAX(0, MIN(($H65 / 1000) * AM$10 * $BN$4, AM$11 * 0.876) - (AM$11 * $N65)) * 0.25,
        0
    )
)</f>
        <v>0</v>
      </c>
      <c r="AN65" s="36">
        <f>IF(
    AND($H65 &gt; $BN$7, Tabella01MarzoInverter[[#This Row],[Active power TX2-INV-10]] &lt;= 0, Tabella01MarzoInverter[[#This Row],[Active power TX3-INV-7]] &lt;= 0),
    MIN(($H65 / 1000) * AN$10 * $BN$4, AN$11 * 0.876) * 0.25,
    IF(
        AND($H65 &gt; $BN$7, Tabella01MarzoInverter[[#This Row],[Active power TX2-INV-10]] &lt;= 0),
        Tabella01MarzoInverter[[#This Row],[Active power TX3-INV-7]] * 0.25,
        0
    )
    +
    IF(
        $N65 &lt; 0.875,
        MAX(0, MIN(($H65 / 1000) * AN$10 * $BN$4, AN$11 * 0.876) - (AN$11 * $N65)) * 0.25,
        0
    )
)</f>
        <v>0</v>
      </c>
      <c r="AO65" s="36">
        <f>IF(
    AND($H65 &gt; $BN$7, Tabella01MarzoInverter[[#This Row],[Active power TX2-INV-11]] &lt;= 0, Tabella01MarzoInverter[[#This Row],[Active power TX3-INV-8]] &lt;= 0),
    MIN(($H65 / 1000) * AO$10 * $BN$4, AO$11 * 0.876) * 0.25,
    IF(
        AND($H65 &gt; $BN$7, Tabella01MarzoInverter[[#This Row],[Active power TX2-INV-11]] &lt;= 0),
        Tabella01MarzoInverter[[#This Row],[Active power TX3-INV-8]] * 0.25,
        0
    )
    +
    IF(
        $N65 &lt; 0.875,
        MAX(0, MIN(($H65 / 1000) * AO$10 * $BN$4, AO$11 * 0.876) - (AO$11 * $N65)) * 0.25,
        0
    )
)</f>
        <v>0</v>
      </c>
      <c r="AP65" s="36">
        <f>IF(
    AND($H65 &gt; $BN$7, Tabella01MarzoInverter[[#This Row],[Active power TX2-INV-12]] &lt;= 0, Tabella01MarzoInverter[[#This Row],[Active power TX3-INV-9]] &lt;= 0),
    MIN(($H65 / 1000) * AP$10 * $BN$4, AP$11 * 0.876) * 0.25,
    IF(
        AND($H65 &gt; $BN$7, Tabella01MarzoInverter[[#This Row],[Active power TX2-INV-12]] &lt;= 0),
        Tabella01MarzoInverter[[#This Row],[Active power TX3-INV-9]] * 0.25,
        0
    )
    +
    IF(
        $N65 &lt; 0.875,
        MAX(0, MIN(($H65 / 1000) * AP$10 * $BN$4, AP$11 * 0.876) - (AP$11 * $N65)) * 0.25,
        0
    )
)</f>
        <v>0</v>
      </c>
      <c r="AQ65" s="8">
        <f>AVERAGE(TabellaMar2026[[#This Row],[Colonna39]:[Colonna6]])</f>
        <v>0</v>
      </c>
      <c r="AR65" s="8">
        <f>MAX(TabellaMar2026[[#This Row],[Colonna39]:[Colonna6]])</f>
        <v>0</v>
      </c>
      <c r="AS65" s="35">
        <f>MIN(TabellaMar2026[[#This Row],[Colonna39]:[Colonna6]])</f>
        <v>0</v>
      </c>
      <c r="AT65" s="48">
        <f>SUM(TabellaMar2026[[#This Row],[Colonna39]:[Colonna6]])</f>
        <v>0</v>
      </c>
      <c r="AU65" s="36" cm="1">
        <f t="array" ref="AU65">IF(
    AND($H65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($H65 / 1000) * AU$10 * $BN$4 * 0.25
    ),
    0
)
+
IF(
    $N65 &lt; 0.875,
    MAX(0, MIN(($H65 / 1000) * AU$10 * $BN$4, AU$11 * 0.876) - (AU$11 * $N65)) * 0.25,
    0
)</f>
        <v>0</v>
      </c>
      <c r="AV65" s="36" cm="1">
        <f t="array" ref="AV65">IF(
    AND($H65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($H65 / 1000) * AV$10 * $BN$4 * 0.25
    ),
    0
)
+
IF(
    $N65 &lt; 0.875,
    MAX(0, MIN(($H65 / 1000) * AV$10 * $BN$4, AV$11 * 0.876) - (AV$11 * $N65)) * 0.25,
    0
)</f>
        <v>0</v>
      </c>
      <c r="AW65" s="36" cm="1">
        <f t="array" ref="AW65">IF(
    AND($H65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($H65 / 1000) * AW$10 * $BN$4 * 0.25
    ),
    0
)
+
IF(
    $N65 &lt; 0.875,
    MAX(0, MIN(($H65 / 1000) * AW$10 * $BN$4, AW$11 * 0.876) - (AW$11 * $N65)) * 0.25,
    0
)</f>
        <v>0</v>
      </c>
      <c r="AX65" s="36" cm="1">
        <f t="array" ref="AX65">IF(
    AND($H65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($H65 / 1000) * AX$10 * $BN$4 * 0.25
    ),
    0
)
+
IF(
    $N65 &lt; 0.875,
    MAX(0, MIN(($H65 / 1000) * AX$10 * $BN$4, AX$11 * 0.876) - (AX$11 * $N65)) * 0.25,
    0
)</f>
        <v>0</v>
      </c>
      <c r="AY65" s="36" cm="1">
        <f t="array" ref="AY65">IF(
    AND($H65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($H65 / 1000) * AY$10 * $BN$4 * 0.25
    ),
    0
)
+
IF(
    $N65 &lt; 0.875,
    MAX(0, MIN(($H65 / 1000) * AY$10 * $BN$4, AY$11 * 0.876) - (AY$11 * $N65)) * 0.25,
    0
)</f>
        <v>0</v>
      </c>
      <c r="AZ65" s="36" cm="1">
        <f t="array" ref="AZ65">IF(
    AND($H65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($H65 / 1000) * AZ$10 * $BN$4 * 0.25
    ),
    0
)
+
IF(
    $N65 &lt; 0.875,
    MAX(0, MIN(($H65 / 1000) * AZ$10 * $BN$4, AZ$11 * 0.876) - (AZ$11 * $N65)) * 0.25,
    0
)</f>
        <v>0</v>
      </c>
      <c r="BA65" s="36" cm="1">
        <f t="array" ref="BA65">IF(
    AND($H65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($H65 / 1000) * BA$10 * $BN$4 * 0.25
    ),
    0
)
+
IF(
    $N65 &lt; 0.875,
    MAX(0, MIN(($H65 / 1000) * BA$10 * $BN$4, BA$11 * 0.876) - (BA$11 * $N65)) * 0.25,
    0
)</f>
        <v>0</v>
      </c>
      <c r="BB65" s="36" cm="1">
        <f t="array" ref="BB65">IF(
    AND($H65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($H65 / 1000) * BB$10 * $BN$4 * 0.25
    ),
    0
)
+
IF(
    $N65 &lt; 0.875,
    MAX(0, MIN(($H65 / 1000) * BB$10 * $BN$4, BB$11 * 0.876) - (BB$11 * $N65)) * 0.25,
    0
)</f>
        <v>0</v>
      </c>
      <c r="BC65" s="36" cm="1">
        <f t="array" ref="BC65">IF(
    AND($H65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($H65 / 1000) * BC$10 * $BN$4 * 0.25
    ),
    0
)
+
IF(
    $N65 &lt; 0.875,
    MAX(0, MIN(($H65 / 1000) * BC$10 * $BN$4, BC$11 * 0.876) - (BC$11 * $N65)) * 0.25,
    0
)</f>
        <v>0</v>
      </c>
      <c r="BD65" s="36" cm="1">
        <f t="array" ref="BD65">IF(
    AND($H65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($H65 / 1000) * BD$10 * $BN$4 * 0.25
    ),
    0
)
+
IF(
    $N65 &lt; 0.875,
    MAX(0, MIN(($H65 / 1000) * BD$10 * $BN$4, BD$11 * 0.876) - (BD$11 * $N65)) * 0.25,
    0
)</f>
        <v>0</v>
      </c>
      <c r="BE65" s="36" cm="1">
        <f t="array" ref="BE65">IF(
    AND($H65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($H65 / 1000) * BE$10 * $BN$4 * 0.25
    ),
    0
)
+
IF(
    $N65 &lt; 0.875,
    MAX(0, MIN(($H65 / 1000) * BE$10 * $BN$4, BE$11 * 0.876) - (BE$11 * $N65)) * 0.25,
    0
)</f>
        <v>0</v>
      </c>
      <c r="BF65" s="36" cm="1">
        <f t="array" ref="BF65">IF(
    AND($H65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($H65 / 1000) * BF$10 * $BN$4 * 0.25
    ),
    0
)
+
IF(
    $N65 &lt; 0.875,
    MAX(0, MIN(($H65 / 1000) * BF$10 * $BN$4, BF$11 * 0.876) - (BF$11 * $N65)) * 0.25,
    0
)</f>
        <v>0</v>
      </c>
      <c r="BG65" s="8">
        <f>AVERAGE(TabellaMar2026[[#This Row],[Colonna55]:[Colonna53]])</f>
        <v>0</v>
      </c>
      <c r="BH65" s="8">
        <f>MAX(TabellaMar2026[[#This Row],[Colonna55]:[Colonna53]])</f>
        <v>0</v>
      </c>
      <c r="BI65" s="35">
        <f>MIN(TabellaMar2026[[#This Row],[Colonna55]:[Colonna53]])</f>
        <v>0</v>
      </c>
      <c r="BJ65" s="48">
        <f>SUM(TabellaMar2026[[#This Row],[Colonna54]:[Colonna53]])</f>
        <v>0</v>
      </c>
      <c r="BK65" s="54">
        <f>(SUM(Tabella01MarzoInverter[[Active power TX1-INV-1]:[Active power TX3-INV-12]]) * 0.25) / (12625 * (SUM($G$15:$H$110) * 0.25 / 1000))</f>
        <v>1.014229628761051</v>
      </c>
      <c r="BL65" s="5"/>
      <c r="BM65" s="5"/>
      <c r="BN65" s="8"/>
      <c r="BO65" s="8"/>
      <c r="BP65" s="19"/>
    </row>
    <row r="66" spans="1:68" x14ac:dyDescent="0.25">
      <c r="A66" s="18">
        <v>46147</v>
      </c>
      <c r="B66" t="s">
        <v>66</v>
      </c>
      <c r="C66" s="5">
        <v>913</v>
      </c>
      <c r="D66" s="6">
        <v>0.22825000000000001</v>
      </c>
      <c r="E66" s="6">
        <v>907.1</v>
      </c>
      <c r="F66" s="6">
        <v>0.226775</v>
      </c>
      <c r="G66" s="6">
        <f>IFERROR((D66+F66)/2, 0)</f>
        <v>0.22751250000000001</v>
      </c>
      <c r="H66" s="7">
        <f>IFERROR(IF(AVERAGE(C66,E66)&gt;$BN$7,AVERAGE(C66,E66),0), 0)</f>
        <v>910.05</v>
      </c>
      <c r="I66" s="7">
        <f>IFERROR(IF(AND(D66=0,F66=0),0,IF(H66&gt;$BN$6,MAX(D66,F66),G66)), 0)</f>
        <v>0.22825000000000001</v>
      </c>
      <c r="J66" s="6">
        <f>IFERROR(IF(AND(D66&gt;0,F66&gt;0),ABS(D66-F66)/AVERAGE(D66,F66),0), 0)</f>
        <v>6.483160265919473E-3</v>
      </c>
      <c r="K66" s="6">
        <v>30417.7</v>
      </c>
      <c r="L66" s="6">
        <v>30419.9</v>
      </c>
      <c r="M66" s="8">
        <f>IFERROR((L66-K66)*1000, 0)</f>
        <v>2200.0000000007276</v>
      </c>
      <c r="N66" s="6">
        <v>0.87599999999999989</v>
      </c>
      <c r="O66" s="8" cm="1">
        <f t="array" ref="O66">IF(
    AND($H66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($H66 / 1000) * O$10 * $BN$4 * 0.25
    ),
    0
)
+
IF(
    $N66 &lt; 0.875,
    MAX(0, MIN(($H66 / 1000) * O$10 * $BN$4, O$11 * 0.876) - (O$11 * $N66)) * 0.25,
    0
)</f>
        <v>0</v>
      </c>
      <c r="P66" s="8" cm="1">
        <f t="array" ref="P66">IF(
    AND($H66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($H66 / 1000) * P$10 * $BN$4 * 0.25
    ),
    0
)
+
IF(
    $N66 &lt; 0.875,
    MAX(0, MIN(($H66 / 1000) * P$10 * $BN$4, P$11 * 0.876) - (P$11 * $N66)) * 0.25,
    0
)</f>
        <v>0</v>
      </c>
      <c r="Q66" s="8" cm="1">
        <f t="array" ref="Q66">IF(
    AND($H66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($H66 / 1000) * Q$10 * $BN$4 * 0.25
    ),
    0
)
+
IF(
    $N66 &lt; 0.875,
    MAX(0, MIN(($H66 / 1000) * Q$10 * $BN$4, Q$11 * 0.876) - (Q$11 * $N66)) * 0.25,
    0
)</f>
        <v>0</v>
      </c>
      <c r="R66" s="8" cm="1">
        <f t="array" ref="R66">IF(
    AND($H66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($H66 / 1000) * R$10 * $BN$4 * 0.25
    ),
    0
)
+
IF(
    $N66 &lt; 0.875,
    MAX(0, MIN(($H66 / 1000) * R$10 * $BN$4, R$11 * 0.876) - (R$11 * $N66)) * 0.25,
    0
)</f>
        <v>0</v>
      </c>
      <c r="S66" s="8" cm="1">
        <f t="array" ref="S66">IF(
    AND($H66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($H66 / 1000) * S$10 * $BN$4 * 0.25
    ),
    0
)
+
IF(
    $N66 &lt; 0.875,
    MAX(0, MIN(($H66 / 1000) * S$10 * $BN$4, S$11 * 0.876) - (S$11 * $N66)) * 0.25,
    0
)</f>
        <v>0</v>
      </c>
      <c r="T66" s="8" cm="1">
        <f t="array" ref="T66">IF(
    AND($H66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($H66 / 1000) * T$10 * $BN$4 * 0.25
    ),
    0
)
+
IF(
    $N66 &lt; 0.875,
    MAX(0, MIN(($H66 / 1000) * T$10 * $BN$4, T$11 * 0.876) - (T$11 * $N66)) * 0.25,
    0
)</f>
        <v>0</v>
      </c>
      <c r="U66" s="8" cm="1">
        <f t="array" ref="U66">IF(
    AND($H66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($H66 / 1000) * U$10 * $BN$4 * 0.25
    ),
    0
)
+
IF(
    $N66 &lt; 0.875,
    MAX(0, MIN(($H66 / 1000) * U$10 * $BN$4, U$11 * 0.876) - (U$11 * $N66)) * 0.25,
    0
)</f>
        <v>0</v>
      </c>
      <c r="V66" s="8" cm="1">
        <f t="array" ref="V66">IF(
    AND($H66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($H66 / 1000) * V$10 * $BN$4 * 0.25
    ),
    0
)
+
IF(
    $N66 &lt; 0.875,
    MAX(0, MIN(($H66 / 1000) * V$10 * $BN$4, V$11 * 0.876) - (V$11 * $N66)) * 0.25,
    0
)</f>
        <v>0</v>
      </c>
      <c r="W66" s="8" cm="1">
        <f t="array" ref="W66">IF(
    AND($H66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($H66 / 1000) * W$10 * $BN$4 * 0.25
    ),
    0
)
+
IF(
    $N66 &lt; 0.875,
    MAX(0, MIN(($H66 / 1000) * W$10 * $BN$4, W$11 * 0.876) - (W$11 * $N66)) * 0.25,
    0
)</f>
        <v>0</v>
      </c>
      <c r="X66" s="8" cm="1">
        <f t="array" ref="X66">IF(
    AND($H66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($H66 / 1000) * X$10 * $BN$4 * 0.25
    ),
    0
)
+
IF(
    $N66 &lt; 0.875,
    MAX(0, MIN(($H66 / 1000) * X$10 * $BN$4, X$11 * 0.876) - (X$11 * $N66)) * 0.25,
    0
)</f>
        <v>0</v>
      </c>
      <c r="Y66" s="8" cm="1">
        <f t="array" ref="Y66">IF(
    AND($H66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($H66 / 1000) * Y$10 * $BN$4 * 0.25
    ),
    0
)
+
IF(
    $N66 &lt; 0.875,
    MAX(0, MIN(($H66 / 1000) * Y$10 * $BN$4, Y$11 * 0.876) - (Y$11 * $N66)) * 0.25,
    0
)</f>
        <v>0</v>
      </c>
      <c r="Z66" s="8" cm="1">
        <f t="array" ref="Z66">IF(
    AND($H66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($H66 / 1000) * Z$10 * $BN$4 * 0.25
    ),
    0
)
+
IF(
    $N66 &lt; 0.875,
    MAX(0, MIN(($H66 / 1000) * Z$10 * $BN$4, Z$11 * 0.876) - (Z$11 * $N66)) * 0.25,
    0
)</f>
        <v>0</v>
      </c>
      <c r="AA66" s="8">
        <f>AVERAGE(TabellaMar2026[[#This Row],[Colonna24]:[Colonna20]])</f>
        <v>0</v>
      </c>
      <c r="AB66" s="8">
        <f>MAX(TabellaMar2026[[#This Row],[Colonna24]:[Colonna20]])</f>
        <v>0</v>
      </c>
      <c r="AC66" s="35">
        <f>MIN(TabellaMar2026[[#This Row],[Colonna24]:[Colonna20]])</f>
        <v>0</v>
      </c>
      <c r="AD66" s="44">
        <f>SUM(TabellaMar2026[[#This Row],[Colonna24]:[Colonna20]])</f>
        <v>0</v>
      </c>
      <c r="AE66" s="36">
        <f>IF(
    AND($H66 &gt; $BN$7, Tabella01MarzoInverter[[#This Row],[Active power TX2-INV-1]] &lt;= 0, Tabella01MarzoInverter[[#This Row],[TX2 - Average Power]] &lt;= 0),
    MIN(($H66 / 1000) * AE$10 * $BN$4, AE$11 * 0.876) * 0.25,
    IF(
        AND($H66 &gt; $BN$7, Tabella01MarzoInverter[[#This Row],[Active power TX2-INV-1]] &lt;= 0),
        Tabella01MarzoInverter[[#This Row],[TX2 - Average Power]] * 0.25,
        0
    )
    +
    IF(
        $N66 &lt; 0.875,
        MAX(0, MIN(($H66 / 1000) * AE$10 * $BN$4, AE$11 * 0.876) - (AE$11 * $N66)) * 0.25,
        0
    )
)</f>
        <v>0</v>
      </c>
      <c r="AF66" s="36">
        <f>IF(
    AND($H66 &gt; $BN$7, Tabella01MarzoInverter[[#This Row],[Active power TX2-INV-2]] &lt;= 0, Tabella01MarzoInverter[[#This Row],[TX2 - Max Power]] &lt;= 0),
    MIN(($H66 / 1000) * AF$10 * $BN$4, AF$11 * 0.876) * 0.25,
    IF(
        AND($H66 &gt; $BN$7, Tabella01MarzoInverter[[#This Row],[Active power TX2-INV-2]] &lt;= 0),
        Tabella01MarzoInverter[[#This Row],[TX2 - Max Power]] * 0.25,
        0
    )
    +
    IF(
        $N66 &lt; 0.875,
        MAX(0, MIN(($H66 / 1000) * AF$10 * $BN$4, AF$11 * 0.876) - (AF$11 * $N66)) * 0.25,
        0
    )
)</f>
        <v>0</v>
      </c>
      <c r="AG66" s="36">
        <f>IF(
    AND($H66 &gt; $BN$7, Tabella01MarzoInverter[[#This Row],[Active power TX2-INV-3]] &lt;= 0, Tabella01MarzoInverter[[#This Row],[TX2 - Min Power]] &lt;= 0),
    MIN(($H66 / 1000) * AG$10 * $BN$4, AG$11 * 0.876) * 0.25,
    IF(
        AND($H66 &gt; $BN$7, Tabella01MarzoInverter[[#This Row],[Active power TX2-INV-3]] &lt;= 0),
        Tabella01MarzoInverter[[#This Row],[TX2 - Min Power]] * 0.25,
        0
    )
    +
    IF(
        $N66 &lt; 0.875,
        MAX(0, MIN(($H66 / 1000) * AG$10 * $BN$4, AG$11 * 0.876) - (AG$11 * $N66)) * 0.25,
        0
    )
)</f>
        <v>0</v>
      </c>
      <c r="AH66" s="36">
        <f>IF(
    AND($H66 &gt; $BN$7, Tabella01MarzoInverter[[#This Row],[Active power TX2-INV-4]] &lt;= 0, Tabella01MarzoInverter[[#This Row],[Active power TX3-INV-1]] &lt;= 0),
    MIN(($H66 / 1000) * AH$10 * $BN$4, AH$11 * 0.876) * 0.25,
    IF(
        AND($H66 &gt; $BN$7, Tabella01MarzoInverter[[#This Row],[Active power TX2-INV-4]] &lt;= 0),
        Tabella01MarzoInverter[[#This Row],[Active power TX3-INV-1]] * 0.25,
        0
    )
    +
    IF(
        $N66 &lt; 0.875,
        MAX(0, MIN(($H66 / 1000) * AH$10 * $BN$4, AH$11 * 0.876) - (AH$11 * $N66)) * 0.25,
        0
    )
)</f>
        <v>0</v>
      </c>
      <c r="AI66" s="36">
        <f>IF(
    AND($H66 &gt; $BN$7, Tabella01MarzoInverter[[#This Row],[Active power TX2-INV-5]] &lt;= 0, Tabella01MarzoInverter[[#This Row],[Active power TX3-INV-2]] &lt;= 0),
    MIN(($H66 / 1000) * AI$10 * $BN$4, AI$11 * 0.876) * 0.25,
    IF(
        AND($H66 &gt; $BN$7, Tabella01MarzoInverter[[#This Row],[Active power TX2-INV-5]] &lt;= 0),
        Tabella01MarzoInverter[[#This Row],[Active power TX3-INV-2]] * 0.25,
        0
    )
    +
    IF(
        $N66 &lt; 0.875,
        MAX(0, MIN(($H66 / 1000) * AI$10 * $BN$4, AI$11 * 0.876) - (AI$11 * $N66)) * 0.25,
        0
    )
)</f>
        <v>0</v>
      </c>
      <c r="AJ66" s="36">
        <f>IF(
    AND($H66 &gt; $BN$7, Tabella01MarzoInverter[[#This Row],[Active power TX2-INV-6]] &lt;= 0, Tabella01MarzoInverter[[#This Row],[Active power TX3-INV-3]] &lt;= 0),
    MIN(($H66 / 1000) * AJ$10 * $BN$4, AJ$11 * 0.876) * 0.25,
    IF(
        AND($H66 &gt; $BN$7, Tabella01MarzoInverter[[#This Row],[Active power TX2-INV-6]] &lt;= 0),
        Tabella01MarzoInverter[[#This Row],[Active power TX3-INV-3]] * 0.25,
        0
    )
    +
    IF(
        $N66 &lt; 0.875,
        MAX(0, MIN(($H66 / 1000) * AJ$10 * $BN$4, AJ$11 * 0.876) - (AJ$11 * $N66)) * 0.25,
        0
    )
)</f>
        <v>0</v>
      </c>
      <c r="AK66" s="36">
        <f>IF(
    AND($H66 &gt; $BN$7, Tabella01MarzoInverter[[#This Row],[Active power TX2-INV-7]] &lt;= 0, Tabella01MarzoInverter[[#This Row],[Active power TX3-INV-4]] &lt;= 0),
    MIN(($H66 / 1000) * AK$10 * $BN$4, AK$11 * 0.876) * 0.25,
    IF(
        AND($H66 &gt; $BN$7, Tabella01MarzoInverter[[#This Row],[Active power TX2-INV-7]] &lt;= 0),
        Tabella01MarzoInverter[[#This Row],[Active power TX3-INV-4]] * 0.25,
        0
    )
    +
    IF(
        $N66 &lt; 0.875,
        MAX(0, MIN(($H66 / 1000) * AK$10 * $BN$4, AK$11 * 0.876) - (AK$11 * $N66)) * 0.25,
        0
    )
)</f>
        <v>0</v>
      </c>
      <c r="AL66" s="36">
        <f>IF(
    AND($H66 &gt; $BN$7, Tabella01MarzoInverter[[#This Row],[Active power TX2-INV-8]] &lt;= 0, Tabella01MarzoInverter[[#This Row],[Active power TX3-INV-5]] &lt;= 0),
    MIN(($H66 / 1000) * AL$10 * $BN$4, AL$11 * 0.876) * 0.25,
    IF(
        AND($H66 &gt; $BN$7, Tabella01MarzoInverter[[#This Row],[Active power TX2-INV-8]] &lt;= 0),
        Tabella01MarzoInverter[[#This Row],[Active power TX3-INV-5]] * 0.25,
        0
    )
    +
    IF(
        $N66 &lt; 0.875,
        MAX(0, MIN(($H66 / 1000) * AL$10 * $BN$4, AL$11 * 0.876) - (AL$11 * $N66)) * 0.25,
        0
    )
)</f>
        <v>0</v>
      </c>
      <c r="AM66" s="36">
        <f>IF(
    AND($H66 &gt; $BN$7, Tabella01MarzoInverter[[#This Row],[Active power TX2-INV-9]] &lt;= 0, Tabella01MarzoInverter[[#This Row],[Active power TX3-INV-6]] &lt;= 0),
    MIN(($H66 / 1000) * AM$10 * $BN$4, AM$11 * 0.876) * 0.25,
    IF(
        AND($H66 &gt; $BN$7, Tabella01MarzoInverter[[#This Row],[Active power TX2-INV-9]] &lt;= 0),
        Tabella01MarzoInverter[[#This Row],[Active power TX3-INV-6]] * 0.25,
        0
    )
    +
    IF(
        $N66 &lt; 0.875,
        MAX(0, MIN(($H66 / 1000) * AM$10 * $BN$4, AM$11 * 0.876) - (AM$11 * $N66)) * 0.25,
        0
    )
)</f>
        <v>0</v>
      </c>
      <c r="AN66" s="36">
        <f>IF(
    AND($H66 &gt; $BN$7, Tabella01MarzoInverter[[#This Row],[Active power TX2-INV-10]] &lt;= 0, Tabella01MarzoInverter[[#This Row],[Active power TX3-INV-7]] &lt;= 0),
    MIN(($H66 / 1000) * AN$10 * $BN$4, AN$11 * 0.876) * 0.25,
    IF(
        AND($H66 &gt; $BN$7, Tabella01MarzoInverter[[#This Row],[Active power TX2-INV-10]] &lt;= 0),
        Tabella01MarzoInverter[[#This Row],[Active power TX3-INV-7]] * 0.25,
        0
    )
    +
    IF(
        $N66 &lt; 0.875,
        MAX(0, MIN(($H66 / 1000) * AN$10 * $BN$4, AN$11 * 0.876) - (AN$11 * $N66)) * 0.25,
        0
    )
)</f>
        <v>0</v>
      </c>
      <c r="AO66" s="36">
        <f>IF(
    AND($H66 &gt; $BN$7, Tabella01MarzoInverter[[#This Row],[Active power TX2-INV-11]] &lt;= 0, Tabella01MarzoInverter[[#This Row],[Active power TX3-INV-8]] &lt;= 0),
    MIN(($H66 / 1000) * AO$10 * $BN$4, AO$11 * 0.876) * 0.25,
    IF(
        AND($H66 &gt; $BN$7, Tabella01MarzoInverter[[#This Row],[Active power TX2-INV-11]] &lt;= 0),
        Tabella01MarzoInverter[[#This Row],[Active power TX3-INV-8]] * 0.25,
        0
    )
    +
    IF(
        $N66 &lt; 0.875,
        MAX(0, MIN(($H66 / 1000) * AO$10 * $BN$4, AO$11 * 0.876) - (AO$11 * $N66)) * 0.25,
        0
    )
)</f>
        <v>0</v>
      </c>
      <c r="AP66" s="36">
        <f>IF(
    AND($H66 &gt; $BN$7, Tabella01MarzoInverter[[#This Row],[Active power TX2-INV-12]] &lt;= 0, Tabella01MarzoInverter[[#This Row],[Active power TX3-INV-9]] &lt;= 0),
    MIN(($H66 / 1000) * AP$10 * $BN$4, AP$11 * 0.876) * 0.25,
    IF(
        AND($H66 &gt; $BN$7, Tabella01MarzoInverter[[#This Row],[Active power TX2-INV-12]] &lt;= 0),
        Tabella01MarzoInverter[[#This Row],[Active power TX3-INV-9]] * 0.25,
        0
    )
    +
    IF(
        $N66 &lt; 0.875,
        MAX(0, MIN(($H66 / 1000) * AP$10 * $BN$4, AP$11 * 0.876) - (AP$11 * $N66)) * 0.25,
        0
    )
)</f>
        <v>0</v>
      </c>
      <c r="AQ66" s="8">
        <f>AVERAGE(TabellaMar2026[[#This Row],[Colonna39]:[Colonna6]])</f>
        <v>0</v>
      </c>
      <c r="AR66" s="8">
        <f>MAX(TabellaMar2026[[#This Row],[Colonna39]:[Colonna6]])</f>
        <v>0</v>
      </c>
      <c r="AS66" s="35">
        <f>MIN(TabellaMar2026[[#This Row],[Colonna39]:[Colonna6]])</f>
        <v>0</v>
      </c>
      <c r="AT66" s="48">
        <f>SUM(TabellaMar2026[[#This Row],[Colonna39]:[Colonna6]])</f>
        <v>0</v>
      </c>
      <c r="AU66" s="36" cm="1">
        <f t="array" ref="AU66">IF(
    AND($H66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($H66 / 1000) * AU$10 * $BN$4 * 0.25
    ),
    0
)
+
IF(
    $N66 &lt; 0.875,
    MAX(0, MIN(($H66 / 1000) * AU$10 * $BN$4, AU$11 * 0.876) - (AU$11 * $N66)) * 0.25,
    0
)</f>
        <v>0</v>
      </c>
      <c r="AV66" s="36" cm="1">
        <f t="array" ref="AV66">IF(
    AND($H66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($H66 / 1000) * AV$10 * $BN$4 * 0.25
    ),
    0
)
+
IF(
    $N66 &lt; 0.875,
    MAX(0, MIN(($H66 / 1000) * AV$10 * $BN$4, AV$11 * 0.876) - (AV$11 * $N66)) * 0.25,
    0
)</f>
        <v>0</v>
      </c>
      <c r="AW66" s="36" cm="1">
        <f t="array" ref="AW66">IF(
    AND($H66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($H66 / 1000) * AW$10 * $BN$4 * 0.25
    ),
    0
)
+
IF(
    $N66 &lt; 0.875,
    MAX(0, MIN(($H66 / 1000) * AW$10 * $BN$4, AW$11 * 0.876) - (AW$11 * $N66)) * 0.25,
    0
)</f>
        <v>0</v>
      </c>
      <c r="AX66" s="36" cm="1">
        <f t="array" ref="AX66">IF(
    AND($H66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($H66 / 1000) * AX$10 * $BN$4 * 0.25
    ),
    0
)
+
IF(
    $N66 &lt; 0.875,
    MAX(0, MIN(($H66 / 1000) * AX$10 * $BN$4, AX$11 * 0.876) - (AX$11 * $N66)) * 0.25,
    0
)</f>
        <v>0</v>
      </c>
      <c r="AY66" s="36" cm="1">
        <f t="array" ref="AY66">IF(
    AND($H66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($H66 / 1000) * AY$10 * $BN$4 * 0.25
    ),
    0
)
+
IF(
    $N66 &lt; 0.875,
    MAX(0, MIN(($H66 / 1000) * AY$10 * $BN$4, AY$11 * 0.876) - (AY$11 * $N66)) * 0.25,
    0
)</f>
        <v>0</v>
      </c>
      <c r="AZ66" s="36" cm="1">
        <f t="array" ref="AZ66">IF(
    AND($H66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($H66 / 1000) * AZ$10 * $BN$4 * 0.25
    ),
    0
)
+
IF(
    $N66 &lt; 0.875,
    MAX(0, MIN(($H66 / 1000) * AZ$10 * $BN$4, AZ$11 * 0.876) - (AZ$11 * $N66)) * 0.25,
    0
)</f>
        <v>0</v>
      </c>
      <c r="BA66" s="36" cm="1">
        <f t="array" ref="BA66">IF(
    AND($H66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($H66 / 1000) * BA$10 * $BN$4 * 0.25
    ),
    0
)
+
IF(
    $N66 &lt; 0.875,
    MAX(0, MIN(($H66 / 1000) * BA$10 * $BN$4, BA$11 * 0.876) - (BA$11 * $N66)) * 0.25,
    0
)</f>
        <v>0</v>
      </c>
      <c r="BB66" s="36" cm="1">
        <f t="array" ref="BB66">IF(
    AND($H66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($H66 / 1000) * BB$10 * $BN$4 * 0.25
    ),
    0
)
+
IF(
    $N66 &lt; 0.875,
    MAX(0, MIN(($H66 / 1000) * BB$10 * $BN$4, BB$11 * 0.876) - (BB$11 * $N66)) * 0.25,
    0
)</f>
        <v>0</v>
      </c>
      <c r="BC66" s="36" cm="1">
        <f t="array" ref="BC66">IF(
    AND($H66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($H66 / 1000) * BC$10 * $BN$4 * 0.25
    ),
    0
)
+
IF(
    $N66 &lt; 0.875,
    MAX(0, MIN(($H66 / 1000) * BC$10 * $BN$4, BC$11 * 0.876) - (BC$11 * $N66)) * 0.25,
    0
)</f>
        <v>0</v>
      </c>
      <c r="BD66" s="36" cm="1">
        <f t="array" ref="BD66">IF(
    AND($H66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($H66 / 1000) * BD$10 * $BN$4 * 0.25
    ),
    0
)
+
IF(
    $N66 &lt; 0.875,
    MAX(0, MIN(($H66 / 1000) * BD$10 * $BN$4, BD$11 * 0.876) - (BD$11 * $N66)) * 0.25,
    0
)</f>
        <v>0</v>
      </c>
      <c r="BE66" s="36" cm="1">
        <f t="array" ref="BE66">IF(
    AND($H66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($H66 / 1000) * BE$10 * $BN$4 * 0.25
    ),
    0
)
+
IF(
    $N66 &lt; 0.875,
    MAX(0, MIN(($H66 / 1000) * BE$10 * $BN$4, BE$11 * 0.876) - (BE$11 * $N66)) * 0.25,
    0
)</f>
        <v>0</v>
      </c>
      <c r="BF66" s="36" cm="1">
        <f t="array" ref="BF66">IF(
    AND($H66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($H66 / 1000) * BF$10 * $BN$4 * 0.25
    ),
    0
)
+
IF(
    $N66 &lt; 0.875,
    MAX(0, MIN(($H66 / 1000) * BF$10 * $BN$4, BF$11 * 0.876) - (BF$11 * $N66)) * 0.25,
    0
)</f>
        <v>0</v>
      </c>
      <c r="BG66" s="8">
        <f>AVERAGE(TabellaMar2026[[#This Row],[Colonna55]:[Colonna53]])</f>
        <v>0</v>
      </c>
      <c r="BH66" s="8">
        <f>MAX(TabellaMar2026[[#This Row],[Colonna55]:[Colonna53]])</f>
        <v>0</v>
      </c>
      <c r="BI66" s="35">
        <f>MIN(TabellaMar2026[[#This Row],[Colonna55]:[Colonna53]])</f>
        <v>0</v>
      </c>
      <c r="BJ66" s="48">
        <f>SUM(TabellaMar2026[[#This Row],[Colonna54]:[Colonna53]])</f>
        <v>0</v>
      </c>
      <c r="BK66" s="54">
        <f>(SUM(Tabella01MarzoInverter[[Active power TX1-INV-1]:[Active power TX3-INV-12]]) * 0.25) / (12625 * (SUM($G$15:$H$110) * 0.25 / 1000))</f>
        <v>1.014229628761051</v>
      </c>
      <c r="BL66" s="5"/>
      <c r="BM66" s="5"/>
      <c r="BN66" s="8"/>
      <c r="BO66" s="8"/>
      <c r="BP66" s="19"/>
    </row>
    <row r="67" spans="1:68" x14ac:dyDescent="0.25">
      <c r="A67" s="18">
        <v>46147</v>
      </c>
      <c r="B67" t="s">
        <v>67</v>
      </c>
      <c r="C67" s="5">
        <v>874.6</v>
      </c>
      <c r="D67" s="6">
        <v>0.21865000000000001</v>
      </c>
      <c r="E67" s="6">
        <v>858.7</v>
      </c>
      <c r="F67" s="6">
        <v>0.214675</v>
      </c>
      <c r="G67" s="6">
        <f>IFERROR((D67+F67)/2, 0)</f>
        <v>0.21666250000000001</v>
      </c>
      <c r="H67" s="7">
        <f>IFERROR(IF(AVERAGE(C67,E67)&gt;$BN$7,AVERAGE(C67,E67),0), 0)</f>
        <v>866.65000000000009</v>
      </c>
      <c r="I67" s="7">
        <f>IFERROR(IF(AND(D67=0,F67=0),0,IF(H67&gt;$BN$6,MAX(D67,F67),G67)), 0)</f>
        <v>0.21865000000000001</v>
      </c>
      <c r="J67" s="6">
        <f>IFERROR(IF(AND(D67&gt;0,F67&gt;0),ABS(D67-F67)/AVERAGE(D67,F67),0), 0)</f>
        <v>1.8346506663589713E-2</v>
      </c>
      <c r="K67" s="6">
        <v>30419.9</v>
      </c>
      <c r="L67" s="6">
        <v>30422.3</v>
      </c>
      <c r="M67" s="8">
        <f>IFERROR((L67-K67)*1000, 0)</f>
        <v>2399.9999999978172</v>
      </c>
      <c r="N67" s="6">
        <v>0.87599999999999989</v>
      </c>
      <c r="O67" s="8" cm="1">
        <f t="array" ref="O67">IF(
    AND($H67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($H67 / 1000) * O$10 * $BN$4 * 0.25
    ),
    0
)
+
IF(
    $N67 &lt; 0.875,
    MAX(0, MIN(($H67 / 1000) * O$10 * $BN$4, O$11 * 0.876) - (O$11 * $N67)) * 0.25,
    0
)</f>
        <v>0</v>
      </c>
      <c r="P67" s="8" cm="1">
        <f t="array" ref="P67">IF(
    AND($H67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($H67 / 1000) * P$10 * $BN$4 * 0.25
    ),
    0
)
+
IF(
    $N67 &lt; 0.875,
    MAX(0, MIN(($H67 / 1000) * P$10 * $BN$4, P$11 * 0.876) - (P$11 * $N67)) * 0.25,
    0
)</f>
        <v>0</v>
      </c>
      <c r="Q67" s="8" cm="1">
        <f t="array" ref="Q67">IF(
    AND($H67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($H67 / 1000) * Q$10 * $BN$4 * 0.25
    ),
    0
)
+
IF(
    $N67 &lt; 0.875,
    MAX(0, MIN(($H67 / 1000) * Q$10 * $BN$4, Q$11 * 0.876) - (Q$11 * $N67)) * 0.25,
    0
)</f>
        <v>0</v>
      </c>
      <c r="R67" s="8" cm="1">
        <f t="array" ref="R67">IF(
    AND($H67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($H67 / 1000) * R$10 * $BN$4 * 0.25
    ),
    0
)
+
IF(
    $N67 &lt; 0.875,
    MAX(0, MIN(($H67 / 1000) * R$10 * $BN$4, R$11 * 0.876) - (R$11 * $N67)) * 0.25,
    0
)</f>
        <v>0</v>
      </c>
      <c r="S67" s="8" cm="1">
        <f t="array" ref="S67">IF(
    AND($H67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($H67 / 1000) * S$10 * $BN$4 * 0.25
    ),
    0
)
+
IF(
    $N67 &lt; 0.875,
    MAX(0, MIN(($H67 / 1000) * S$10 * $BN$4, S$11 * 0.876) - (S$11 * $N67)) * 0.25,
    0
)</f>
        <v>0</v>
      </c>
      <c r="T67" s="8" cm="1">
        <f t="array" ref="T67">IF(
    AND($H67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($H67 / 1000) * T$10 * $BN$4 * 0.25
    ),
    0
)
+
IF(
    $N67 &lt; 0.875,
    MAX(0, MIN(($H67 / 1000) * T$10 * $BN$4, T$11 * 0.876) - (T$11 * $N67)) * 0.25,
    0
)</f>
        <v>0</v>
      </c>
      <c r="U67" s="8" cm="1">
        <f t="array" ref="U67">IF(
    AND($H67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($H67 / 1000) * U$10 * $BN$4 * 0.25
    ),
    0
)
+
IF(
    $N67 &lt; 0.875,
    MAX(0, MIN(($H67 / 1000) * U$10 * $BN$4, U$11 * 0.876) - (U$11 * $N67)) * 0.25,
    0
)</f>
        <v>0</v>
      </c>
      <c r="V67" s="8" cm="1">
        <f t="array" ref="V67">IF(
    AND($H67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($H67 / 1000) * V$10 * $BN$4 * 0.25
    ),
    0
)
+
IF(
    $N67 &lt; 0.875,
    MAX(0, MIN(($H67 / 1000) * V$10 * $BN$4, V$11 * 0.876) - (V$11 * $N67)) * 0.25,
    0
)</f>
        <v>0</v>
      </c>
      <c r="W67" s="8" cm="1">
        <f t="array" ref="W67">IF(
    AND($H67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($H67 / 1000) * W$10 * $BN$4 * 0.25
    ),
    0
)
+
IF(
    $N67 &lt; 0.875,
    MAX(0, MIN(($H67 / 1000) * W$10 * $BN$4, W$11 * 0.876) - (W$11 * $N67)) * 0.25,
    0
)</f>
        <v>0</v>
      </c>
      <c r="X67" s="8" cm="1">
        <f t="array" ref="X67">IF(
    AND($H67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($H67 / 1000) * X$10 * $BN$4 * 0.25
    ),
    0
)
+
IF(
    $N67 &lt; 0.875,
    MAX(0, MIN(($H67 / 1000) * X$10 * $BN$4, X$11 * 0.876) - (X$11 * $N67)) * 0.25,
    0
)</f>
        <v>0</v>
      </c>
      <c r="Y67" s="8" cm="1">
        <f t="array" ref="Y67">IF(
    AND($H67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($H67 / 1000) * Y$10 * $BN$4 * 0.25
    ),
    0
)
+
IF(
    $N67 &lt; 0.875,
    MAX(0, MIN(($H67 / 1000) * Y$10 * $BN$4, Y$11 * 0.876) - (Y$11 * $N67)) * 0.25,
    0
)</f>
        <v>0</v>
      </c>
      <c r="Z67" s="8" cm="1">
        <f t="array" ref="Z67">IF(
    AND($H67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($H67 / 1000) * Z$10 * $BN$4 * 0.25
    ),
    0
)
+
IF(
    $N67 &lt; 0.875,
    MAX(0, MIN(($H67 / 1000) * Z$10 * $BN$4, Z$11 * 0.876) - (Z$11 * $N67)) * 0.25,
    0
)</f>
        <v>0</v>
      </c>
      <c r="AA67" s="8">
        <f>AVERAGE(TabellaMar2026[[#This Row],[Colonna24]:[Colonna20]])</f>
        <v>0</v>
      </c>
      <c r="AB67" s="8">
        <f>MAX(TabellaMar2026[[#This Row],[Colonna24]:[Colonna20]])</f>
        <v>0</v>
      </c>
      <c r="AC67" s="35">
        <f>MIN(TabellaMar2026[[#This Row],[Colonna24]:[Colonna20]])</f>
        <v>0</v>
      </c>
      <c r="AD67" s="44">
        <f>SUM(TabellaMar2026[[#This Row],[Colonna24]:[Colonna20]])</f>
        <v>0</v>
      </c>
      <c r="AE67" s="36">
        <f>IF(
    AND($H67 &gt; $BN$7, Tabella01MarzoInverter[[#This Row],[Active power TX2-INV-1]] &lt;= 0, Tabella01MarzoInverter[[#This Row],[TX2 - Average Power]] &lt;= 0),
    MIN(($H67 / 1000) * AE$10 * $BN$4, AE$11 * 0.876) * 0.25,
    IF(
        AND($H67 &gt; $BN$7, Tabella01MarzoInverter[[#This Row],[Active power TX2-INV-1]] &lt;= 0),
        Tabella01MarzoInverter[[#This Row],[TX2 - Average Power]] * 0.25,
        0
    )
    +
    IF(
        $N67 &lt; 0.875,
        MAX(0, MIN(($H67 / 1000) * AE$10 * $BN$4, AE$11 * 0.876) - (AE$11 * $N67)) * 0.25,
        0
    )
)</f>
        <v>0</v>
      </c>
      <c r="AF67" s="36">
        <f>IF(
    AND($H67 &gt; $BN$7, Tabella01MarzoInverter[[#This Row],[Active power TX2-INV-2]] &lt;= 0, Tabella01MarzoInverter[[#This Row],[TX2 - Max Power]] &lt;= 0),
    MIN(($H67 / 1000) * AF$10 * $BN$4, AF$11 * 0.876) * 0.25,
    IF(
        AND($H67 &gt; $BN$7, Tabella01MarzoInverter[[#This Row],[Active power TX2-INV-2]] &lt;= 0),
        Tabella01MarzoInverter[[#This Row],[TX2 - Max Power]] * 0.25,
        0
    )
    +
    IF(
        $N67 &lt; 0.875,
        MAX(0, MIN(($H67 / 1000) * AF$10 * $BN$4, AF$11 * 0.876) - (AF$11 * $N67)) * 0.25,
        0
    )
)</f>
        <v>0</v>
      </c>
      <c r="AG67" s="36">
        <f>IF(
    AND($H67 &gt; $BN$7, Tabella01MarzoInverter[[#This Row],[Active power TX2-INV-3]] &lt;= 0, Tabella01MarzoInverter[[#This Row],[TX2 - Min Power]] &lt;= 0),
    MIN(($H67 / 1000) * AG$10 * $BN$4, AG$11 * 0.876) * 0.25,
    IF(
        AND($H67 &gt; $BN$7, Tabella01MarzoInverter[[#This Row],[Active power TX2-INV-3]] &lt;= 0),
        Tabella01MarzoInverter[[#This Row],[TX2 - Min Power]] * 0.25,
        0
    )
    +
    IF(
        $N67 &lt; 0.875,
        MAX(0, MIN(($H67 / 1000) * AG$10 * $BN$4, AG$11 * 0.876) - (AG$11 * $N67)) * 0.25,
        0
    )
)</f>
        <v>0</v>
      </c>
      <c r="AH67" s="36">
        <f>IF(
    AND($H67 &gt; $BN$7, Tabella01MarzoInverter[[#This Row],[Active power TX2-INV-4]] &lt;= 0, Tabella01MarzoInverter[[#This Row],[Active power TX3-INV-1]] &lt;= 0),
    MIN(($H67 / 1000) * AH$10 * $BN$4, AH$11 * 0.876) * 0.25,
    IF(
        AND($H67 &gt; $BN$7, Tabella01MarzoInverter[[#This Row],[Active power TX2-INV-4]] &lt;= 0),
        Tabella01MarzoInverter[[#This Row],[Active power TX3-INV-1]] * 0.25,
        0
    )
    +
    IF(
        $N67 &lt; 0.875,
        MAX(0, MIN(($H67 / 1000) * AH$10 * $BN$4, AH$11 * 0.876) - (AH$11 * $N67)) * 0.25,
        0
    )
)</f>
        <v>0</v>
      </c>
      <c r="AI67" s="36">
        <f>IF(
    AND($H67 &gt; $BN$7, Tabella01MarzoInverter[[#This Row],[Active power TX2-INV-5]] &lt;= 0, Tabella01MarzoInverter[[#This Row],[Active power TX3-INV-2]] &lt;= 0),
    MIN(($H67 / 1000) * AI$10 * $BN$4, AI$11 * 0.876) * 0.25,
    IF(
        AND($H67 &gt; $BN$7, Tabella01MarzoInverter[[#This Row],[Active power TX2-INV-5]] &lt;= 0),
        Tabella01MarzoInverter[[#This Row],[Active power TX3-INV-2]] * 0.25,
        0
    )
    +
    IF(
        $N67 &lt; 0.875,
        MAX(0, MIN(($H67 / 1000) * AI$10 * $BN$4, AI$11 * 0.876) - (AI$11 * $N67)) * 0.25,
        0
    )
)</f>
        <v>0</v>
      </c>
      <c r="AJ67" s="36">
        <f>IF(
    AND($H67 &gt; $BN$7, Tabella01MarzoInverter[[#This Row],[Active power TX2-INV-6]] &lt;= 0, Tabella01MarzoInverter[[#This Row],[Active power TX3-INV-3]] &lt;= 0),
    MIN(($H67 / 1000) * AJ$10 * $BN$4, AJ$11 * 0.876) * 0.25,
    IF(
        AND($H67 &gt; $BN$7, Tabella01MarzoInverter[[#This Row],[Active power TX2-INV-6]] &lt;= 0),
        Tabella01MarzoInverter[[#This Row],[Active power TX3-INV-3]] * 0.25,
        0
    )
    +
    IF(
        $N67 &lt; 0.875,
        MAX(0, MIN(($H67 / 1000) * AJ$10 * $BN$4, AJ$11 * 0.876) - (AJ$11 * $N67)) * 0.25,
        0
    )
)</f>
        <v>0</v>
      </c>
      <c r="AK67" s="36">
        <f>IF(
    AND($H67 &gt; $BN$7, Tabella01MarzoInverter[[#This Row],[Active power TX2-INV-7]] &lt;= 0, Tabella01MarzoInverter[[#This Row],[Active power TX3-INV-4]] &lt;= 0),
    MIN(($H67 / 1000) * AK$10 * $BN$4, AK$11 * 0.876) * 0.25,
    IF(
        AND($H67 &gt; $BN$7, Tabella01MarzoInverter[[#This Row],[Active power TX2-INV-7]] &lt;= 0),
        Tabella01MarzoInverter[[#This Row],[Active power TX3-INV-4]] * 0.25,
        0
    )
    +
    IF(
        $N67 &lt; 0.875,
        MAX(0, MIN(($H67 / 1000) * AK$10 * $BN$4, AK$11 * 0.876) - (AK$11 * $N67)) * 0.25,
        0
    )
)</f>
        <v>0</v>
      </c>
      <c r="AL67" s="36">
        <f>IF(
    AND($H67 &gt; $BN$7, Tabella01MarzoInverter[[#This Row],[Active power TX2-INV-8]] &lt;= 0, Tabella01MarzoInverter[[#This Row],[Active power TX3-INV-5]] &lt;= 0),
    MIN(($H67 / 1000) * AL$10 * $BN$4, AL$11 * 0.876) * 0.25,
    IF(
        AND($H67 &gt; $BN$7, Tabella01MarzoInverter[[#This Row],[Active power TX2-INV-8]] &lt;= 0),
        Tabella01MarzoInverter[[#This Row],[Active power TX3-INV-5]] * 0.25,
        0
    )
    +
    IF(
        $N67 &lt; 0.875,
        MAX(0, MIN(($H67 / 1000) * AL$10 * $BN$4, AL$11 * 0.876) - (AL$11 * $N67)) * 0.25,
        0
    )
)</f>
        <v>0</v>
      </c>
      <c r="AM67" s="36">
        <f>IF(
    AND($H67 &gt; $BN$7, Tabella01MarzoInverter[[#This Row],[Active power TX2-INV-9]] &lt;= 0, Tabella01MarzoInverter[[#This Row],[Active power TX3-INV-6]] &lt;= 0),
    MIN(($H67 / 1000) * AM$10 * $BN$4, AM$11 * 0.876) * 0.25,
    IF(
        AND($H67 &gt; $BN$7, Tabella01MarzoInverter[[#This Row],[Active power TX2-INV-9]] &lt;= 0),
        Tabella01MarzoInverter[[#This Row],[Active power TX3-INV-6]] * 0.25,
        0
    )
    +
    IF(
        $N67 &lt; 0.875,
        MAX(0, MIN(($H67 / 1000) * AM$10 * $BN$4, AM$11 * 0.876) - (AM$11 * $N67)) * 0.25,
        0
    )
)</f>
        <v>0</v>
      </c>
      <c r="AN67" s="36">
        <f>IF(
    AND($H67 &gt; $BN$7, Tabella01MarzoInverter[[#This Row],[Active power TX2-INV-10]] &lt;= 0, Tabella01MarzoInverter[[#This Row],[Active power TX3-INV-7]] &lt;= 0),
    MIN(($H67 / 1000) * AN$10 * $BN$4, AN$11 * 0.876) * 0.25,
    IF(
        AND($H67 &gt; $BN$7, Tabella01MarzoInverter[[#This Row],[Active power TX2-INV-10]] &lt;= 0),
        Tabella01MarzoInverter[[#This Row],[Active power TX3-INV-7]] * 0.25,
        0
    )
    +
    IF(
        $N67 &lt; 0.875,
        MAX(0, MIN(($H67 / 1000) * AN$10 * $BN$4, AN$11 * 0.876) - (AN$11 * $N67)) * 0.25,
        0
    )
)</f>
        <v>0</v>
      </c>
      <c r="AO67" s="36">
        <f>IF(
    AND($H67 &gt; $BN$7, Tabella01MarzoInverter[[#This Row],[Active power TX2-INV-11]] &lt;= 0, Tabella01MarzoInverter[[#This Row],[Active power TX3-INV-8]] &lt;= 0),
    MIN(($H67 / 1000) * AO$10 * $BN$4, AO$11 * 0.876) * 0.25,
    IF(
        AND($H67 &gt; $BN$7, Tabella01MarzoInverter[[#This Row],[Active power TX2-INV-11]] &lt;= 0),
        Tabella01MarzoInverter[[#This Row],[Active power TX3-INV-8]] * 0.25,
        0
    )
    +
    IF(
        $N67 &lt; 0.875,
        MAX(0, MIN(($H67 / 1000) * AO$10 * $BN$4, AO$11 * 0.876) - (AO$11 * $N67)) * 0.25,
        0
    )
)</f>
        <v>0</v>
      </c>
      <c r="AP67" s="36">
        <f>IF(
    AND($H67 &gt; $BN$7, Tabella01MarzoInverter[[#This Row],[Active power TX2-INV-12]] &lt;= 0, Tabella01MarzoInverter[[#This Row],[Active power TX3-INV-9]] &lt;= 0),
    MIN(($H67 / 1000) * AP$10 * $BN$4, AP$11 * 0.876) * 0.25,
    IF(
        AND($H67 &gt; $BN$7, Tabella01MarzoInverter[[#This Row],[Active power TX2-INV-12]] &lt;= 0),
        Tabella01MarzoInverter[[#This Row],[Active power TX3-INV-9]] * 0.25,
        0
    )
    +
    IF(
        $N67 &lt; 0.875,
        MAX(0, MIN(($H67 / 1000) * AP$10 * $BN$4, AP$11 * 0.876) - (AP$11 * $N67)) * 0.25,
        0
    )
)</f>
        <v>0</v>
      </c>
      <c r="AQ67" s="8">
        <f>AVERAGE(TabellaMar2026[[#This Row],[Colonna39]:[Colonna6]])</f>
        <v>0</v>
      </c>
      <c r="AR67" s="8">
        <f>MAX(TabellaMar2026[[#This Row],[Colonna39]:[Colonna6]])</f>
        <v>0</v>
      </c>
      <c r="AS67" s="35">
        <f>MIN(TabellaMar2026[[#This Row],[Colonna39]:[Colonna6]])</f>
        <v>0</v>
      </c>
      <c r="AT67" s="48">
        <f>SUM(TabellaMar2026[[#This Row],[Colonna39]:[Colonna6]])</f>
        <v>0</v>
      </c>
      <c r="AU67" s="36" cm="1">
        <f t="array" ref="AU67">IF(
    AND($H67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($H67 / 1000) * AU$10 * $BN$4 * 0.25
    ),
    0
)
+
IF(
    $N67 &lt; 0.875,
    MAX(0, MIN(($H67 / 1000) * AU$10 * $BN$4, AU$11 * 0.876) - (AU$11 * $N67)) * 0.25,
    0
)</f>
        <v>0</v>
      </c>
      <c r="AV67" s="36" cm="1">
        <f t="array" ref="AV67">IF(
    AND($H67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($H67 / 1000) * AV$10 * $BN$4 * 0.25
    ),
    0
)
+
IF(
    $N67 &lt; 0.875,
    MAX(0, MIN(($H67 / 1000) * AV$10 * $BN$4, AV$11 * 0.876) - (AV$11 * $N67)) * 0.25,
    0
)</f>
        <v>0</v>
      </c>
      <c r="AW67" s="36" cm="1">
        <f t="array" ref="AW67">IF(
    AND($H67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($H67 / 1000) * AW$10 * $BN$4 * 0.25
    ),
    0
)
+
IF(
    $N67 &lt; 0.875,
    MAX(0, MIN(($H67 / 1000) * AW$10 * $BN$4, AW$11 * 0.876) - (AW$11 * $N67)) * 0.25,
    0
)</f>
        <v>0</v>
      </c>
      <c r="AX67" s="36" cm="1">
        <f t="array" ref="AX67">IF(
    AND($H67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($H67 / 1000) * AX$10 * $BN$4 * 0.25
    ),
    0
)
+
IF(
    $N67 &lt; 0.875,
    MAX(0, MIN(($H67 / 1000) * AX$10 * $BN$4, AX$11 * 0.876) - (AX$11 * $N67)) * 0.25,
    0
)</f>
        <v>0</v>
      </c>
      <c r="AY67" s="36" cm="1">
        <f t="array" ref="AY67">IF(
    AND($H67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($H67 / 1000) * AY$10 * $BN$4 * 0.25
    ),
    0
)
+
IF(
    $N67 &lt; 0.875,
    MAX(0, MIN(($H67 / 1000) * AY$10 * $BN$4, AY$11 * 0.876) - (AY$11 * $N67)) * 0.25,
    0
)</f>
        <v>0</v>
      </c>
      <c r="AZ67" s="36" cm="1">
        <f t="array" ref="AZ67">IF(
    AND($H67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($H67 / 1000) * AZ$10 * $BN$4 * 0.25
    ),
    0
)
+
IF(
    $N67 &lt; 0.875,
    MAX(0, MIN(($H67 / 1000) * AZ$10 * $BN$4, AZ$11 * 0.876) - (AZ$11 * $N67)) * 0.25,
    0
)</f>
        <v>0</v>
      </c>
      <c r="BA67" s="36" cm="1">
        <f t="array" ref="BA67">IF(
    AND($H67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($H67 / 1000) * BA$10 * $BN$4 * 0.25
    ),
    0
)
+
IF(
    $N67 &lt; 0.875,
    MAX(0, MIN(($H67 / 1000) * BA$10 * $BN$4, BA$11 * 0.876) - (BA$11 * $N67)) * 0.25,
    0
)</f>
        <v>0</v>
      </c>
      <c r="BB67" s="36" cm="1">
        <f t="array" ref="BB67">IF(
    AND($H67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($H67 / 1000) * BB$10 * $BN$4 * 0.25
    ),
    0
)
+
IF(
    $N67 &lt; 0.875,
    MAX(0, MIN(($H67 / 1000) * BB$10 * $BN$4, BB$11 * 0.876) - (BB$11 * $N67)) * 0.25,
    0
)</f>
        <v>0</v>
      </c>
      <c r="BC67" s="36" cm="1">
        <f t="array" ref="BC67">IF(
    AND($H67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($H67 / 1000) * BC$10 * $BN$4 * 0.25
    ),
    0
)
+
IF(
    $N67 &lt; 0.875,
    MAX(0, MIN(($H67 / 1000) * BC$10 * $BN$4, BC$11 * 0.876) - (BC$11 * $N67)) * 0.25,
    0
)</f>
        <v>0</v>
      </c>
      <c r="BD67" s="36" cm="1">
        <f t="array" ref="BD67">IF(
    AND($H67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($H67 / 1000) * BD$10 * $BN$4 * 0.25
    ),
    0
)
+
IF(
    $N67 &lt; 0.875,
    MAX(0, MIN(($H67 / 1000) * BD$10 * $BN$4, BD$11 * 0.876) - (BD$11 * $N67)) * 0.25,
    0
)</f>
        <v>0</v>
      </c>
      <c r="BE67" s="36" cm="1">
        <f t="array" ref="BE67">IF(
    AND($H67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($H67 / 1000) * BE$10 * $BN$4 * 0.25
    ),
    0
)
+
IF(
    $N67 &lt; 0.875,
    MAX(0, MIN(($H67 / 1000) * BE$10 * $BN$4, BE$11 * 0.876) - (BE$11 * $N67)) * 0.25,
    0
)</f>
        <v>0</v>
      </c>
      <c r="BF67" s="36" cm="1">
        <f t="array" ref="BF67">IF(
    AND($H67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($H67 / 1000) * BF$10 * $BN$4 * 0.25
    ),
    0
)
+
IF(
    $N67 &lt; 0.875,
    MAX(0, MIN(($H67 / 1000) * BF$10 * $BN$4, BF$11 * 0.876) - (BF$11 * $N67)) * 0.25,
    0
)</f>
        <v>0</v>
      </c>
      <c r="BG67" s="8">
        <f>AVERAGE(TabellaMar2026[[#This Row],[Colonna55]:[Colonna53]])</f>
        <v>0</v>
      </c>
      <c r="BH67" s="8">
        <f>MAX(TabellaMar2026[[#This Row],[Colonna55]:[Colonna53]])</f>
        <v>0</v>
      </c>
      <c r="BI67" s="35">
        <f>MIN(TabellaMar2026[[#This Row],[Colonna55]:[Colonna53]])</f>
        <v>0</v>
      </c>
      <c r="BJ67" s="48">
        <f>SUM(TabellaMar2026[[#This Row],[Colonna54]:[Colonna53]])</f>
        <v>0</v>
      </c>
      <c r="BK67" s="54">
        <f>(SUM(Tabella01MarzoInverter[[Active power TX1-INV-1]:[Active power TX3-INV-12]]) * 0.25) / (12625 * (SUM($G$15:$H$110) * 0.25 / 1000))</f>
        <v>1.014229628761051</v>
      </c>
      <c r="BL67" s="5"/>
      <c r="BM67" s="5"/>
      <c r="BN67" s="5"/>
      <c r="BO67" s="8"/>
      <c r="BP67" s="19"/>
    </row>
    <row r="68" spans="1:68" x14ac:dyDescent="0.25">
      <c r="A68" s="18">
        <v>46147</v>
      </c>
      <c r="B68" t="s">
        <v>68</v>
      </c>
      <c r="C68" s="5">
        <v>914.6</v>
      </c>
      <c r="D68" s="6">
        <v>0.22864999999999999</v>
      </c>
      <c r="E68" s="6">
        <v>893</v>
      </c>
      <c r="F68" s="6">
        <v>0.22325</v>
      </c>
      <c r="G68" s="6">
        <f>IFERROR((D68+F68)/2, 0)</f>
        <v>0.22594999999999998</v>
      </c>
      <c r="H68" s="7">
        <f>IFERROR(IF(AVERAGE(C68,E68)&gt;$BN$7,AVERAGE(C68,E68),0), 0)</f>
        <v>903.8</v>
      </c>
      <c r="I68" s="7">
        <f>IFERROR(IF(AND(D68=0,F68=0),0,IF(H68&gt;$BN$6,MAX(D68,F68),G68)), 0)</f>
        <v>0.22864999999999999</v>
      </c>
      <c r="J68" s="6">
        <f>IFERROR(IF(AND(D68&gt;0,F68&gt;0),ABS(D68-F68)/AVERAGE(D68,F68),0), 0)</f>
        <v>2.3899092719628187E-2</v>
      </c>
      <c r="K68" s="6">
        <v>30422.3</v>
      </c>
      <c r="L68" s="6">
        <v>30424.7</v>
      </c>
      <c r="M68" s="8">
        <f>IFERROR((L68-K68)*1000, 0)</f>
        <v>2400.0000000014552</v>
      </c>
      <c r="N68" s="6">
        <v>0.87599999999999989</v>
      </c>
      <c r="O68" s="8" cm="1">
        <f t="array" ref="O68">IF(
    AND($H68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($H68 / 1000) * O$10 * $BN$4 * 0.25
    ),
    0
)
+
IF(
    $N68 &lt; 0.875,
    MAX(0, MIN(($H68 / 1000) * O$10 * $BN$4, O$11 * 0.876) - (O$11 * $N68)) * 0.25,
    0
)</f>
        <v>0</v>
      </c>
      <c r="P68" s="8" cm="1">
        <f t="array" ref="P68">IF(
    AND($H68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($H68 / 1000) * P$10 * $BN$4 * 0.25
    ),
    0
)
+
IF(
    $N68 &lt; 0.875,
    MAX(0, MIN(($H68 / 1000) * P$10 * $BN$4, P$11 * 0.876) - (P$11 * $N68)) * 0.25,
    0
)</f>
        <v>0</v>
      </c>
      <c r="Q68" s="8" cm="1">
        <f t="array" ref="Q68">IF(
    AND($H68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($H68 / 1000) * Q$10 * $BN$4 * 0.25
    ),
    0
)
+
IF(
    $N68 &lt; 0.875,
    MAX(0, MIN(($H68 / 1000) * Q$10 * $BN$4, Q$11 * 0.876) - (Q$11 * $N68)) * 0.25,
    0
)</f>
        <v>0</v>
      </c>
      <c r="R68" s="8" cm="1">
        <f t="array" ref="R68">IF(
    AND($H68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($H68 / 1000) * R$10 * $BN$4 * 0.25
    ),
    0
)
+
IF(
    $N68 &lt; 0.875,
    MAX(0, MIN(($H68 / 1000) * R$10 * $BN$4, R$11 * 0.876) - (R$11 * $N68)) * 0.25,
    0
)</f>
        <v>0</v>
      </c>
      <c r="S68" s="8" cm="1">
        <f t="array" ref="S68">IF(
    AND($H68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($H68 / 1000) * S$10 * $BN$4 * 0.25
    ),
    0
)
+
IF(
    $N68 &lt; 0.875,
    MAX(0, MIN(($H68 / 1000) * S$10 * $BN$4, S$11 * 0.876) - (S$11 * $N68)) * 0.25,
    0
)</f>
        <v>0</v>
      </c>
      <c r="T68" s="8" cm="1">
        <f t="array" ref="T68">IF(
    AND($H68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($H68 / 1000) * T$10 * $BN$4 * 0.25
    ),
    0
)
+
IF(
    $N68 &lt; 0.875,
    MAX(0, MIN(($H68 / 1000) * T$10 * $BN$4, T$11 * 0.876) - (T$11 * $N68)) * 0.25,
    0
)</f>
        <v>0</v>
      </c>
      <c r="U68" s="8" cm="1">
        <f t="array" ref="U68">IF(
    AND($H68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($H68 / 1000) * U$10 * $BN$4 * 0.25
    ),
    0
)
+
IF(
    $N68 &lt; 0.875,
    MAX(0, MIN(($H68 / 1000) * U$10 * $BN$4, U$11 * 0.876) - (U$11 * $N68)) * 0.25,
    0
)</f>
        <v>0</v>
      </c>
      <c r="V68" s="8" cm="1">
        <f t="array" ref="V68">IF(
    AND($H68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($H68 / 1000) * V$10 * $BN$4 * 0.25
    ),
    0
)
+
IF(
    $N68 &lt; 0.875,
    MAX(0, MIN(($H68 / 1000) * V$10 * $BN$4, V$11 * 0.876) - (V$11 * $N68)) * 0.25,
    0
)</f>
        <v>0</v>
      </c>
      <c r="W68" s="8" cm="1">
        <f t="array" ref="W68">IF(
    AND($H68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($H68 / 1000) * W$10 * $BN$4 * 0.25
    ),
    0
)
+
IF(
    $N68 &lt; 0.875,
    MAX(0, MIN(($H68 / 1000) * W$10 * $BN$4, W$11 * 0.876) - (W$11 * $N68)) * 0.25,
    0
)</f>
        <v>0</v>
      </c>
      <c r="X68" s="8" cm="1">
        <f t="array" ref="X68">IF(
    AND($H68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($H68 / 1000) * X$10 * $BN$4 * 0.25
    ),
    0
)
+
IF(
    $N68 &lt; 0.875,
    MAX(0, MIN(($H68 / 1000) * X$10 * $BN$4, X$11 * 0.876) - (X$11 * $N68)) * 0.25,
    0
)</f>
        <v>0</v>
      </c>
      <c r="Y68" s="8" cm="1">
        <f t="array" ref="Y68">IF(
    AND($H68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($H68 / 1000) * Y$10 * $BN$4 * 0.25
    ),
    0
)
+
IF(
    $N68 &lt; 0.875,
    MAX(0, MIN(($H68 / 1000) * Y$10 * $BN$4, Y$11 * 0.876) - (Y$11 * $N68)) * 0.25,
    0
)</f>
        <v>0</v>
      </c>
      <c r="Z68" s="8" cm="1">
        <f t="array" ref="Z68">IF(
    AND($H68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($H68 / 1000) * Z$10 * $BN$4 * 0.25
    ),
    0
)
+
IF(
    $N68 &lt; 0.875,
    MAX(0, MIN(($H68 / 1000) * Z$10 * $BN$4, Z$11 * 0.876) - (Z$11 * $N68)) * 0.25,
    0
)</f>
        <v>0</v>
      </c>
      <c r="AA68" s="8">
        <f>AVERAGE(TabellaMar2026[[#This Row],[Colonna24]:[Colonna20]])</f>
        <v>0</v>
      </c>
      <c r="AB68" s="8">
        <f>MAX(TabellaMar2026[[#This Row],[Colonna24]:[Colonna20]])</f>
        <v>0</v>
      </c>
      <c r="AC68" s="35">
        <f>MIN(TabellaMar2026[[#This Row],[Colonna24]:[Colonna20]])</f>
        <v>0</v>
      </c>
      <c r="AD68" s="44">
        <f>SUM(TabellaMar2026[[#This Row],[Colonna24]:[Colonna20]])</f>
        <v>0</v>
      </c>
      <c r="AE68" s="36">
        <f>IF(
    AND($H68 &gt; $BN$7, Tabella01MarzoInverter[[#This Row],[Active power TX2-INV-1]] &lt;= 0, Tabella01MarzoInverter[[#This Row],[TX2 - Average Power]] &lt;= 0),
    MIN(($H68 / 1000) * AE$10 * $BN$4, AE$11 * 0.876) * 0.25,
    IF(
        AND($H68 &gt; $BN$7, Tabella01MarzoInverter[[#This Row],[Active power TX2-INV-1]] &lt;= 0),
        Tabella01MarzoInverter[[#This Row],[TX2 - Average Power]] * 0.25,
        0
    )
    +
    IF(
        $N68 &lt; 0.875,
        MAX(0, MIN(($H68 / 1000) * AE$10 * $BN$4, AE$11 * 0.876) - (AE$11 * $N68)) * 0.25,
        0
    )
)</f>
        <v>0</v>
      </c>
      <c r="AF68" s="36">
        <f>IF(
    AND($H68 &gt; $BN$7, Tabella01MarzoInverter[[#This Row],[Active power TX2-INV-2]] &lt;= 0, Tabella01MarzoInverter[[#This Row],[TX2 - Max Power]] &lt;= 0),
    MIN(($H68 / 1000) * AF$10 * $BN$4, AF$11 * 0.876) * 0.25,
    IF(
        AND($H68 &gt; $BN$7, Tabella01MarzoInverter[[#This Row],[Active power TX2-INV-2]] &lt;= 0),
        Tabella01MarzoInverter[[#This Row],[TX2 - Max Power]] * 0.25,
        0
    )
    +
    IF(
        $N68 &lt; 0.875,
        MAX(0, MIN(($H68 / 1000) * AF$10 * $BN$4, AF$11 * 0.876) - (AF$11 * $N68)) * 0.25,
        0
    )
)</f>
        <v>0</v>
      </c>
      <c r="AG68" s="36">
        <f>IF(
    AND($H68 &gt; $BN$7, Tabella01MarzoInverter[[#This Row],[Active power TX2-INV-3]] &lt;= 0, Tabella01MarzoInverter[[#This Row],[TX2 - Min Power]] &lt;= 0),
    MIN(($H68 / 1000) * AG$10 * $BN$4, AG$11 * 0.876) * 0.25,
    IF(
        AND($H68 &gt; $BN$7, Tabella01MarzoInverter[[#This Row],[Active power TX2-INV-3]] &lt;= 0),
        Tabella01MarzoInverter[[#This Row],[TX2 - Min Power]] * 0.25,
        0
    )
    +
    IF(
        $N68 &lt; 0.875,
        MAX(0, MIN(($H68 / 1000) * AG$10 * $BN$4, AG$11 * 0.876) - (AG$11 * $N68)) * 0.25,
        0
    )
)</f>
        <v>0</v>
      </c>
      <c r="AH68" s="36">
        <f>IF(
    AND($H68 &gt; $BN$7, Tabella01MarzoInverter[[#This Row],[Active power TX2-INV-4]] &lt;= 0, Tabella01MarzoInverter[[#This Row],[Active power TX3-INV-1]] &lt;= 0),
    MIN(($H68 / 1000) * AH$10 * $BN$4, AH$11 * 0.876) * 0.25,
    IF(
        AND($H68 &gt; $BN$7, Tabella01MarzoInverter[[#This Row],[Active power TX2-INV-4]] &lt;= 0),
        Tabella01MarzoInverter[[#This Row],[Active power TX3-INV-1]] * 0.25,
        0
    )
    +
    IF(
        $N68 &lt; 0.875,
        MAX(0, MIN(($H68 / 1000) * AH$10 * $BN$4, AH$11 * 0.876) - (AH$11 * $N68)) * 0.25,
        0
    )
)</f>
        <v>0</v>
      </c>
      <c r="AI68" s="36">
        <f>IF(
    AND($H68 &gt; $BN$7, Tabella01MarzoInverter[[#This Row],[Active power TX2-INV-5]] &lt;= 0, Tabella01MarzoInverter[[#This Row],[Active power TX3-INV-2]] &lt;= 0),
    MIN(($H68 / 1000) * AI$10 * $BN$4, AI$11 * 0.876) * 0.25,
    IF(
        AND($H68 &gt; $BN$7, Tabella01MarzoInverter[[#This Row],[Active power TX2-INV-5]] &lt;= 0),
        Tabella01MarzoInverter[[#This Row],[Active power TX3-INV-2]] * 0.25,
        0
    )
    +
    IF(
        $N68 &lt; 0.875,
        MAX(0, MIN(($H68 / 1000) * AI$10 * $BN$4, AI$11 * 0.876) - (AI$11 * $N68)) * 0.25,
        0
    )
)</f>
        <v>0</v>
      </c>
      <c r="AJ68" s="36">
        <f>IF(
    AND($H68 &gt; $BN$7, Tabella01MarzoInverter[[#This Row],[Active power TX2-INV-6]] &lt;= 0, Tabella01MarzoInverter[[#This Row],[Active power TX3-INV-3]] &lt;= 0),
    MIN(($H68 / 1000) * AJ$10 * $BN$4, AJ$11 * 0.876) * 0.25,
    IF(
        AND($H68 &gt; $BN$7, Tabella01MarzoInverter[[#This Row],[Active power TX2-INV-6]] &lt;= 0),
        Tabella01MarzoInverter[[#This Row],[Active power TX3-INV-3]] * 0.25,
        0
    )
    +
    IF(
        $N68 &lt; 0.875,
        MAX(0, MIN(($H68 / 1000) * AJ$10 * $BN$4, AJ$11 * 0.876) - (AJ$11 * $N68)) * 0.25,
        0
    )
)</f>
        <v>0</v>
      </c>
      <c r="AK68" s="36">
        <f>IF(
    AND($H68 &gt; $BN$7, Tabella01MarzoInverter[[#This Row],[Active power TX2-INV-7]] &lt;= 0, Tabella01MarzoInverter[[#This Row],[Active power TX3-INV-4]] &lt;= 0),
    MIN(($H68 / 1000) * AK$10 * $BN$4, AK$11 * 0.876) * 0.25,
    IF(
        AND($H68 &gt; $BN$7, Tabella01MarzoInverter[[#This Row],[Active power TX2-INV-7]] &lt;= 0),
        Tabella01MarzoInverter[[#This Row],[Active power TX3-INV-4]] * 0.25,
        0
    )
    +
    IF(
        $N68 &lt; 0.875,
        MAX(0, MIN(($H68 / 1000) * AK$10 * $BN$4, AK$11 * 0.876) - (AK$11 * $N68)) * 0.25,
        0
    )
)</f>
        <v>0</v>
      </c>
      <c r="AL68" s="36">
        <f>IF(
    AND($H68 &gt; $BN$7, Tabella01MarzoInverter[[#This Row],[Active power TX2-INV-8]] &lt;= 0, Tabella01MarzoInverter[[#This Row],[Active power TX3-INV-5]] &lt;= 0),
    MIN(($H68 / 1000) * AL$10 * $BN$4, AL$11 * 0.876) * 0.25,
    IF(
        AND($H68 &gt; $BN$7, Tabella01MarzoInverter[[#This Row],[Active power TX2-INV-8]] &lt;= 0),
        Tabella01MarzoInverter[[#This Row],[Active power TX3-INV-5]] * 0.25,
        0
    )
    +
    IF(
        $N68 &lt; 0.875,
        MAX(0, MIN(($H68 / 1000) * AL$10 * $BN$4, AL$11 * 0.876) - (AL$11 * $N68)) * 0.25,
        0
    )
)</f>
        <v>0</v>
      </c>
      <c r="AM68" s="36">
        <f>IF(
    AND($H68 &gt; $BN$7, Tabella01MarzoInverter[[#This Row],[Active power TX2-INV-9]] &lt;= 0, Tabella01MarzoInverter[[#This Row],[Active power TX3-INV-6]] &lt;= 0),
    MIN(($H68 / 1000) * AM$10 * $BN$4, AM$11 * 0.876) * 0.25,
    IF(
        AND($H68 &gt; $BN$7, Tabella01MarzoInverter[[#This Row],[Active power TX2-INV-9]] &lt;= 0),
        Tabella01MarzoInverter[[#This Row],[Active power TX3-INV-6]] * 0.25,
        0
    )
    +
    IF(
        $N68 &lt; 0.875,
        MAX(0, MIN(($H68 / 1000) * AM$10 * $BN$4, AM$11 * 0.876) - (AM$11 * $N68)) * 0.25,
        0
    )
)</f>
        <v>0</v>
      </c>
      <c r="AN68" s="36">
        <f>IF(
    AND($H68 &gt; $BN$7, Tabella01MarzoInverter[[#This Row],[Active power TX2-INV-10]] &lt;= 0, Tabella01MarzoInverter[[#This Row],[Active power TX3-INV-7]] &lt;= 0),
    MIN(($H68 / 1000) * AN$10 * $BN$4, AN$11 * 0.876) * 0.25,
    IF(
        AND($H68 &gt; $BN$7, Tabella01MarzoInverter[[#This Row],[Active power TX2-INV-10]] &lt;= 0),
        Tabella01MarzoInverter[[#This Row],[Active power TX3-INV-7]] * 0.25,
        0
    )
    +
    IF(
        $N68 &lt; 0.875,
        MAX(0, MIN(($H68 / 1000) * AN$10 * $BN$4, AN$11 * 0.876) - (AN$11 * $N68)) * 0.25,
        0
    )
)</f>
        <v>0</v>
      </c>
      <c r="AO68" s="36">
        <f>IF(
    AND($H68 &gt; $BN$7, Tabella01MarzoInverter[[#This Row],[Active power TX2-INV-11]] &lt;= 0, Tabella01MarzoInverter[[#This Row],[Active power TX3-INV-8]] &lt;= 0),
    MIN(($H68 / 1000) * AO$10 * $BN$4, AO$11 * 0.876) * 0.25,
    IF(
        AND($H68 &gt; $BN$7, Tabella01MarzoInverter[[#This Row],[Active power TX2-INV-11]] &lt;= 0),
        Tabella01MarzoInverter[[#This Row],[Active power TX3-INV-8]] * 0.25,
        0
    )
    +
    IF(
        $N68 &lt; 0.875,
        MAX(0, MIN(($H68 / 1000) * AO$10 * $BN$4, AO$11 * 0.876) - (AO$11 * $N68)) * 0.25,
        0
    )
)</f>
        <v>0</v>
      </c>
      <c r="AP68" s="36">
        <f>IF(
    AND($H68 &gt; $BN$7, Tabella01MarzoInverter[[#This Row],[Active power TX2-INV-12]] &lt;= 0, Tabella01MarzoInverter[[#This Row],[Active power TX3-INV-9]] &lt;= 0),
    MIN(($H68 / 1000) * AP$10 * $BN$4, AP$11 * 0.876) * 0.25,
    IF(
        AND($H68 &gt; $BN$7, Tabella01MarzoInverter[[#This Row],[Active power TX2-INV-12]] &lt;= 0),
        Tabella01MarzoInverter[[#This Row],[Active power TX3-INV-9]] * 0.25,
        0
    )
    +
    IF(
        $N68 &lt; 0.875,
        MAX(0, MIN(($H68 / 1000) * AP$10 * $BN$4, AP$11 * 0.876) - (AP$11 * $N68)) * 0.25,
        0
    )
)</f>
        <v>0</v>
      </c>
      <c r="AQ68" s="8">
        <f>AVERAGE(TabellaMar2026[[#This Row],[Colonna39]:[Colonna6]])</f>
        <v>0</v>
      </c>
      <c r="AR68" s="8">
        <f>MAX(TabellaMar2026[[#This Row],[Colonna39]:[Colonna6]])</f>
        <v>0</v>
      </c>
      <c r="AS68" s="35">
        <f>MIN(TabellaMar2026[[#This Row],[Colonna39]:[Colonna6]])</f>
        <v>0</v>
      </c>
      <c r="AT68" s="48">
        <f>SUM(TabellaMar2026[[#This Row],[Colonna39]:[Colonna6]])</f>
        <v>0</v>
      </c>
      <c r="AU68" s="36" cm="1">
        <f t="array" ref="AU68">IF(
    AND($H68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($H68 / 1000) * AU$10 * $BN$4 * 0.25
    ),
    0
)
+
IF(
    $N68 &lt; 0.875,
    MAX(0, MIN(($H68 / 1000) * AU$10 * $BN$4, AU$11 * 0.876) - (AU$11 * $N68)) * 0.25,
    0
)</f>
        <v>0</v>
      </c>
      <c r="AV68" s="36" cm="1">
        <f t="array" ref="AV68">IF(
    AND($H68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($H68 / 1000) * AV$10 * $BN$4 * 0.25
    ),
    0
)
+
IF(
    $N68 &lt; 0.875,
    MAX(0, MIN(($H68 / 1000) * AV$10 * $BN$4, AV$11 * 0.876) - (AV$11 * $N68)) * 0.25,
    0
)</f>
        <v>0</v>
      </c>
      <c r="AW68" s="36" cm="1">
        <f t="array" ref="AW68">IF(
    AND($H68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($H68 / 1000) * AW$10 * $BN$4 * 0.25
    ),
    0
)
+
IF(
    $N68 &lt; 0.875,
    MAX(0, MIN(($H68 / 1000) * AW$10 * $BN$4, AW$11 * 0.876) - (AW$11 * $N68)) * 0.25,
    0
)</f>
        <v>0</v>
      </c>
      <c r="AX68" s="36" cm="1">
        <f t="array" ref="AX68">IF(
    AND($H68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($H68 / 1000) * AX$10 * $BN$4 * 0.25
    ),
    0
)
+
IF(
    $N68 &lt; 0.875,
    MAX(0, MIN(($H68 / 1000) * AX$10 * $BN$4, AX$11 * 0.876) - (AX$11 * $N68)) * 0.25,
    0
)</f>
        <v>0</v>
      </c>
      <c r="AY68" s="36" cm="1">
        <f t="array" ref="AY68">IF(
    AND($H68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($H68 / 1000) * AY$10 * $BN$4 * 0.25
    ),
    0
)
+
IF(
    $N68 &lt; 0.875,
    MAX(0, MIN(($H68 / 1000) * AY$10 * $BN$4, AY$11 * 0.876) - (AY$11 * $N68)) * 0.25,
    0
)</f>
        <v>0</v>
      </c>
      <c r="AZ68" s="36" cm="1">
        <f t="array" ref="AZ68">IF(
    AND($H68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($H68 / 1000) * AZ$10 * $BN$4 * 0.25
    ),
    0
)
+
IF(
    $N68 &lt; 0.875,
    MAX(0, MIN(($H68 / 1000) * AZ$10 * $BN$4, AZ$11 * 0.876) - (AZ$11 * $N68)) * 0.25,
    0
)</f>
        <v>0</v>
      </c>
      <c r="BA68" s="36" cm="1">
        <f t="array" ref="BA68">IF(
    AND($H68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($H68 / 1000) * BA$10 * $BN$4 * 0.25
    ),
    0
)
+
IF(
    $N68 &lt; 0.875,
    MAX(0, MIN(($H68 / 1000) * BA$10 * $BN$4, BA$11 * 0.876) - (BA$11 * $N68)) * 0.25,
    0
)</f>
        <v>0</v>
      </c>
      <c r="BB68" s="36" cm="1">
        <f t="array" ref="BB68">IF(
    AND($H68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($H68 / 1000) * BB$10 * $BN$4 * 0.25
    ),
    0
)
+
IF(
    $N68 &lt; 0.875,
    MAX(0, MIN(($H68 / 1000) * BB$10 * $BN$4, BB$11 * 0.876) - (BB$11 * $N68)) * 0.25,
    0
)</f>
        <v>0</v>
      </c>
      <c r="BC68" s="36" cm="1">
        <f t="array" ref="BC68">IF(
    AND($H68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($H68 / 1000) * BC$10 * $BN$4 * 0.25
    ),
    0
)
+
IF(
    $N68 &lt; 0.875,
    MAX(0, MIN(($H68 / 1000) * BC$10 * $BN$4, BC$11 * 0.876) - (BC$11 * $N68)) * 0.25,
    0
)</f>
        <v>0</v>
      </c>
      <c r="BD68" s="36" cm="1">
        <f t="array" ref="BD68">IF(
    AND($H68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($H68 / 1000) * BD$10 * $BN$4 * 0.25
    ),
    0
)
+
IF(
    $N68 &lt; 0.875,
    MAX(0, MIN(($H68 / 1000) * BD$10 * $BN$4, BD$11 * 0.876) - (BD$11 * $N68)) * 0.25,
    0
)</f>
        <v>0</v>
      </c>
      <c r="BE68" s="36" cm="1">
        <f t="array" ref="BE68">IF(
    AND($H68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($H68 / 1000) * BE$10 * $BN$4 * 0.25
    ),
    0
)
+
IF(
    $N68 &lt; 0.875,
    MAX(0, MIN(($H68 / 1000) * BE$10 * $BN$4, BE$11 * 0.876) - (BE$11 * $N68)) * 0.25,
    0
)</f>
        <v>0</v>
      </c>
      <c r="BF68" s="36" cm="1">
        <f t="array" ref="BF68">IF(
    AND($H68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($H68 / 1000) * BF$10 * $BN$4 * 0.25
    ),
    0
)
+
IF(
    $N68 &lt; 0.875,
    MAX(0, MIN(($H68 / 1000) * BF$10 * $BN$4, BF$11 * 0.876) - (BF$11 * $N68)) * 0.25,
    0
)</f>
        <v>0</v>
      </c>
      <c r="BG68" s="8">
        <f>AVERAGE(TabellaMar2026[[#This Row],[Colonna55]:[Colonna53]])</f>
        <v>0</v>
      </c>
      <c r="BH68" s="8">
        <f>MAX(TabellaMar2026[[#This Row],[Colonna55]:[Colonna53]])</f>
        <v>0</v>
      </c>
      <c r="BI68" s="35">
        <f>MIN(TabellaMar2026[[#This Row],[Colonna55]:[Colonna53]])</f>
        <v>0</v>
      </c>
      <c r="BJ68" s="48">
        <f>SUM(TabellaMar2026[[#This Row],[Colonna54]:[Colonna53]])</f>
        <v>0</v>
      </c>
      <c r="BK68" s="54">
        <f>(SUM(Tabella01MarzoInverter[[Active power TX1-INV-1]:[Active power TX3-INV-12]]) * 0.25) / (12625 * (SUM($G$15:$H$110) * 0.25 / 1000))</f>
        <v>1.014229628761051</v>
      </c>
      <c r="BL68" s="5"/>
      <c r="BM68" s="5"/>
      <c r="BN68" s="5"/>
      <c r="BO68" s="8"/>
      <c r="BP68" s="19"/>
    </row>
    <row r="69" spans="1:68" x14ac:dyDescent="0.25">
      <c r="A69" s="18">
        <v>46147</v>
      </c>
      <c r="B69" t="s">
        <v>69</v>
      </c>
      <c r="C69" s="5">
        <v>929.9</v>
      </c>
      <c r="D69" s="6">
        <v>0.23247499999999999</v>
      </c>
      <c r="E69" s="6">
        <v>912.6</v>
      </c>
      <c r="F69" s="6">
        <v>0.22815000000000002</v>
      </c>
      <c r="G69" s="6">
        <f>IFERROR((D69+F69)/2, 0)</f>
        <v>0.2303125</v>
      </c>
      <c r="H69" s="7">
        <f>IFERROR(IF(AVERAGE(C69,E69)&gt;$BN$7,AVERAGE(C69,E69),0), 0)</f>
        <v>921.25</v>
      </c>
      <c r="I69" s="7">
        <f>IFERROR(IF(AND(D69=0,F69=0),0,IF(H69&gt;$BN$6,MAX(D69,F69),G69)), 0)</f>
        <v>0.23247499999999999</v>
      </c>
      <c r="J69" s="6">
        <f>IFERROR(IF(AND(D69&gt;0,F69&gt;0),ABS(D69-F69)/AVERAGE(D69,F69),0), 0)</f>
        <v>1.8778833107191174E-2</v>
      </c>
      <c r="K69" s="6">
        <v>30424.7</v>
      </c>
      <c r="L69" s="6">
        <v>30427.200000000001</v>
      </c>
      <c r="M69" s="8">
        <f>IFERROR((L69-K69)*1000, 0)</f>
        <v>2500</v>
      </c>
      <c r="N69" s="6">
        <v>0.87599999999999989</v>
      </c>
      <c r="O69" s="8" cm="1">
        <f t="array" ref="O69">IF(
    AND($H69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($H69 / 1000) * O$10 * $BN$4 * 0.25
    ),
    0
)
+
IF(
    $N69 &lt; 0.875,
    MAX(0, MIN(($H69 / 1000) * O$10 * $BN$4, O$11 * 0.876) - (O$11 * $N69)) * 0.25,
    0
)</f>
        <v>0</v>
      </c>
      <c r="P69" s="8" cm="1">
        <f t="array" ref="P69">IF(
    AND($H69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($H69 / 1000) * P$10 * $BN$4 * 0.25
    ),
    0
)
+
IF(
    $N69 &lt; 0.875,
    MAX(0, MIN(($H69 / 1000) * P$10 * $BN$4, P$11 * 0.876) - (P$11 * $N69)) * 0.25,
    0
)</f>
        <v>0</v>
      </c>
      <c r="Q69" s="8" cm="1">
        <f t="array" ref="Q69">IF(
    AND($H69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($H69 / 1000) * Q$10 * $BN$4 * 0.25
    ),
    0
)
+
IF(
    $N69 &lt; 0.875,
    MAX(0, MIN(($H69 / 1000) * Q$10 * $BN$4, Q$11 * 0.876) - (Q$11 * $N69)) * 0.25,
    0
)</f>
        <v>0</v>
      </c>
      <c r="R69" s="8" cm="1">
        <f t="array" ref="R69">IF(
    AND($H69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($H69 / 1000) * R$10 * $BN$4 * 0.25
    ),
    0
)
+
IF(
    $N69 &lt; 0.875,
    MAX(0, MIN(($H69 / 1000) * R$10 * $BN$4, R$11 * 0.876) - (R$11 * $N69)) * 0.25,
    0
)</f>
        <v>0</v>
      </c>
      <c r="S69" s="8" cm="1">
        <f t="array" ref="S69">IF(
    AND($H69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($H69 / 1000) * S$10 * $BN$4 * 0.25
    ),
    0
)
+
IF(
    $N69 &lt; 0.875,
    MAX(0, MIN(($H69 / 1000) * S$10 * $BN$4, S$11 * 0.876) - (S$11 * $N69)) * 0.25,
    0
)</f>
        <v>0</v>
      </c>
      <c r="T69" s="8" cm="1">
        <f t="array" ref="T69">IF(
    AND($H69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($H69 / 1000) * T$10 * $BN$4 * 0.25
    ),
    0
)
+
IF(
    $N69 &lt; 0.875,
    MAX(0, MIN(($H69 / 1000) * T$10 * $BN$4, T$11 * 0.876) - (T$11 * $N69)) * 0.25,
    0
)</f>
        <v>0</v>
      </c>
      <c r="U69" s="8" cm="1">
        <f t="array" ref="U69">IF(
    AND($H69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($H69 / 1000) * U$10 * $BN$4 * 0.25
    ),
    0
)
+
IF(
    $N69 &lt; 0.875,
    MAX(0, MIN(($H69 / 1000) * U$10 * $BN$4, U$11 * 0.876) - (U$11 * $N69)) * 0.25,
    0
)</f>
        <v>0</v>
      </c>
      <c r="V69" s="8" cm="1">
        <f t="array" ref="V69">IF(
    AND($H69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($H69 / 1000) * V$10 * $BN$4 * 0.25
    ),
    0
)
+
IF(
    $N69 &lt; 0.875,
    MAX(0, MIN(($H69 / 1000) * V$10 * $BN$4, V$11 * 0.876) - (V$11 * $N69)) * 0.25,
    0
)</f>
        <v>0</v>
      </c>
      <c r="W69" s="8" cm="1">
        <f t="array" ref="W69">IF(
    AND($H69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($H69 / 1000) * W$10 * $BN$4 * 0.25
    ),
    0
)
+
IF(
    $N69 &lt; 0.875,
    MAX(0, MIN(($H69 / 1000) * W$10 * $BN$4, W$11 * 0.876) - (W$11 * $N69)) * 0.25,
    0
)</f>
        <v>0</v>
      </c>
      <c r="X69" s="8" cm="1">
        <f t="array" ref="X69">IF(
    AND($H69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($H69 / 1000) * X$10 * $BN$4 * 0.25
    ),
    0
)
+
IF(
    $N69 &lt; 0.875,
    MAX(0, MIN(($H69 / 1000) * X$10 * $BN$4, X$11 * 0.876) - (X$11 * $N69)) * 0.25,
    0
)</f>
        <v>0</v>
      </c>
      <c r="Y69" s="8" cm="1">
        <f t="array" ref="Y69">IF(
    AND($H69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($H69 / 1000) * Y$10 * $BN$4 * 0.25
    ),
    0
)
+
IF(
    $N69 &lt; 0.875,
    MAX(0, MIN(($H69 / 1000) * Y$10 * $BN$4, Y$11 * 0.876) - (Y$11 * $N69)) * 0.25,
    0
)</f>
        <v>0</v>
      </c>
      <c r="Z69" s="8" cm="1">
        <f t="array" ref="Z69">IF(
    AND($H69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($H69 / 1000) * Z$10 * $BN$4 * 0.25
    ),
    0
)
+
IF(
    $N69 &lt; 0.875,
    MAX(0, MIN(($H69 / 1000) * Z$10 * $BN$4, Z$11 * 0.876) - (Z$11 * $N69)) * 0.25,
    0
)</f>
        <v>0</v>
      </c>
      <c r="AA69" s="8">
        <f>AVERAGE(TabellaMar2026[[#This Row],[Colonna24]:[Colonna20]])</f>
        <v>0</v>
      </c>
      <c r="AB69" s="8">
        <f>MAX(TabellaMar2026[[#This Row],[Colonna24]:[Colonna20]])</f>
        <v>0</v>
      </c>
      <c r="AC69" s="35">
        <f>MIN(TabellaMar2026[[#This Row],[Colonna24]:[Colonna20]])</f>
        <v>0</v>
      </c>
      <c r="AD69" s="44">
        <f>SUM(TabellaMar2026[[#This Row],[Colonna24]:[Colonna20]])</f>
        <v>0</v>
      </c>
      <c r="AE69" s="36">
        <f>IF(
    AND($H69 &gt; $BN$7, Tabella01MarzoInverter[[#This Row],[Active power TX2-INV-1]] &lt;= 0, Tabella01MarzoInverter[[#This Row],[TX2 - Average Power]] &lt;= 0),
    MIN(($H69 / 1000) * AE$10 * $BN$4, AE$11 * 0.876) * 0.25,
    IF(
        AND($H69 &gt; $BN$7, Tabella01MarzoInverter[[#This Row],[Active power TX2-INV-1]] &lt;= 0),
        Tabella01MarzoInverter[[#This Row],[TX2 - Average Power]] * 0.25,
        0
    )
    +
    IF(
        $N69 &lt; 0.875,
        MAX(0, MIN(($H69 / 1000) * AE$10 * $BN$4, AE$11 * 0.876) - (AE$11 * $N69)) * 0.25,
        0
    )
)</f>
        <v>0</v>
      </c>
      <c r="AF69" s="36">
        <f>IF(
    AND($H69 &gt; $BN$7, Tabella01MarzoInverter[[#This Row],[Active power TX2-INV-2]] &lt;= 0, Tabella01MarzoInverter[[#This Row],[TX2 - Max Power]] &lt;= 0),
    MIN(($H69 / 1000) * AF$10 * $BN$4, AF$11 * 0.876) * 0.25,
    IF(
        AND($H69 &gt; $BN$7, Tabella01MarzoInverter[[#This Row],[Active power TX2-INV-2]] &lt;= 0),
        Tabella01MarzoInverter[[#This Row],[TX2 - Max Power]] * 0.25,
        0
    )
    +
    IF(
        $N69 &lt; 0.875,
        MAX(0, MIN(($H69 / 1000) * AF$10 * $BN$4, AF$11 * 0.876) - (AF$11 * $N69)) * 0.25,
        0
    )
)</f>
        <v>0</v>
      </c>
      <c r="AG69" s="36">
        <f>IF(
    AND($H69 &gt; $BN$7, Tabella01MarzoInverter[[#This Row],[Active power TX2-INV-3]] &lt;= 0, Tabella01MarzoInverter[[#This Row],[TX2 - Min Power]] &lt;= 0),
    MIN(($H69 / 1000) * AG$10 * $BN$4, AG$11 * 0.876) * 0.25,
    IF(
        AND($H69 &gt; $BN$7, Tabella01MarzoInverter[[#This Row],[Active power TX2-INV-3]] &lt;= 0),
        Tabella01MarzoInverter[[#This Row],[TX2 - Min Power]] * 0.25,
        0
    )
    +
    IF(
        $N69 &lt; 0.875,
        MAX(0, MIN(($H69 / 1000) * AG$10 * $BN$4, AG$11 * 0.876) - (AG$11 * $N69)) * 0.25,
        0
    )
)</f>
        <v>0</v>
      </c>
      <c r="AH69" s="36">
        <f>IF(
    AND($H69 &gt; $BN$7, Tabella01MarzoInverter[[#This Row],[Active power TX2-INV-4]] &lt;= 0, Tabella01MarzoInverter[[#This Row],[Active power TX3-INV-1]] &lt;= 0),
    MIN(($H69 / 1000) * AH$10 * $BN$4, AH$11 * 0.876) * 0.25,
    IF(
        AND($H69 &gt; $BN$7, Tabella01MarzoInverter[[#This Row],[Active power TX2-INV-4]] &lt;= 0),
        Tabella01MarzoInverter[[#This Row],[Active power TX3-INV-1]] * 0.25,
        0
    )
    +
    IF(
        $N69 &lt; 0.875,
        MAX(0, MIN(($H69 / 1000) * AH$10 * $BN$4, AH$11 * 0.876) - (AH$11 * $N69)) * 0.25,
        0
    )
)</f>
        <v>0</v>
      </c>
      <c r="AI69" s="36">
        <f>IF(
    AND($H69 &gt; $BN$7, Tabella01MarzoInverter[[#This Row],[Active power TX2-INV-5]] &lt;= 0, Tabella01MarzoInverter[[#This Row],[Active power TX3-INV-2]] &lt;= 0),
    MIN(($H69 / 1000) * AI$10 * $BN$4, AI$11 * 0.876) * 0.25,
    IF(
        AND($H69 &gt; $BN$7, Tabella01MarzoInverter[[#This Row],[Active power TX2-INV-5]] &lt;= 0),
        Tabella01MarzoInverter[[#This Row],[Active power TX3-INV-2]] * 0.25,
        0
    )
    +
    IF(
        $N69 &lt; 0.875,
        MAX(0, MIN(($H69 / 1000) * AI$10 * $BN$4, AI$11 * 0.876) - (AI$11 * $N69)) * 0.25,
        0
    )
)</f>
        <v>0</v>
      </c>
      <c r="AJ69" s="36">
        <f>IF(
    AND($H69 &gt; $BN$7, Tabella01MarzoInverter[[#This Row],[Active power TX2-INV-6]] &lt;= 0, Tabella01MarzoInverter[[#This Row],[Active power TX3-INV-3]] &lt;= 0),
    MIN(($H69 / 1000) * AJ$10 * $BN$4, AJ$11 * 0.876) * 0.25,
    IF(
        AND($H69 &gt; $BN$7, Tabella01MarzoInverter[[#This Row],[Active power TX2-INV-6]] &lt;= 0),
        Tabella01MarzoInverter[[#This Row],[Active power TX3-INV-3]] * 0.25,
        0
    )
    +
    IF(
        $N69 &lt; 0.875,
        MAX(0, MIN(($H69 / 1000) * AJ$10 * $BN$4, AJ$11 * 0.876) - (AJ$11 * $N69)) * 0.25,
        0
    )
)</f>
        <v>0</v>
      </c>
      <c r="AK69" s="36">
        <f>IF(
    AND($H69 &gt; $BN$7, Tabella01MarzoInverter[[#This Row],[Active power TX2-INV-7]] &lt;= 0, Tabella01MarzoInverter[[#This Row],[Active power TX3-INV-4]] &lt;= 0),
    MIN(($H69 / 1000) * AK$10 * $BN$4, AK$11 * 0.876) * 0.25,
    IF(
        AND($H69 &gt; $BN$7, Tabella01MarzoInverter[[#This Row],[Active power TX2-INV-7]] &lt;= 0),
        Tabella01MarzoInverter[[#This Row],[Active power TX3-INV-4]] * 0.25,
        0
    )
    +
    IF(
        $N69 &lt; 0.875,
        MAX(0, MIN(($H69 / 1000) * AK$10 * $BN$4, AK$11 * 0.876) - (AK$11 * $N69)) * 0.25,
        0
    )
)</f>
        <v>0</v>
      </c>
      <c r="AL69" s="36">
        <f>IF(
    AND($H69 &gt; $BN$7, Tabella01MarzoInverter[[#This Row],[Active power TX2-INV-8]] &lt;= 0, Tabella01MarzoInverter[[#This Row],[Active power TX3-INV-5]] &lt;= 0),
    MIN(($H69 / 1000) * AL$10 * $BN$4, AL$11 * 0.876) * 0.25,
    IF(
        AND($H69 &gt; $BN$7, Tabella01MarzoInverter[[#This Row],[Active power TX2-INV-8]] &lt;= 0),
        Tabella01MarzoInverter[[#This Row],[Active power TX3-INV-5]] * 0.25,
        0
    )
    +
    IF(
        $N69 &lt; 0.875,
        MAX(0, MIN(($H69 / 1000) * AL$10 * $BN$4, AL$11 * 0.876) - (AL$11 * $N69)) * 0.25,
        0
    )
)</f>
        <v>0</v>
      </c>
      <c r="AM69" s="36">
        <f>IF(
    AND($H69 &gt; $BN$7, Tabella01MarzoInverter[[#This Row],[Active power TX2-INV-9]] &lt;= 0, Tabella01MarzoInverter[[#This Row],[Active power TX3-INV-6]] &lt;= 0),
    MIN(($H69 / 1000) * AM$10 * $BN$4, AM$11 * 0.876) * 0.25,
    IF(
        AND($H69 &gt; $BN$7, Tabella01MarzoInverter[[#This Row],[Active power TX2-INV-9]] &lt;= 0),
        Tabella01MarzoInverter[[#This Row],[Active power TX3-INV-6]] * 0.25,
        0
    )
    +
    IF(
        $N69 &lt; 0.875,
        MAX(0, MIN(($H69 / 1000) * AM$10 * $BN$4, AM$11 * 0.876) - (AM$11 * $N69)) * 0.25,
        0
    )
)</f>
        <v>0</v>
      </c>
      <c r="AN69" s="36">
        <f>IF(
    AND($H69 &gt; $BN$7, Tabella01MarzoInverter[[#This Row],[Active power TX2-INV-10]] &lt;= 0, Tabella01MarzoInverter[[#This Row],[Active power TX3-INV-7]] &lt;= 0),
    MIN(($H69 / 1000) * AN$10 * $BN$4, AN$11 * 0.876) * 0.25,
    IF(
        AND($H69 &gt; $BN$7, Tabella01MarzoInverter[[#This Row],[Active power TX2-INV-10]] &lt;= 0),
        Tabella01MarzoInverter[[#This Row],[Active power TX3-INV-7]] * 0.25,
        0
    )
    +
    IF(
        $N69 &lt; 0.875,
        MAX(0, MIN(($H69 / 1000) * AN$10 * $BN$4, AN$11 * 0.876) - (AN$11 * $N69)) * 0.25,
        0
    )
)</f>
        <v>0</v>
      </c>
      <c r="AO69" s="36">
        <f>IF(
    AND($H69 &gt; $BN$7, Tabella01MarzoInverter[[#This Row],[Active power TX2-INV-11]] &lt;= 0, Tabella01MarzoInverter[[#This Row],[Active power TX3-INV-8]] &lt;= 0),
    MIN(($H69 / 1000) * AO$10 * $BN$4, AO$11 * 0.876) * 0.25,
    IF(
        AND($H69 &gt; $BN$7, Tabella01MarzoInverter[[#This Row],[Active power TX2-INV-11]] &lt;= 0),
        Tabella01MarzoInverter[[#This Row],[Active power TX3-INV-8]] * 0.25,
        0
    )
    +
    IF(
        $N69 &lt; 0.875,
        MAX(0, MIN(($H69 / 1000) * AO$10 * $BN$4, AO$11 * 0.876) - (AO$11 * $N69)) * 0.25,
        0
    )
)</f>
        <v>0</v>
      </c>
      <c r="AP69" s="36">
        <f>IF(
    AND($H69 &gt; $BN$7, Tabella01MarzoInverter[[#This Row],[Active power TX2-INV-12]] &lt;= 0, Tabella01MarzoInverter[[#This Row],[Active power TX3-INV-9]] &lt;= 0),
    MIN(($H69 / 1000) * AP$10 * $BN$4, AP$11 * 0.876) * 0.25,
    IF(
        AND($H69 &gt; $BN$7, Tabella01MarzoInverter[[#This Row],[Active power TX2-INV-12]] &lt;= 0),
        Tabella01MarzoInverter[[#This Row],[Active power TX3-INV-9]] * 0.25,
        0
    )
    +
    IF(
        $N69 &lt; 0.875,
        MAX(0, MIN(($H69 / 1000) * AP$10 * $BN$4, AP$11 * 0.876) - (AP$11 * $N69)) * 0.25,
        0
    )
)</f>
        <v>0</v>
      </c>
      <c r="AQ69" s="8">
        <f>AVERAGE(TabellaMar2026[[#This Row],[Colonna39]:[Colonna6]])</f>
        <v>0</v>
      </c>
      <c r="AR69" s="8">
        <f>MAX(TabellaMar2026[[#This Row],[Colonna39]:[Colonna6]])</f>
        <v>0</v>
      </c>
      <c r="AS69" s="35">
        <f>MIN(TabellaMar2026[[#This Row],[Colonna39]:[Colonna6]])</f>
        <v>0</v>
      </c>
      <c r="AT69" s="48">
        <f>SUM(TabellaMar2026[[#This Row],[Colonna39]:[Colonna6]])</f>
        <v>0</v>
      </c>
      <c r="AU69" s="36" cm="1">
        <f t="array" ref="AU69">IF(
    AND($H69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($H69 / 1000) * AU$10 * $BN$4 * 0.25
    ),
    0
)
+
IF(
    $N69 &lt; 0.875,
    MAX(0, MIN(($H69 / 1000) * AU$10 * $BN$4, AU$11 * 0.876) - (AU$11 * $N69)) * 0.25,
    0
)</f>
        <v>0</v>
      </c>
      <c r="AV69" s="36" cm="1">
        <f t="array" ref="AV69">IF(
    AND($H69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($H69 / 1000) * AV$10 * $BN$4 * 0.25
    ),
    0
)
+
IF(
    $N69 &lt; 0.875,
    MAX(0, MIN(($H69 / 1000) * AV$10 * $BN$4, AV$11 * 0.876) - (AV$11 * $N69)) * 0.25,
    0
)</f>
        <v>0</v>
      </c>
      <c r="AW69" s="36" cm="1">
        <f t="array" ref="AW69">IF(
    AND($H69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($H69 / 1000) * AW$10 * $BN$4 * 0.25
    ),
    0
)
+
IF(
    $N69 &lt; 0.875,
    MAX(0, MIN(($H69 / 1000) * AW$10 * $BN$4, AW$11 * 0.876) - (AW$11 * $N69)) * 0.25,
    0
)</f>
        <v>0</v>
      </c>
      <c r="AX69" s="36" cm="1">
        <f t="array" ref="AX69">IF(
    AND($H69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($H69 / 1000) * AX$10 * $BN$4 * 0.25
    ),
    0
)
+
IF(
    $N69 &lt; 0.875,
    MAX(0, MIN(($H69 / 1000) * AX$10 * $BN$4, AX$11 * 0.876) - (AX$11 * $N69)) * 0.25,
    0
)</f>
        <v>0</v>
      </c>
      <c r="AY69" s="36" cm="1">
        <f t="array" ref="AY69">IF(
    AND($H69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($H69 / 1000) * AY$10 * $BN$4 * 0.25
    ),
    0
)
+
IF(
    $N69 &lt; 0.875,
    MAX(0, MIN(($H69 / 1000) * AY$10 * $BN$4, AY$11 * 0.876) - (AY$11 * $N69)) * 0.25,
    0
)</f>
        <v>0</v>
      </c>
      <c r="AZ69" s="36" cm="1">
        <f t="array" ref="AZ69">IF(
    AND($H69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($H69 / 1000) * AZ$10 * $BN$4 * 0.25
    ),
    0
)
+
IF(
    $N69 &lt; 0.875,
    MAX(0, MIN(($H69 / 1000) * AZ$10 * $BN$4, AZ$11 * 0.876) - (AZ$11 * $N69)) * 0.25,
    0
)</f>
        <v>0</v>
      </c>
      <c r="BA69" s="36" cm="1">
        <f t="array" ref="BA69">IF(
    AND($H69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($H69 / 1000) * BA$10 * $BN$4 * 0.25
    ),
    0
)
+
IF(
    $N69 &lt; 0.875,
    MAX(0, MIN(($H69 / 1000) * BA$10 * $BN$4, BA$11 * 0.876) - (BA$11 * $N69)) * 0.25,
    0
)</f>
        <v>0</v>
      </c>
      <c r="BB69" s="36" cm="1">
        <f t="array" ref="BB69">IF(
    AND($H69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($H69 / 1000) * BB$10 * $BN$4 * 0.25
    ),
    0
)
+
IF(
    $N69 &lt; 0.875,
    MAX(0, MIN(($H69 / 1000) * BB$10 * $BN$4, BB$11 * 0.876) - (BB$11 * $N69)) * 0.25,
    0
)</f>
        <v>0</v>
      </c>
      <c r="BC69" s="36" cm="1">
        <f t="array" ref="BC69">IF(
    AND($H69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($H69 / 1000) * BC$10 * $BN$4 * 0.25
    ),
    0
)
+
IF(
    $N69 &lt; 0.875,
    MAX(0, MIN(($H69 / 1000) * BC$10 * $BN$4, BC$11 * 0.876) - (BC$11 * $N69)) * 0.25,
    0
)</f>
        <v>0</v>
      </c>
      <c r="BD69" s="36" cm="1">
        <f t="array" ref="BD69">IF(
    AND($H69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($H69 / 1000) * BD$10 * $BN$4 * 0.25
    ),
    0
)
+
IF(
    $N69 &lt; 0.875,
    MAX(0, MIN(($H69 / 1000) * BD$10 * $BN$4, BD$11 * 0.876) - (BD$11 * $N69)) * 0.25,
    0
)</f>
        <v>0</v>
      </c>
      <c r="BE69" s="36" cm="1">
        <f t="array" ref="BE69">IF(
    AND($H69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($H69 / 1000) * BE$10 * $BN$4 * 0.25
    ),
    0
)
+
IF(
    $N69 &lt; 0.875,
    MAX(0, MIN(($H69 / 1000) * BE$10 * $BN$4, BE$11 * 0.876) - (BE$11 * $N69)) * 0.25,
    0
)</f>
        <v>0</v>
      </c>
      <c r="BF69" s="36" cm="1">
        <f t="array" ref="BF69">IF(
    AND($H69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($H69 / 1000) * BF$10 * $BN$4 * 0.25
    ),
    0
)
+
IF(
    $N69 &lt; 0.875,
    MAX(0, MIN(($H69 / 1000) * BF$10 * $BN$4, BF$11 * 0.876) - (BF$11 * $N69)) * 0.25,
    0
)</f>
        <v>0</v>
      </c>
      <c r="BG69" s="8">
        <f>AVERAGE(TabellaMar2026[[#This Row],[Colonna55]:[Colonna53]])</f>
        <v>0</v>
      </c>
      <c r="BH69" s="8">
        <f>MAX(TabellaMar2026[[#This Row],[Colonna55]:[Colonna53]])</f>
        <v>0</v>
      </c>
      <c r="BI69" s="35">
        <f>MIN(TabellaMar2026[[#This Row],[Colonna55]:[Colonna53]])</f>
        <v>0</v>
      </c>
      <c r="BJ69" s="48">
        <f>SUM(TabellaMar2026[[#This Row],[Colonna54]:[Colonna53]])</f>
        <v>0</v>
      </c>
      <c r="BK69" s="54">
        <f>(SUM(Tabella01MarzoInverter[[Active power TX1-INV-1]:[Active power TX3-INV-12]]) * 0.25) / (12625 * (SUM($G$15:$H$110) * 0.25 / 1000))</f>
        <v>1.014229628761051</v>
      </c>
      <c r="BL69" s="5"/>
      <c r="BM69" s="5"/>
      <c r="BN69" s="5"/>
      <c r="BO69" s="8"/>
      <c r="BP69" s="19"/>
    </row>
    <row r="70" spans="1:68" x14ac:dyDescent="0.25">
      <c r="A70" s="18">
        <v>46147</v>
      </c>
      <c r="B70" t="s">
        <v>70</v>
      </c>
      <c r="C70" s="5">
        <v>962.5</v>
      </c>
      <c r="D70" s="6">
        <v>0.24062500000000001</v>
      </c>
      <c r="E70" s="6">
        <v>941.3</v>
      </c>
      <c r="F70" s="6">
        <v>0.23532499999999998</v>
      </c>
      <c r="G70" s="6">
        <f>IFERROR((D70+F70)/2, 0)</f>
        <v>0.23797499999999999</v>
      </c>
      <c r="H70" s="7">
        <f>IFERROR(IF(AVERAGE(C70,E70)&gt;$BN$7,AVERAGE(C70,E70),0), 0)</f>
        <v>951.9</v>
      </c>
      <c r="I70" s="7">
        <f>IFERROR(IF(AND(D70=0,F70=0),0,IF(H70&gt;$BN$6,MAX(D70,F70),G70)), 0)</f>
        <v>0.24062500000000001</v>
      </c>
      <c r="J70" s="6">
        <f>IFERROR(IF(AND(D70&gt;0,F70&gt;0),ABS(D70-F70)/AVERAGE(D70,F70),0), 0)</f>
        <v>2.2271246979724876E-2</v>
      </c>
      <c r="K70" s="6">
        <v>30427.200000000001</v>
      </c>
      <c r="L70" s="6">
        <v>30429.599999999999</v>
      </c>
      <c r="M70" s="8">
        <f>IFERROR((L70-K70)*1000, 0)</f>
        <v>2399.9999999978172</v>
      </c>
      <c r="N70" s="6">
        <v>0.87599999999999989</v>
      </c>
      <c r="O70" s="8" cm="1">
        <f t="array" ref="O70">IF(
    AND($H70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($H70 / 1000) * O$10 * $BN$4 * 0.25
    ),
    0
)
+
IF(
    $N70 &lt; 0.875,
    MAX(0, MIN(($H70 / 1000) * O$10 * $BN$4, O$11 * 0.876) - (O$11 * $N70)) * 0.25,
    0
)</f>
        <v>0</v>
      </c>
      <c r="P70" s="8" cm="1">
        <f t="array" ref="P70">IF(
    AND($H70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($H70 / 1000) * P$10 * $BN$4 * 0.25
    ),
    0
)
+
IF(
    $N70 &lt; 0.875,
    MAX(0, MIN(($H70 / 1000) * P$10 * $BN$4, P$11 * 0.876) - (P$11 * $N70)) * 0.25,
    0
)</f>
        <v>0</v>
      </c>
      <c r="Q70" s="8" cm="1">
        <f t="array" ref="Q70">IF(
    AND($H70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($H70 / 1000) * Q$10 * $BN$4 * 0.25
    ),
    0
)
+
IF(
    $N70 &lt; 0.875,
    MAX(0, MIN(($H70 / 1000) * Q$10 * $BN$4, Q$11 * 0.876) - (Q$11 * $N70)) * 0.25,
    0
)</f>
        <v>0</v>
      </c>
      <c r="R70" s="8" cm="1">
        <f t="array" ref="R70">IF(
    AND($H70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($H70 / 1000) * R$10 * $BN$4 * 0.25
    ),
    0
)
+
IF(
    $N70 &lt; 0.875,
    MAX(0, MIN(($H70 / 1000) * R$10 * $BN$4, R$11 * 0.876) - (R$11 * $N70)) * 0.25,
    0
)</f>
        <v>0</v>
      </c>
      <c r="S70" s="8" cm="1">
        <f t="array" ref="S70">IF(
    AND($H70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($H70 / 1000) * S$10 * $BN$4 * 0.25
    ),
    0
)
+
IF(
    $N70 &lt; 0.875,
    MAX(0, MIN(($H70 / 1000) * S$10 * $BN$4, S$11 * 0.876) - (S$11 * $N70)) * 0.25,
    0
)</f>
        <v>0</v>
      </c>
      <c r="T70" s="8" cm="1">
        <f t="array" ref="T70">IF(
    AND($H70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($H70 / 1000) * T$10 * $BN$4 * 0.25
    ),
    0
)
+
IF(
    $N70 &lt; 0.875,
    MAX(0, MIN(($H70 / 1000) * T$10 * $BN$4, T$11 * 0.876) - (T$11 * $N70)) * 0.25,
    0
)</f>
        <v>0</v>
      </c>
      <c r="U70" s="8" cm="1">
        <f t="array" ref="U70">IF(
    AND($H70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($H70 / 1000) * U$10 * $BN$4 * 0.25
    ),
    0
)
+
IF(
    $N70 &lt; 0.875,
    MAX(0, MIN(($H70 / 1000) * U$10 * $BN$4, U$11 * 0.876) - (U$11 * $N70)) * 0.25,
    0
)</f>
        <v>0</v>
      </c>
      <c r="V70" s="8" cm="1">
        <f t="array" ref="V70">IF(
    AND($H70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($H70 / 1000) * V$10 * $BN$4 * 0.25
    ),
    0
)
+
IF(
    $N70 &lt; 0.875,
    MAX(0, MIN(($H70 / 1000) * V$10 * $BN$4, V$11 * 0.876) - (V$11 * $N70)) * 0.25,
    0
)</f>
        <v>0</v>
      </c>
      <c r="W70" s="8" cm="1">
        <f t="array" ref="W70">IF(
    AND($H70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($H70 / 1000) * W$10 * $BN$4 * 0.25
    ),
    0
)
+
IF(
    $N70 &lt; 0.875,
    MAX(0, MIN(($H70 / 1000) * W$10 * $BN$4, W$11 * 0.876) - (W$11 * $N70)) * 0.25,
    0
)</f>
        <v>0</v>
      </c>
      <c r="X70" s="8" cm="1">
        <f t="array" ref="X70">IF(
    AND($H70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($H70 / 1000) * X$10 * $BN$4 * 0.25
    ),
    0
)
+
IF(
    $N70 &lt; 0.875,
    MAX(0, MIN(($H70 / 1000) * X$10 * $BN$4, X$11 * 0.876) - (X$11 * $N70)) * 0.25,
    0
)</f>
        <v>0</v>
      </c>
      <c r="Y70" s="8" cm="1">
        <f t="array" ref="Y70">IF(
    AND($H70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($H70 / 1000) * Y$10 * $BN$4 * 0.25
    ),
    0
)
+
IF(
    $N70 &lt; 0.875,
    MAX(0, MIN(($H70 / 1000) * Y$10 * $BN$4, Y$11 * 0.876) - (Y$11 * $N70)) * 0.25,
    0
)</f>
        <v>0</v>
      </c>
      <c r="Z70" s="8" cm="1">
        <f t="array" ref="Z70">IF(
    AND($H70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($H70 / 1000) * Z$10 * $BN$4 * 0.25
    ),
    0
)
+
IF(
    $N70 &lt; 0.875,
    MAX(0, MIN(($H70 / 1000) * Z$10 * $BN$4, Z$11 * 0.876) - (Z$11 * $N70)) * 0.25,
    0
)</f>
        <v>0</v>
      </c>
      <c r="AA70" s="8">
        <f>AVERAGE(TabellaMar2026[[#This Row],[Colonna24]:[Colonna20]])</f>
        <v>0</v>
      </c>
      <c r="AB70" s="8">
        <f>MAX(TabellaMar2026[[#This Row],[Colonna24]:[Colonna20]])</f>
        <v>0</v>
      </c>
      <c r="AC70" s="35">
        <f>MIN(TabellaMar2026[[#This Row],[Colonna24]:[Colonna20]])</f>
        <v>0</v>
      </c>
      <c r="AD70" s="44">
        <f>SUM(TabellaMar2026[[#This Row],[Colonna24]:[Colonna20]])</f>
        <v>0</v>
      </c>
      <c r="AE70" s="36">
        <f>IF(
    AND($H70 &gt; $BN$7, Tabella01MarzoInverter[[#This Row],[Active power TX2-INV-1]] &lt;= 0, Tabella01MarzoInverter[[#This Row],[TX2 - Average Power]] &lt;= 0),
    MIN(($H70 / 1000) * AE$10 * $BN$4, AE$11 * 0.876) * 0.25,
    IF(
        AND($H70 &gt; $BN$7, Tabella01MarzoInverter[[#This Row],[Active power TX2-INV-1]] &lt;= 0),
        Tabella01MarzoInverter[[#This Row],[TX2 - Average Power]] * 0.25,
        0
    )
    +
    IF(
        $N70 &lt; 0.875,
        MAX(0, MIN(($H70 / 1000) * AE$10 * $BN$4, AE$11 * 0.876) - (AE$11 * $N70)) * 0.25,
        0
    )
)</f>
        <v>0</v>
      </c>
      <c r="AF70" s="36">
        <f>IF(
    AND($H70 &gt; $BN$7, Tabella01MarzoInverter[[#This Row],[Active power TX2-INV-2]] &lt;= 0, Tabella01MarzoInverter[[#This Row],[TX2 - Max Power]] &lt;= 0),
    MIN(($H70 / 1000) * AF$10 * $BN$4, AF$11 * 0.876) * 0.25,
    IF(
        AND($H70 &gt; $BN$7, Tabella01MarzoInverter[[#This Row],[Active power TX2-INV-2]] &lt;= 0),
        Tabella01MarzoInverter[[#This Row],[TX2 - Max Power]] * 0.25,
        0
    )
    +
    IF(
        $N70 &lt; 0.875,
        MAX(0, MIN(($H70 / 1000) * AF$10 * $BN$4, AF$11 * 0.876) - (AF$11 * $N70)) * 0.25,
        0
    )
)</f>
        <v>0</v>
      </c>
      <c r="AG70" s="36">
        <f>IF(
    AND($H70 &gt; $BN$7, Tabella01MarzoInverter[[#This Row],[Active power TX2-INV-3]] &lt;= 0, Tabella01MarzoInverter[[#This Row],[TX2 - Min Power]] &lt;= 0),
    MIN(($H70 / 1000) * AG$10 * $BN$4, AG$11 * 0.876) * 0.25,
    IF(
        AND($H70 &gt; $BN$7, Tabella01MarzoInverter[[#This Row],[Active power TX2-INV-3]] &lt;= 0),
        Tabella01MarzoInverter[[#This Row],[TX2 - Min Power]] * 0.25,
        0
    )
    +
    IF(
        $N70 &lt; 0.875,
        MAX(0, MIN(($H70 / 1000) * AG$10 * $BN$4, AG$11 * 0.876) - (AG$11 * $N70)) * 0.25,
        0
    )
)</f>
        <v>0</v>
      </c>
      <c r="AH70" s="36">
        <f>IF(
    AND($H70 &gt; $BN$7, Tabella01MarzoInverter[[#This Row],[Active power TX2-INV-4]] &lt;= 0, Tabella01MarzoInverter[[#This Row],[Active power TX3-INV-1]] &lt;= 0),
    MIN(($H70 / 1000) * AH$10 * $BN$4, AH$11 * 0.876) * 0.25,
    IF(
        AND($H70 &gt; $BN$7, Tabella01MarzoInverter[[#This Row],[Active power TX2-INV-4]] &lt;= 0),
        Tabella01MarzoInverter[[#This Row],[Active power TX3-INV-1]] * 0.25,
        0
    )
    +
    IF(
        $N70 &lt; 0.875,
        MAX(0, MIN(($H70 / 1000) * AH$10 * $BN$4, AH$11 * 0.876) - (AH$11 * $N70)) * 0.25,
        0
    )
)</f>
        <v>0</v>
      </c>
      <c r="AI70" s="36">
        <f>IF(
    AND($H70 &gt; $BN$7, Tabella01MarzoInverter[[#This Row],[Active power TX2-INV-5]] &lt;= 0, Tabella01MarzoInverter[[#This Row],[Active power TX3-INV-2]] &lt;= 0),
    MIN(($H70 / 1000) * AI$10 * $BN$4, AI$11 * 0.876) * 0.25,
    IF(
        AND($H70 &gt; $BN$7, Tabella01MarzoInverter[[#This Row],[Active power TX2-INV-5]] &lt;= 0),
        Tabella01MarzoInverter[[#This Row],[Active power TX3-INV-2]] * 0.25,
        0
    )
    +
    IF(
        $N70 &lt; 0.875,
        MAX(0, MIN(($H70 / 1000) * AI$10 * $BN$4, AI$11 * 0.876) - (AI$11 * $N70)) * 0.25,
        0
    )
)</f>
        <v>0</v>
      </c>
      <c r="AJ70" s="36">
        <f>IF(
    AND($H70 &gt; $BN$7, Tabella01MarzoInverter[[#This Row],[Active power TX2-INV-6]] &lt;= 0, Tabella01MarzoInverter[[#This Row],[Active power TX3-INV-3]] &lt;= 0),
    MIN(($H70 / 1000) * AJ$10 * $BN$4, AJ$11 * 0.876) * 0.25,
    IF(
        AND($H70 &gt; $BN$7, Tabella01MarzoInverter[[#This Row],[Active power TX2-INV-6]] &lt;= 0),
        Tabella01MarzoInverter[[#This Row],[Active power TX3-INV-3]] * 0.25,
        0
    )
    +
    IF(
        $N70 &lt; 0.875,
        MAX(0, MIN(($H70 / 1000) * AJ$10 * $BN$4, AJ$11 * 0.876) - (AJ$11 * $N70)) * 0.25,
        0
    )
)</f>
        <v>0</v>
      </c>
      <c r="AK70" s="36">
        <f>IF(
    AND($H70 &gt; $BN$7, Tabella01MarzoInverter[[#This Row],[Active power TX2-INV-7]] &lt;= 0, Tabella01MarzoInverter[[#This Row],[Active power TX3-INV-4]] &lt;= 0),
    MIN(($H70 / 1000) * AK$10 * $BN$4, AK$11 * 0.876) * 0.25,
    IF(
        AND($H70 &gt; $BN$7, Tabella01MarzoInverter[[#This Row],[Active power TX2-INV-7]] &lt;= 0),
        Tabella01MarzoInverter[[#This Row],[Active power TX3-INV-4]] * 0.25,
        0
    )
    +
    IF(
        $N70 &lt; 0.875,
        MAX(0, MIN(($H70 / 1000) * AK$10 * $BN$4, AK$11 * 0.876) - (AK$11 * $N70)) * 0.25,
        0
    )
)</f>
        <v>0</v>
      </c>
      <c r="AL70" s="36">
        <f>IF(
    AND($H70 &gt; $BN$7, Tabella01MarzoInverter[[#This Row],[Active power TX2-INV-8]] &lt;= 0, Tabella01MarzoInverter[[#This Row],[Active power TX3-INV-5]] &lt;= 0),
    MIN(($H70 / 1000) * AL$10 * $BN$4, AL$11 * 0.876) * 0.25,
    IF(
        AND($H70 &gt; $BN$7, Tabella01MarzoInverter[[#This Row],[Active power TX2-INV-8]] &lt;= 0),
        Tabella01MarzoInverter[[#This Row],[Active power TX3-INV-5]] * 0.25,
        0
    )
    +
    IF(
        $N70 &lt; 0.875,
        MAX(0, MIN(($H70 / 1000) * AL$10 * $BN$4, AL$11 * 0.876) - (AL$11 * $N70)) * 0.25,
        0
    )
)</f>
        <v>0</v>
      </c>
      <c r="AM70" s="36">
        <f>IF(
    AND($H70 &gt; $BN$7, Tabella01MarzoInverter[[#This Row],[Active power TX2-INV-9]] &lt;= 0, Tabella01MarzoInverter[[#This Row],[Active power TX3-INV-6]] &lt;= 0),
    MIN(($H70 / 1000) * AM$10 * $BN$4, AM$11 * 0.876) * 0.25,
    IF(
        AND($H70 &gt; $BN$7, Tabella01MarzoInverter[[#This Row],[Active power TX2-INV-9]] &lt;= 0),
        Tabella01MarzoInverter[[#This Row],[Active power TX3-INV-6]] * 0.25,
        0
    )
    +
    IF(
        $N70 &lt; 0.875,
        MAX(0, MIN(($H70 / 1000) * AM$10 * $BN$4, AM$11 * 0.876) - (AM$11 * $N70)) * 0.25,
        0
    )
)</f>
        <v>0</v>
      </c>
      <c r="AN70" s="36">
        <f>IF(
    AND($H70 &gt; $BN$7, Tabella01MarzoInverter[[#This Row],[Active power TX2-INV-10]] &lt;= 0, Tabella01MarzoInverter[[#This Row],[Active power TX3-INV-7]] &lt;= 0),
    MIN(($H70 / 1000) * AN$10 * $BN$4, AN$11 * 0.876) * 0.25,
    IF(
        AND($H70 &gt; $BN$7, Tabella01MarzoInverter[[#This Row],[Active power TX2-INV-10]] &lt;= 0),
        Tabella01MarzoInverter[[#This Row],[Active power TX3-INV-7]] * 0.25,
        0
    )
    +
    IF(
        $N70 &lt; 0.875,
        MAX(0, MIN(($H70 / 1000) * AN$10 * $BN$4, AN$11 * 0.876) - (AN$11 * $N70)) * 0.25,
        0
    )
)</f>
        <v>0</v>
      </c>
      <c r="AO70" s="36">
        <f>IF(
    AND($H70 &gt; $BN$7, Tabella01MarzoInverter[[#This Row],[Active power TX2-INV-11]] &lt;= 0, Tabella01MarzoInverter[[#This Row],[Active power TX3-INV-8]] &lt;= 0),
    MIN(($H70 / 1000) * AO$10 * $BN$4, AO$11 * 0.876) * 0.25,
    IF(
        AND($H70 &gt; $BN$7, Tabella01MarzoInverter[[#This Row],[Active power TX2-INV-11]] &lt;= 0),
        Tabella01MarzoInverter[[#This Row],[Active power TX3-INV-8]] * 0.25,
        0
    )
    +
    IF(
        $N70 &lt; 0.875,
        MAX(0, MIN(($H70 / 1000) * AO$10 * $BN$4, AO$11 * 0.876) - (AO$11 * $N70)) * 0.25,
        0
    )
)</f>
        <v>0</v>
      </c>
      <c r="AP70" s="36">
        <f>IF(
    AND($H70 &gt; $BN$7, Tabella01MarzoInverter[[#This Row],[Active power TX2-INV-12]] &lt;= 0, Tabella01MarzoInverter[[#This Row],[Active power TX3-INV-9]] &lt;= 0),
    MIN(($H70 / 1000) * AP$10 * $BN$4, AP$11 * 0.876) * 0.25,
    IF(
        AND($H70 &gt; $BN$7, Tabella01MarzoInverter[[#This Row],[Active power TX2-INV-12]] &lt;= 0),
        Tabella01MarzoInverter[[#This Row],[Active power TX3-INV-9]] * 0.25,
        0
    )
    +
    IF(
        $N70 &lt; 0.875,
        MAX(0, MIN(($H70 / 1000) * AP$10 * $BN$4, AP$11 * 0.876) - (AP$11 * $N70)) * 0.25,
        0
    )
)</f>
        <v>0</v>
      </c>
      <c r="AQ70" s="8">
        <f>AVERAGE(TabellaMar2026[[#This Row],[Colonna39]:[Colonna6]])</f>
        <v>0</v>
      </c>
      <c r="AR70" s="8">
        <f>MAX(TabellaMar2026[[#This Row],[Colonna39]:[Colonna6]])</f>
        <v>0</v>
      </c>
      <c r="AS70" s="35">
        <f>MIN(TabellaMar2026[[#This Row],[Colonna39]:[Colonna6]])</f>
        <v>0</v>
      </c>
      <c r="AT70" s="48">
        <f>SUM(TabellaMar2026[[#This Row],[Colonna39]:[Colonna6]])</f>
        <v>0</v>
      </c>
      <c r="AU70" s="36" cm="1">
        <f t="array" ref="AU70">IF(
    AND($H70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($H70 / 1000) * AU$10 * $BN$4 * 0.25
    ),
    0
)
+
IF(
    $N70 &lt; 0.875,
    MAX(0, MIN(($H70 / 1000) * AU$10 * $BN$4, AU$11 * 0.876) - (AU$11 * $N70)) * 0.25,
    0
)</f>
        <v>0</v>
      </c>
      <c r="AV70" s="36" cm="1">
        <f t="array" ref="AV70">IF(
    AND($H70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($H70 / 1000) * AV$10 * $BN$4 * 0.25
    ),
    0
)
+
IF(
    $N70 &lt; 0.875,
    MAX(0, MIN(($H70 / 1000) * AV$10 * $BN$4, AV$11 * 0.876) - (AV$11 * $N70)) * 0.25,
    0
)</f>
        <v>0</v>
      </c>
      <c r="AW70" s="36" cm="1">
        <f t="array" ref="AW70">IF(
    AND($H70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($H70 / 1000) * AW$10 * $BN$4 * 0.25
    ),
    0
)
+
IF(
    $N70 &lt; 0.875,
    MAX(0, MIN(($H70 / 1000) * AW$10 * $BN$4, AW$11 * 0.876) - (AW$11 * $N70)) * 0.25,
    0
)</f>
        <v>0</v>
      </c>
      <c r="AX70" s="36" cm="1">
        <f t="array" ref="AX70">IF(
    AND($H70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($H70 / 1000) * AX$10 * $BN$4 * 0.25
    ),
    0
)
+
IF(
    $N70 &lt; 0.875,
    MAX(0, MIN(($H70 / 1000) * AX$10 * $BN$4, AX$11 * 0.876) - (AX$11 * $N70)) * 0.25,
    0
)</f>
        <v>0</v>
      </c>
      <c r="AY70" s="36" cm="1">
        <f t="array" ref="AY70">IF(
    AND($H70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($H70 / 1000) * AY$10 * $BN$4 * 0.25
    ),
    0
)
+
IF(
    $N70 &lt; 0.875,
    MAX(0, MIN(($H70 / 1000) * AY$10 * $BN$4, AY$11 * 0.876) - (AY$11 * $N70)) * 0.25,
    0
)</f>
        <v>0</v>
      </c>
      <c r="AZ70" s="36" cm="1">
        <f t="array" ref="AZ70">IF(
    AND($H70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($H70 / 1000) * AZ$10 * $BN$4 * 0.25
    ),
    0
)
+
IF(
    $N70 &lt; 0.875,
    MAX(0, MIN(($H70 / 1000) * AZ$10 * $BN$4, AZ$11 * 0.876) - (AZ$11 * $N70)) * 0.25,
    0
)</f>
        <v>0</v>
      </c>
      <c r="BA70" s="36" cm="1">
        <f t="array" ref="BA70">IF(
    AND($H70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($H70 / 1000) * BA$10 * $BN$4 * 0.25
    ),
    0
)
+
IF(
    $N70 &lt; 0.875,
    MAX(0, MIN(($H70 / 1000) * BA$10 * $BN$4, BA$11 * 0.876) - (BA$11 * $N70)) * 0.25,
    0
)</f>
        <v>0</v>
      </c>
      <c r="BB70" s="36" cm="1">
        <f t="array" ref="BB70">IF(
    AND($H70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($H70 / 1000) * BB$10 * $BN$4 * 0.25
    ),
    0
)
+
IF(
    $N70 &lt; 0.875,
    MAX(0, MIN(($H70 / 1000) * BB$10 * $BN$4, BB$11 * 0.876) - (BB$11 * $N70)) * 0.25,
    0
)</f>
        <v>0</v>
      </c>
      <c r="BC70" s="36" cm="1">
        <f t="array" ref="BC70">IF(
    AND($H70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($H70 / 1000) * BC$10 * $BN$4 * 0.25
    ),
    0
)
+
IF(
    $N70 &lt; 0.875,
    MAX(0, MIN(($H70 / 1000) * BC$10 * $BN$4, BC$11 * 0.876) - (BC$11 * $N70)) * 0.25,
    0
)</f>
        <v>0</v>
      </c>
      <c r="BD70" s="36" cm="1">
        <f t="array" ref="BD70">IF(
    AND($H70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($H70 / 1000) * BD$10 * $BN$4 * 0.25
    ),
    0
)
+
IF(
    $N70 &lt; 0.875,
    MAX(0, MIN(($H70 / 1000) * BD$10 * $BN$4, BD$11 * 0.876) - (BD$11 * $N70)) * 0.25,
    0
)</f>
        <v>0</v>
      </c>
      <c r="BE70" s="36" cm="1">
        <f t="array" ref="BE70">IF(
    AND($H70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($H70 / 1000) * BE$10 * $BN$4 * 0.25
    ),
    0
)
+
IF(
    $N70 &lt; 0.875,
    MAX(0, MIN(($H70 / 1000) * BE$10 * $BN$4, BE$11 * 0.876) - (BE$11 * $N70)) * 0.25,
    0
)</f>
        <v>0</v>
      </c>
      <c r="BF70" s="36" cm="1">
        <f t="array" ref="BF70">IF(
    AND($H70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($H70 / 1000) * BF$10 * $BN$4 * 0.25
    ),
    0
)
+
IF(
    $N70 &lt; 0.875,
    MAX(0, MIN(($H70 / 1000) * BF$10 * $BN$4, BF$11 * 0.876) - (BF$11 * $N70)) * 0.25,
    0
)</f>
        <v>0</v>
      </c>
      <c r="BG70" s="8">
        <f>AVERAGE(TabellaMar2026[[#This Row],[Colonna55]:[Colonna53]])</f>
        <v>0</v>
      </c>
      <c r="BH70" s="8">
        <f>MAX(TabellaMar2026[[#This Row],[Colonna55]:[Colonna53]])</f>
        <v>0</v>
      </c>
      <c r="BI70" s="35">
        <f>MIN(TabellaMar2026[[#This Row],[Colonna55]:[Colonna53]])</f>
        <v>0</v>
      </c>
      <c r="BJ70" s="48">
        <f>SUM(TabellaMar2026[[#This Row],[Colonna54]:[Colonna53]])</f>
        <v>0</v>
      </c>
      <c r="BK70" s="54">
        <f>(SUM(Tabella01MarzoInverter[[Active power TX1-INV-1]:[Active power TX3-INV-12]]) * 0.25) / (12625 * (SUM($G$15:$H$110) * 0.25 / 1000))</f>
        <v>1.014229628761051</v>
      </c>
      <c r="BL70" s="5"/>
      <c r="BM70" s="5"/>
      <c r="BN70" s="5"/>
      <c r="BO70" s="8"/>
      <c r="BP70" s="19"/>
    </row>
    <row r="71" spans="1:68" x14ac:dyDescent="0.25">
      <c r="A71" s="18">
        <v>46147</v>
      </c>
      <c r="B71" t="s">
        <v>71</v>
      </c>
      <c r="C71" s="5">
        <v>954.8</v>
      </c>
      <c r="D71" s="6">
        <v>0.2387</v>
      </c>
      <c r="E71" s="6">
        <v>930.8</v>
      </c>
      <c r="F71" s="6">
        <v>0.23269999999999999</v>
      </c>
      <c r="G71" s="6">
        <f>IFERROR((D71+F71)/2, 0)</f>
        <v>0.23569999999999999</v>
      </c>
      <c r="H71" s="7">
        <f>IFERROR(IF(AVERAGE(C71,E71)&gt;$BN$7,AVERAGE(C71,E71),0), 0)</f>
        <v>942.8</v>
      </c>
      <c r="I71" s="7">
        <f>IFERROR(IF(AND(D71=0,F71=0),0,IF(H71&gt;$BN$6,MAX(D71,F71),G71)), 0)</f>
        <v>0.2387</v>
      </c>
      <c r="J71" s="6">
        <f>IFERROR(IF(AND(D71&gt;0,F71&gt;0),ABS(D71-F71)/AVERAGE(D71,F71),0), 0)</f>
        <v>2.5456088247772617E-2</v>
      </c>
      <c r="K71" s="6">
        <v>30429.599999999999</v>
      </c>
      <c r="L71" s="6">
        <v>30432.1</v>
      </c>
      <c r="M71" s="8">
        <f>IFERROR((L71-K71)*1000, 0)</f>
        <v>2500</v>
      </c>
      <c r="N71" s="6">
        <v>0.87599999999999989</v>
      </c>
      <c r="O71" s="8" cm="1">
        <f t="array" ref="O71">IF(
    AND($H71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($H71 / 1000) * O$10 * $BN$4 * 0.25
    ),
    0
)
+
IF(
    $N71 &lt; 0.875,
    MAX(0, MIN(($H71 / 1000) * O$10 * $BN$4, O$11 * 0.876) - (O$11 * $N71)) * 0.25,
    0
)</f>
        <v>0</v>
      </c>
      <c r="P71" s="8" cm="1">
        <f t="array" ref="P71">IF(
    AND($H71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($H71 / 1000) * P$10 * $BN$4 * 0.25
    ),
    0
)
+
IF(
    $N71 &lt; 0.875,
    MAX(0, MIN(($H71 / 1000) * P$10 * $BN$4, P$11 * 0.876) - (P$11 * $N71)) * 0.25,
    0
)</f>
        <v>0</v>
      </c>
      <c r="Q71" s="8" cm="1">
        <f t="array" ref="Q71">IF(
    AND($H71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($H71 / 1000) * Q$10 * $BN$4 * 0.25
    ),
    0
)
+
IF(
    $N71 &lt; 0.875,
    MAX(0, MIN(($H71 / 1000) * Q$10 * $BN$4, Q$11 * 0.876) - (Q$11 * $N71)) * 0.25,
    0
)</f>
        <v>0</v>
      </c>
      <c r="R71" s="8" cm="1">
        <f t="array" ref="R71">IF(
    AND($H71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($H71 / 1000) * R$10 * $BN$4 * 0.25
    ),
    0
)
+
IF(
    $N71 &lt; 0.875,
    MAX(0, MIN(($H71 / 1000) * R$10 * $BN$4, R$11 * 0.876) - (R$11 * $N71)) * 0.25,
    0
)</f>
        <v>0</v>
      </c>
      <c r="S71" s="8" cm="1">
        <f t="array" ref="S71">IF(
    AND($H71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($H71 / 1000) * S$10 * $BN$4 * 0.25
    ),
    0
)
+
IF(
    $N71 &lt; 0.875,
    MAX(0, MIN(($H71 / 1000) * S$10 * $BN$4, S$11 * 0.876) - (S$11 * $N71)) * 0.25,
    0
)</f>
        <v>0</v>
      </c>
      <c r="T71" s="8" cm="1">
        <f t="array" ref="T71">IF(
    AND($H71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($H71 / 1000) * T$10 * $BN$4 * 0.25
    ),
    0
)
+
IF(
    $N71 &lt; 0.875,
    MAX(0, MIN(($H71 / 1000) * T$10 * $BN$4, T$11 * 0.876) - (T$11 * $N71)) * 0.25,
    0
)</f>
        <v>0</v>
      </c>
      <c r="U71" s="8" cm="1">
        <f t="array" ref="U71">IF(
    AND($H71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($H71 / 1000) * U$10 * $BN$4 * 0.25
    ),
    0
)
+
IF(
    $N71 &lt; 0.875,
    MAX(0, MIN(($H71 / 1000) * U$10 * $BN$4, U$11 * 0.876) - (U$11 * $N71)) * 0.25,
    0
)</f>
        <v>0</v>
      </c>
      <c r="V71" s="8" cm="1">
        <f t="array" ref="V71">IF(
    AND($H71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($H71 / 1000) * V$10 * $BN$4 * 0.25
    ),
    0
)
+
IF(
    $N71 &lt; 0.875,
    MAX(0, MIN(($H71 / 1000) * V$10 * $BN$4, V$11 * 0.876) - (V$11 * $N71)) * 0.25,
    0
)</f>
        <v>0</v>
      </c>
      <c r="W71" s="8" cm="1">
        <f t="array" ref="W71">IF(
    AND($H71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($H71 / 1000) * W$10 * $BN$4 * 0.25
    ),
    0
)
+
IF(
    $N71 &lt; 0.875,
    MAX(0, MIN(($H71 / 1000) * W$10 * $BN$4, W$11 * 0.876) - (W$11 * $N71)) * 0.25,
    0
)</f>
        <v>0</v>
      </c>
      <c r="X71" s="8" cm="1">
        <f t="array" ref="X71">IF(
    AND($H71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($H71 / 1000) * X$10 * $BN$4 * 0.25
    ),
    0
)
+
IF(
    $N71 &lt; 0.875,
    MAX(0, MIN(($H71 / 1000) * X$10 * $BN$4, X$11 * 0.876) - (X$11 * $N71)) * 0.25,
    0
)</f>
        <v>0</v>
      </c>
      <c r="Y71" s="8" cm="1">
        <f t="array" ref="Y71">IF(
    AND($H71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($H71 / 1000) * Y$10 * $BN$4 * 0.25
    ),
    0
)
+
IF(
    $N71 &lt; 0.875,
    MAX(0, MIN(($H71 / 1000) * Y$10 * $BN$4, Y$11 * 0.876) - (Y$11 * $N71)) * 0.25,
    0
)</f>
        <v>0</v>
      </c>
      <c r="Z71" s="8" cm="1">
        <f t="array" ref="Z71">IF(
    AND($H71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($H71 / 1000) * Z$10 * $BN$4 * 0.25
    ),
    0
)
+
IF(
    $N71 &lt; 0.875,
    MAX(0, MIN(($H71 / 1000) * Z$10 * $BN$4, Z$11 * 0.876) - (Z$11 * $N71)) * 0.25,
    0
)</f>
        <v>0</v>
      </c>
      <c r="AA71" s="8">
        <f>AVERAGE(TabellaMar2026[[#This Row],[Colonna24]:[Colonna20]])</f>
        <v>0</v>
      </c>
      <c r="AB71" s="8">
        <f>MAX(TabellaMar2026[[#This Row],[Colonna24]:[Colonna20]])</f>
        <v>0</v>
      </c>
      <c r="AC71" s="35">
        <f>MIN(TabellaMar2026[[#This Row],[Colonna24]:[Colonna20]])</f>
        <v>0</v>
      </c>
      <c r="AD71" s="44">
        <f>SUM(TabellaMar2026[[#This Row],[Colonna24]:[Colonna20]])</f>
        <v>0</v>
      </c>
      <c r="AE71" s="36">
        <f>IF(
    AND($H71 &gt; $BN$7, Tabella01MarzoInverter[[#This Row],[Active power TX2-INV-1]] &lt;= 0, Tabella01MarzoInverter[[#This Row],[TX2 - Average Power]] &lt;= 0),
    MIN(($H71 / 1000) * AE$10 * $BN$4, AE$11 * 0.876) * 0.25,
    IF(
        AND($H71 &gt; $BN$7, Tabella01MarzoInverter[[#This Row],[Active power TX2-INV-1]] &lt;= 0),
        Tabella01MarzoInverter[[#This Row],[TX2 - Average Power]] * 0.25,
        0
    )
    +
    IF(
        $N71 &lt; 0.875,
        MAX(0, MIN(($H71 / 1000) * AE$10 * $BN$4, AE$11 * 0.876) - (AE$11 * $N71)) * 0.25,
        0
    )
)</f>
        <v>0</v>
      </c>
      <c r="AF71" s="36">
        <f>IF(
    AND($H71 &gt; $BN$7, Tabella01MarzoInverter[[#This Row],[Active power TX2-INV-2]] &lt;= 0, Tabella01MarzoInverter[[#This Row],[TX2 - Max Power]] &lt;= 0),
    MIN(($H71 / 1000) * AF$10 * $BN$4, AF$11 * 0.876) * 0.25,
    IF(
        AND($H71 &gt; $BN$7, Tabella01MarzoInverter[[#This Row],[Active power TX2-INV-2]] &lt;= 0),
        Tabella01MarzoInverter[[#This Row],[TX2 - Max Power]] * 0.25,
        0
    )
    +
    IF(
        $N71 &lt; 0.875,
        MAX(0, MIN(($H71 / 1000) * AF$10 * $BN$4, AF$11 * 0.876) - (AF$11 * $N71)) * 0.25,
        0
    )
)</f>
        <v>0</v>
      </c>
      <c r="AG71" s="36">
        <f>IF(
    AND($H71 &gt; $BN$7, Tabella01MarzoInverter[[#This Row],[Active power TX2-INV-3]] &lt;= 0, Tabella01MarzoInverter[[#This Row],[TX2 - Min Power]] &lt;= 0),
    MIN(($H71 / 1000) * AG$10 * $BN$4, AG$11 * 0.876) * 0.25,
    IF(
        AND($H71 &gt; $BN$7, Tabella01MarzoInverter[[#This Row],[Active power TX2-INV-3]] &lt;= 0),
        Tabella01MarzoInverter[[#This Row],[TX2 - Min Power]] * 0.25,
        0
    )
    +
    IF(
        $N71 &lt; 0.875,
        MAX(0, MIN(($H71 / 1000) * AG$10 * $BN$4, AG$11 * 0.876) - (AG$11 * $N71)) * 0.25,
        0
    )
)</f>
        <v>0</v>
      </c>
      <c r="AH71" s="36">
        <f>IF(
    AND($H71 &gt; $BN$7, Tabella01MarzoInverter[[#This Row],[Active power TX2-INV-4]] &lt;= 0, Tabella01MarzoInverter[[#This Row],[Active power TX3-INV-1]] &lt;= 0),
    MIN(($H71 / 1000) * AH$10 * $BN$4, AH$11 * 0.876) * 0.25,
    IF(
        AND($H71 &gt; $BN$7, Tabella01MarzoInverter[[#This Row],[Active power TX2-INV-4]] &lt;= 0),
        Tabella01MarzoInverter[[#This Row],[Active power TX3-INV-1]] * 0.25,
        0
    )
    +
    IF(
        $N71 &lt; 0.875,
        MAX(0, MIN(($H71 / 1000) * AH$10 * $BN$4, AH$11 * 0.876) - (AH$11 * $N71)) * 0.25,
        0
    )
)</f>
        <v>0</v>
      </c>
      <c r="AI71" s="36">
        <f>IF(
    AND($H71 &gt; $BN$7, Tabella01MarzoInverter[[#This Row],[Active power TX2-INV-5]] &lt;= 0, Tabella01MarzoInverter[[#This Row],[Active power TX3-INV-2]] &lt;= 0),
    MIN(($H71 / 1000) * AI$10 * $BN$4, AI$11 * 0.876) * 0.25,
    IF(
        AND($H71 &gt; $BN$7, Tabella01MarzoInverter[[#This Row],[Active power TX2-INV-5]] &lt;= 0),
        Tabella01MarzoInverter[[#This Row],[Active power TX3-INV-2]] * 0.25,
        0
    )
    +
    IF(
        $N71 &lt; 0.875,
        MAX(0, MIN(($H71 / 1000) * AI$10 * $BN$4, AI$11 * 0.876) - (AI$11 * $N71)) * 0.25,
        0
    )
)</f>
        <v>0</v>
      </c>
      <c r="AJ71" s="36">
        <f>IF(
    AND($H71 &gt; $BN$7, Tabella01MarzoInverter[[#This Row],[Active power TX2-INV-6]] &lt;= 0, Tabella01MarzoInverter[[#This Row],[Active power TX3-INV-3]] &lt;= 0),
    MIN(($H71 / 1000) * AJ$10 * $BN$4, AJ$11 * 0.876) * 0.25,
    IF(
        AND($H71 &gt; $BN$7, Tabella01MarzoInverter[[#This Row],[Active power TX2-INV-6]] &lt;= 0),
        Tabella01MarzoInverter[[#This Row],[Active power TX3-INV-3]] * 0.25,
        0
    )
    +
    IF(
        $N71 &lt; 0.875,
        MAX(0, MIN(($H71 / 1000) * AJ$10 * $BN$4, AJ$11 * 0.876) - (AJ$11 * $N71)) * 0.25,
        0
    )
)</f>
        <v>0</v>
      </c>
      <c r="AK71" s="36">
        <f>IF(
    AND($H71 &gt; $BN$7, Tabella01MarzoInverter[[#This Row],[Active power TX2-INV-7]] &lt;= 0, Tabella01MarzoInverter[[#This Row],[Active power TX3-INV-4]] &lt;= 0),
    MIN(($H71 / 1000) * AK$10 * $BN$4, AK$11 * 0.876) * 0.25,
    IF(
        AND($H71 &gt; $BN$7, Tabella01MarzoInverter[[#This Row],[Active power TX2-INV-7]] &lt;= 0),
        Tabella01MarzoInverter[[#This Row],[Active power TX3-INV-4]] * 0.25,
        0
    )
    +
    IF(
        $N71 &lt; 0.875,
        MAX(0, MIN(($H71 / 1000) * AK$10 * $BN$4, AK$11 * 0.876) - (AK$11 * $N71)) * 0.25,
        0
    )
)</f>
        <v>0</v>
      </c>
      <c r="AL71" s="36">
        <f>IF(
    AND($H71 &gt; $BN$7, Tabella01MarzoInverter[[#This Row],[Active power TX2-INV-8]] &lt;= 0, Tabella01MarzoInverter[[#This Row],[Active power TX3-INV-5]] &lt;= 0),
    MIN(($H71 / 1000) * AL$10 * $BN$4, AL$11 * 0.876) * 0.25,
    IF(
        AND($H71 &gt; $BN$7, Tabella01MarzoInverter[[#This Row],[Active power TX2-INV-8]] &lt;= 0),
        Tabella01MarzoInverter[[#This Row],[Active power TX3-INV-5]] * 0.25,
        0
    )
    +
    IF(
        $N71 &lt; 0.875,
        MAX(0, MIN(($H71 / 1000) * AL$10 * $BN$4, AL$11 * 0.876) - (AL$11 * $N71)) * 0.25,
        0
    )
)</f>
        <v>0</v>
      </c>
      <c r="AM71" s="36">
        <f>IF(
    AND($H71 &gt; $BN$7, Tabella01MarzoInverter[[#This Row],[Active power TX2-INV-9]] &lt;= 0, Tabella01MarzoInverter[[#This Row],[Active power TX3-INV-6]] &lt;= 0),
    MIN(($H71 / 1000) * AM$10 * $BN$4, AM$11 * 0.876) * 0.25,
    IF(
        AND($H71 &gt; $BN$7, Tabella01MarzoInverter[[#This Row],[Active power TX2-INV-9]] &lt;= 0),
        Tabella01MarzoInverter[[#This Row],[Active power TX3-INV-6]] * 0.25,
        0
    )
    +
    IF(
        $N71 &lt; 0.875,
        MAX(0, MIN(($H71 / 1000) * AM$10 * $BN$4, AM$11 * 0.876) - (AM$11 * $N71)) * 0.25,
        0
    )
)</f>
        <v>0</v>
      </c>
      <c r="AN71" s="36">
        <f>IF(
    AND($H71 &gt; $BN$7, Tabella01MarzoInverter[[#This Row],[Active power TX2-INV-10]] &lt;= 0, Tabella01MarzoInverter[[#This Row],[Active power TX3-INV-7]] &lt;= 0),
    MIN(($H71 / 1000) * AN$10 * $BN$4, AN$11 * 0.876) * 0.25,
    IF(
        AND($H71 &gt; $BN$7, Tabella01MarzoInverter[[#This Row],[Active power TX2-INV-10]] &lt;= 0),
        Tabella01MarzoInverter[[#This Row],[Active power TX3-INV-7]] * 0.25,
        0
    )
    +
    IF(
        $N71 &lt; 0.875,
        MAX(0, MIN(($H71 / 1000) * AN$10 * $BN$4, AN$11 * 0.876) - (AN$11 * $N71)) * 0.25,
        0
    )
)</f>
        <v>0</v>
      </c>
      <c r="AO71" s="36">
        <f>IF(
    AND($H71 &gt; $BN$7, Tabella01MarzoInverter[[#This Row],[Active power TX2-INV-11]] &lt;= 0, Tabella01MarzoInverter[[#This Row],[Active power TX3-INV-8]] &lt;= 0),
    MIN(($H71 / 1000) * AO$10 * $BN$4, AO$11 * 0.876) * 0.25,
    IF(
        AND($H71 &gt; $BN$7, Tabella01MarzoInverter[[#This Row],[Active power TX2-INV-11]] &lt;= 0),
        Tabella01MarzoInverter[[#This Row],[Active power TX3-INV-8]] * 0.25,
        0
    )
    +
    IF(
        $N71 &lt; 0.875,
        MAX(0, MIN(($H71 / 1000) * AO$10 * $BN$4, AO$11 * 0.876) - (AO$11 * $N71)) * 0.25,
        0
    )
)</f>
        <v>0</v>
      </c>
      <c r="AP71" s="36">
        <f>IF(
    AND($H71 &gt; $BN$7, Tabella01MarzoInverter[[#This Row],[Active power TX2-INV-12]] &lt;= 0, Tabella01MarzoInverter[[#This Row],[Active power TX3-INV-9]] &lt;= 0),
    MIN(($H71 / 1000) * AP$10 * $BN$4, AP$11 * 0.876) * 0.25,
    IF(
        AND($H71 &gt; $BN$7, Tabella01MarzoInverter[[#This Row],[Active power TX2-INV-12]] &lt;= 0),
        Tabella01MarzoInverter[[#This Row],[Active power TX3-INV-9]] * 0.25,
        0
    )
    +
    IF(
        $N71 &lt; 0.875,
        MAX(0, MIN(($H71 / 1000) * AP$10 * $BN$4, AP$11 * 0.876) - (AP$11 * $N71)) * 0.25,
        0
    )
)</f>
        <v>0</v>
      </c>
      <c r="AQ71" s="8">
        <f>AVERAGE(TabellaMar2026[[#This Row],[Colonna39]:[Colonna6]])</f>
        <v>0</v>
      </c>
      <c r="AR71" s="8">
        <f>MAX(TabellaMar2026[[#This Row],[Colonna39]:[Colonna6]])</f>
        <v>0</v>
      </c>
      <c r="AS71" s="35">
        <f>MIN(TabellaMar2026[[#This Row],[Colonna39]:[Colonna6]])</f>
        <v>0</v>
      </c>
      <c r="AT71" s="48">
        <f>SUM(TabellaMar2026[[#This Row],[Colonna39]:[Colonna6]])</f>
        <v>0</v>
      </c>
      <c r="AU71" s="36" cm="1">
        <f t="array" ref="AU71">IF(
    AND($H71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($H71 / 1000) * AU$10 * $BN$4 * 0.25
    ),
    0
)
+
IF(
    $N71 &lt; 0.875,
    MAX(0, MIN(($H71 / 1000) * AU$10 * $BN$4, AU$11 * 0.876) - (AU$11 * $N71)) * 0.25,
    0
)</f>
        <v>0</v>
      </c>
      <c r="AV71" s="36" cm="1">
        <f t="array" ref="AV71">IF(
    AND($H71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($H71 / 1000) * AV$10 * $BN$4 * 0.25
    ),
    0
)
+
IF(
    $N71 &lt; 0.875,
    MAX(0, MIN(($H71 / 1000) * AV$10 * $BN$4, AV$11 * 0.876) - (AV$11 * $N71)) * 0.25,
    0
)</f>
        <v>0</v>
      </c>
      <c r="AW71" s="36" cm="1">
        <f t="array" ref="AW71">IF(
    AND($H71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($H71 / 1000) * AW$10 * $BN$4 * 0.25
    ),
    0
)
+
IF(
    $N71 &lt; 0.875,
    MAX(0, MIN(($H71 / 1000) * AW$10 * $BN$4, AW$11 * 0.876) - (AW$11 * $N71)) * 0.25,
    0
)</f>
        <v>0</v>
      </c>
      <c r="AX71" s="36" cm="1">
        <f t="array" ref="AX71">IF(
    AND($H71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($H71 / 1000) * AX$10 * $BN$4 * 0.25
    ),
    0
)
+
IF(
    $N71 &lt; 0.875,
    MAX(0, MIN(($H71 / 1000) * AX$10 * $BN$4, AX$11 * 0.876) - (AX$11 * $N71)) * 0.25,
    0
)</f>
        <v>0</v>
      </c>
      <c r="AY71" s="36" cm="1">
        <f t="array" ref="AY71">IF(
    AND($H71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($H71 / 1000) * AY$10 * $BN$4 * 0.25
    ),
    0
)
+
IF(
    $N71 &lt; 0.875,
    MAX(0, MIN(($H71 / 1000) * AY$10 * $BN$4, AY$11 * 0.876) - (AY$11 * $N71)) * 0.25,
    0
)</f>
        <v>0</v>
      </c>
      <c r="AZ71" s="36" cm="1">
        <f t="array" ref="AZ71">IF(
    AND($H71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($H71 / 1000) * AZ$10 * $BN$4 * 0.25
    ),
    0
)
+
IF(
    $N71 &lt; 0.875,
    MAX(0, MIN(($H71 / 1000) * AZ$10 * $BN$4, AZ$11 * 0.876) - (AZ$11 * $N71)) * 0.25,
    0
)</f>
        <v>0</v>
      </c>
      <c r="BA71" s="36" cm="1">
        <f t="array" ref="BA71">IF(
    AND($H71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($H71 / 1000) * BA$10 * $BN$4 * 0.25
    ),
    0
)
+
IF(
    $N71 &lt; 0.875,
    MAX(0, MIN(($H71 / 1000) * BA$10 * $BN$4, BA$11 * 0.876) - (BA$11 * $N71)) * 0.25,
    0
)</f>
        <v>0</v>
      </c>
      <c r="BB71" s="36" cm="1">
        <f t="array" ref="BB71">IF(
    AND($H71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($H71 / 1000) * BB$10 * $BN$4 * 0.25
    ),
    0
)
+
IF(
    $N71 &lt; 0.875,
    MAX(0, MIN(($H71 / 1000) * BB$10 * $BN$4, BB$11 * 0.876) - (BB$11 * $N71)) * 0.25,
    0
)</f>
        <v>0</v>
      </c>
      <c r="BC71" s="36" cm="1">
        <f t="array" ref="BC71">IF(
    AND($H71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($H71 / 1000) * BC$10 * $BN$4 * 0.25
    ),
    0
)
+
IF(
    $N71 &lt; 0.875,
    MAX(0, MIN(($H71 / 1000) * BC$10 * $BN$4, BC$11 * 0.876) - (BC$11 * $N71)) * 0.25,
    0
)</f>
        <v>0</v>
      </c>
      <c r="BD71" s="36" cm="1">
        <f t="array" ref="BD71">IF(
    AND($H71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($H71 / 1000) * BD$10 * $BN$4 * 0.25
    ),
    0
)
+
IF(
    $N71 &lt; 0.875,
    MAX(0, MIN(($H71 / 1000) * BD$10 * $BN$4, BD$11 * 0.876) - (BD$11 * $N71)) * 0.25,
    0
)</f>
        <v>0</v>
      </c>
      <c r="BE71" s="36" cm="1">
        <f t="array" ref="BE71">IF(
    AND($H71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($H71 / 1000) * BE$10 * $BN$4 * 0.25
    ),
    0
)
+
IF(
    $N71 &lt; 0.875,
    MAX(0, MIN(($H71 / 1000) * BE$10 * $BN$4, BE$11 * 0.876) - (BE$11 * $N71)) * 0.25,
    0
)</f>
        <v>0</v>
      </c>
      <c r="BF71" s="36" cm="1">
        <f t="array" ref="BF71">IF(
    AND($H71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($H71 / 1000) * BF$10 * $BN$4 * 0.25
    ),
    0
)
+
IF(
    $N71 &lt; 0.875,
    MAX(0, MIN(($H71 / 1000) * BF$10 * $BN$4, BF$11 * 0.876) - (BF$11 * $N71)) * 0.25,
    0
)</f>
        <v>0</v>
      </c>
      <c r="BG71" s="8">
        <f>AVERAGE(TabellaMar2026[[#This Row],[Colonna55]:[Colonna53]])</f>
        <v>0</v>
      </c>
      <c r="BH71" s="8">
        <f>MAX(TabellaMar2026[[#This Row],[Colonna55]:[Colonna53]])</f>
        <v>0</v>
      </c>
      <c r="BI71" s="35">
        <f>MIN(TabellaMar2026[[#This Row],[Colonna55]:[Colonna53]])</f>
        <v>0</v>
      </c>
      <c r="BJ71" s="48">
        <f>SUM(TabellaMar2026[[#This Row],[Colonna54]:[Colonna53]])</f>
        <v>0</v>
      </c>
      <c r="BK71" s="54">
        <f>(SUM(Tabella01MarzoInverter[[Active power TX1-INV-1]:[Active power TX3-INV-12]]) * 0.25) / (12625 * (SUM($G$15:$H$110) * 0.25 / 1000))</f>
        <v>1.014229628761051</v>
      </c>
      <c r="BL71" s="5"/>
      <c r="BM71" s="5"/>
      <c r="BN71" s="5"/>
      <c r="BO71" s="8"/>
      <c r="BP71" s="19"/>
    </row>
    <row r="72" spans="1:68" x14ac:dyDescent="0.25">
      <c r="A72" s="18">
        <v>46147</v>
      </c>
      <c r="B72" t="s">
        <v>72</v>
      </c>
      <c r="C72" s="5">
        <v>981.3</v>
      </c>
      <c r="D72" s="6">
        <v>0.24532499999999999</v>
      </c>
      <c r="E72" s="6">
        <v>965.1</v>
      </c>
      <c r="F72" s="6">
        <v>0.24127500000000002</v>
      </c>
      <c r="G72" s="6">
        <f>IFERROR((D72+F72)/2, 0)</f>
        <v>0.24330000000000002</v>
      </c>
      <c r="H72" s="7">
        <f>IFERROR(IF(AVERAGE(C72,E72)&gt;$BN$7,AVERAGE(C72,E72),0), 0)</f>
        <v>973.2</v>
      </c>
      <c r="I72" s="7">
        <f>IFERROR(IF(AND(D72=0,F72=0),0,IF(H72&gt;$BN$6,MAX(D72,F72),G72)), 0)</f>
        <v>0.24532499999999999</v>
      </c>
      <c r="J72" s="6">
        <f>IFERROR(IF(AND(D72&gt;0,F72&gt;0),ABS(D72-F72)/AVERAGE(D72,F72),0), 0)</f>
        <v>1.6646115906288408E-2</v>
      </c>
      <c r="K72" s="6">
        <v>30432.1</v>
      </c>
      <c r="L72" s="6">
        <v>30434.6</v>
      </c>
      <c r="M72" s="8">
        <f>IFERROR((L72-K72)*1000, 0)</f>
        <v>2500</v>
      </c>
      <c r="N72" s="6">
        <v>0.87599999999999989</v>
      </c>
      <c r="O72" s="8" cm="1">
        <f t="array" ref="O72">IF(
    AND($H72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($H72 / 1000) * O$10 * $BN$4 * 0.25
    ),
    0
)
+
IF(
    $N72 &lt; 0.875,
    MAX(0, MIN(($H72 / 1000) * O$10 * $BN$4, O$11 * 0.876) - (O$11 * $N72)) * 0.25,
    0
)</f>
        <v>0</v>
      </c>
      <c r="P72" s="8" cm="1">
        <f t="array" ref="P72">IF(
    AND($H72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($H72 / 1000) * P$10 * $BN$4 * 0.25
    ),
    0
)
+
IF(
    $N72 &lt; 0.875,
    MAX(0, MIN(($H72 / 1000) * P$10 * $BN$4, P$11 * 0.876) - (P$11 * $N72)) * 0.25,
    0
)</f>
        <v>0</v>
      </c>
      <c r="Q72" s="8" cm="1">
        <f t="array" ref="Q72">IF(
    AND($H72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($H72 / 1000) * Q$10 * $BN$4 * 0.25
    ),
    0
)
+
IF(
    $N72 &lt; 0.875,
    MAX(0, MIN(($H72 / 1000) * Q$10 * $BN$4, Q$11 * 0.876) - (Q$11 * $N72)) * 0.25,
    0
)</f>
        <v>0</v>
      </c>
      <c r="R72" s="8" cm="1">
        <f t="array" ref="R72">IF(
    AND($H72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($H72 / 1000) * R$10 * $BN$4 * 0.25
    ),
    0
)
+
IF(
    $N72 &lt; 0.875,
    MAX(0, MIN(($H72 / 1000) * R$10 * $BN$4, R$11 * 0.876) - (R$11 * $N72)) * 0.25,
    0
)</f>
        <v>0</v>
      </c>
      <c r="S72" s="8" cm="1">
        <f t="array" ref="S72">IF(
    AND($H72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($H72 / 1000) * S$10 * $BN$4 * 0.25
    ),
    0
)
+
IF(
    $N72 &lt; 0.875,
    MAX(0, MIN(($H72 / 1000) * S$10 * $BN$4, S$11 * 0.876) - (S$11 * $N72)) * 0.25,
    0
)</f>
        <v>0</v>
      </c>
      <c r="T72" s="8" cm="1">
        <f t="array" ref="T72">IF(
    AND($H72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($H72 / 1000) * T$10 * $BN$4 * 0.25
    ),
    0
)
+
IF(
    $N72 &lt; 0.875,
    MAX(0, MIN(($H72 / 1000) * T$10 * $BN$4, T$11 * 0.876) - (T$11 * $N72)) * 0.25,
    0
)</f>
        <v>0</v>
      </c>
      <c r="U72" s="8" cm="1">
        <f t="array" ref="U72">IF(
    AND($H72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($H72 / 1000) * U$10 * $BN$4 * 0.25
    ),
    0
)
+
IF(
    $N72 &lt; 0.875,
    MAX(0, MIN(($H72 / 1000) * U$10 * $BN$4, U$11 * 0.876) - (U$11 * $N72)) * 0.25,
    0
)</f>
        <v>0</v>
      </c>
      <c r="V72" s="8" cm="1">
        <f t="array" ref="V72">IF(
    AND($H72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($H72 / 1000) * V$10 * $BN$4 * 0.25
    ),
    0
)
+
IF(
    $N72 &lt; 0.875,
    MAX(0, MIN(($H72 / 1000) * V$10 * $BN$4, V$11 * 0.876) - (V$11 * $N72)) * 0.25,
    0
)</f>
        <v>0</v>
      </c>
      <c r="W72" s="8" cm="1">
        <f t="array" ref="W72">IF(
    AND($H72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($H72 / 1000) * W$10 * $BN$4 * 0.25
    ),
    0
)
+
IF(
    $N72 &lt; 0.875,
    MAX(0, MIN(($H72 / 1000) * W$10 * $BN$4, W$11 * 0.876) - (W$11 * $N72)) * 0.25,
    0
)</f>
        <v>0</v>
      </c>
      <c r="X72" s="8" cm="1">
        <f t="array" ref="X72">IF(
    AND($H72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($H72 / 1000) * X$10 * $BN$4 * 0.25
    ),
    0
)
+
IF(
    $N72 &lt; 0.875,
    MAX(0, MIN(($H72 / 1000) * X$10 * $BN$4, X$11 * 0.876) - (X$11 * $N72)) * 0.25,
    0
)</f>
        <v>0</v>
      </c>
      <c r="Y72" s="8" cm="1">
        <f t="array" ref="Y72">IF(
    AND($H72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($H72 / 1000) * Y$10 * $BN$4 * 0.25
    ),
    0
)
+
IF(
    $N72 &lt; 0.875,
    MAX(0, MIN(($H72 / 1000) * Y$10 * $BN$4, Y$11 * 0.876) - (Y$11 * $N72)) * 0.25,
    0
)</f>
        <v>0</v>
      </c>
      <c r="Z72" s="8" cm="1">
        <f t="array" ref="Z72">IF(
    AND($H72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($H72 / 1000) * Z$10 * $BN$4 * 0.25
    ),
    0
)
+
IF(
    $N72 &lt; 0.875,
    MAX(0, MIN(($H72 / 1000) * Z$10 * $BN$4, Z$11 * 0.876) - (Z$11 * $N72)) * 0.25,
    0
)</f>
        <v>0</v>
      </c>
      <c r="AA72" s="8">
        <f>AVERAGE(TabellaMar2026[[#This Row],[Colonna24]:[Colonna20]])</f>
        <v>0</v>
      </c>
      <c r="AB72" s="8">
        <f>MAX(TabellaMar2026[[#This Row],[Colonna24]:[Colonna20]])</f>
        <v>0</v>
      </c>
      <c r="AC72" s="35">
        <f>MIN(TabellaMar2026[[#This Row],[Colonna24]:[Colonna20]])</f>
        <v>0</v>
      </c>
      <c r="AD72" s="44">
        <f>SUM(TabellaMar2026[[#This Row],[Colonna24]:[Colonna20]])</f>
        <v>0</v>
      </c>
      <c r="AE72" s="36">
        <f>IF(
    AND($H72 &gt; $BN$7, Tabella01MarzoInverter[[#This Row],[Active power TX2-INV-1]] &lt;= 0, Tabella01MarzoInverter[[#This Row],[TX2 - Average Power]] &lt;= 0),
    MIN(($H72 / 1000) * AE$10 * $BN$4, AE$11 * 0.876) * 0.25,
    IF(
        AND($H72 &gt; $BN$7, Tabella01MarzoInverter[[#This Row],[Active power TX2-INV-1]] &lt;= 0),
        Tabella01MarzoInverter[[#This Row],[TX2 - Average Power]] * 0.25,
        0
    )
    +
    IF(
        $N72 &lt; 0.875,
        MAX(0, MIN(($H72 / 1000) * AE$10 * $BN$4, AE$11 * 0.876) - (AE$11 * $N72)) * 0.25,
        0
    )
)</f>
        <v>0</v>
      </c>
      <c r="AF72" s="36">
        <f>IF(
    AND($H72 &gt; $BN$7, Tabella01MarzoInverter[[#This Row],[Active power TX2-INV-2]] &lt;= 0, Tabella01MarzoInverter[[#This Row],[TX2 - Max Power]] &lt;= 0),
    MIN(($H72 / 1000) * AF$10 * $BN$4, AF$11 * 0.876) * 0.25,
    IF(
        AND($H72 &gt; $BN$7, Tabella01MarzoInverter[[#This Row],[Active power TX2-INV-2]] &lt;= 0),
        Tabella01MarzoInverter[[#This Row],[TX2 - Max Power]] * 0.25,
        0
    )
    +
    IF(
        $N72 &lt; 0.875,
        MAX(0, MIN(($H72 / 1000) * AF$10 * $BN$4, AF$11 * 0.876) - (AF$11 * $N72)) * 0.25,
        0
    )
)</f>
        <v>0</v>
      </c>
      <c r="AG72" s="36">
        <f>IF(
    AND($H72 &gt; $BN$7, Tabella01MarzoInverter[[#This Row],[Active power TX2-INV-3]] &lt;= 0, Tabella01MarzoInverter[[#This Row],[TX2 - Min Power]] &lt;= 0),
    MIN(($H72 / 1000) * AG$10 * $BN$4, AG$11 * 0.876) * 0.25,
    IF(
        AND($H72 &gt; $BN$7, Tabella01MarzoInverter[[#This Row],[Active power TX2-INV-3]] &lt;= 0),
        Tabella01MarzoInverter[[#This Row],[TX2 - Min Power]] * 0.25,
        0
    )
    +
    IF(
        $N72 &lt; 0.875,
        MAX(0, MIN(($H72 / 1000) * AG$10 * $BN$4, AG$11 * 0.876) - (AG$11 * $N72)) * 0.25,
        0
    )
)</f>
        <v>0</v>
      </c>
      <c r="AH72" s="36">
        <f>IF(
    AND($H72 &gt; $BN$7, Tabella01MarzoInverter[[#This Row],[Active power TX2-INV-4]] &lt;= 0, Tabella01MarzoInverter[[#This Row],[Active power TX3-INV-1]] &lt;= 0),
    MIN(($H72 / 1000) * AH$10 * $BN$4, AH$11 * 0.876) * 0.25,
    IF(
        AND($H72 &gt; $BN$7, Tabella01MarzoInverter[[#This Row],[Active power TX2-INV-4]] &lt;= 0),
        Tabella01MarzoInverter[[#This Row],[Active power TX3-INV-1]] * 0.25,
        0
    )
    +
    IF(
        $N72 &lt; 0.875,
        MAX(0, MIN(($H72 / 1000) * AH$10 * $BN$4, AH$11 * 0.876) - (AH$11 * $N72)) * 0.25,
        0
    )
)</f>
        <v>0</v>
      </c>
      <c r="AI72" s="36">
        <f>IF(
    AND($H72 &gt; $BN$7, Tabella01MarzoInverter[[#This Row],[Active power TX2-INV-5]] &lt;= 0, Tabella01MarzoInverter[[#This Row],[Active power TX3-INV-2]] &lt;= 0),
    MIN(($H72 / 1000) * AI$10 * $BN$4, AI$11 * 0.876) * 0.25,
    IF(
        AND($H72 &gt; $BN$7, Tabella01MarzoInverter[[#This Row],[Active power TX2-INV-5]] &lt;= 0),
        Tabella01MarzoInverter[[#This Row],[Active power TX3-INV-2]] * 0.25,
        0
    )
    +
    IF(
        $N72 &lt; 0.875,
        MAX(0, MIN(($H72 / 1000) * AI$10 * $BN$4, AI$11 * 0.876) - (AI$11 * $N72)) * 0.25,
        0
    )
)</f>
        <v>0</v>
      </c>
      <c r="AJ72" s="36">
        <f>IF(
    AND($H72 &gt; $BN$7, Tabella01MarzoInverter[[#This Row],[Active power TX2-INV-6]] &lt;= 0, Tabella01MarzoInverter[[#This Row],[Active power TX3-INV-3]] &lt;= 0),
    MIN(($H72 / 1000) * AJ$10 * $BN$4, AJ$11 * 0.876) * 0.25,
    IF(
        AND($H72 &gt; $BN$7, Tabella01MarzoInverter[[#This Row],[Active power TX2-INV-6]] &lt;= 0),
        Tabella01MarzoInverter[[#This Row],[Active power TX3-INV-3]] * 0.25,
        0
    )
    +
    IF(
        $N72 &lt; 0.875,
        MAX(0, MIN(($H72 / 1000) * AJ$10 * $BN$4, AJ$11 * 0.876) - (AJ$11 * $N72)) * 0.25,
        0
    )
)</f>
        <v>0</v>
      </c>
      <c r="AK72" s="36">
        <f>IF(
    AND($H72 &gt; $BN$7, Tabella01MarzoInverter[[#This Row],[Active power TX2-INV-7]] &lt;= 0, Tabella01MarzoInverter[[#This Row],[Active power TX3-INV-4]] &lt;= 0),
    MIN(($H72 / 1000) * AK$10 * $BN$4, AK$11 * 0.876) * 0.25,
    IF(
        AND($H72 &gt; $BN$7, Tabella01MarzoInverter[[#This Row],[Active power TX2-INV-7]] &lt;= 0),
        Tabella01MarzoInverter[[#This Row],[Active power TX3-INV-4]] * 0.25,
        0
    )
    +
    IF(
        $N72 &lt; 0.875,
        MAX(0, MIN(($H72 / 1000) * AK$10 * $BN$4, AK$11 * 0.876) - (AK$11 * $N72)) * 0.25,
        0
    )
)</f>
        <v>0</v>
      </c>
      <c r="AL72" s="36">
        <f>IF(
    AND($H72 &gt; $BN$7, Tabella01MarzoInverter[[#This Row],[Active power TX2-INV-8]] &lt;= 0, Tabella01MarzoInverter[[#This Row],[Active power TX3-INV-5]] &lt;= 0),
    MIN(($H72 / 1000) * AL$10 * $BN$4, AL$11 * 0.876) * 0.25,
    IF(
        AND($H72 &gt; $BN$7, Tabella01MarzoInverter[[#This Row],[Active power TX2-INV-8]] &lt;= 0),
        Tabella01MarzoInverter[[#This Row],[Active power TX3-INV-5]] * 0.25,
        0
    )
    +
    IF(
        $N72 &lt; 0.875,
        MAX(0, MIN(($H72 / 1000) * AL$10 * $BN$4, AL$11 * 0.876) - (AL$11 * $N72)) * 0.25,
        0
    )
)</f>
        <v>0</v>
      </c>
      <c r="AM72" s="36">
        <f>IF(
    AND($H72 &gt; $BN$7, Tabella01MarzoInverter[[#This Row],[Active power TX2-INV-9]] &lt;= 0, Tabella01MarzoInverter[[#This Row],[Active power TX3-INV-6]] &lt;= 0),
    MIN(($H72 / 1000) * AM$10 * $BN$4, AM$11 * 0.876) * 0.25,
    IF(
        AND($H72 &gt; $BN$7, Tabella01MarzoInverter[[#This Row],[Active power TX2-INV-9]] &lt;= 0),
        Tabella01MarzoInverter[[#This Row],[Active power TX3-INV-6]] * 0.25,
        0
    )
    +
    IF(
        $N72 &lt; 0.875,
        MAX(0, MIN(($H72 / 1000) * AM$10 * $BN$4, AM$11 * 0.876) - (AM$11 * $N72)) * 0.25,
        0
    )
)</f>
        <v>0</v>
      </c>
      <c r="AN72" s="36">
        <f>IF(
    AND($H72 &gt; $BN$7, Tabella01MarzoInverter[[#This Row],[Active power TX2-INV-10]] &lt;= 0, Tabella01MarzoInverter[[#This Row],[Active power TX3-INV-7]] &lt;= 0),
    MIN(($H72 / 1000) * AN$10 * $BN$4, AN$11 * 0.876) * 0.25,
    IF(
        AND($H72 &gt; $BN$7, Tabella01MarzoInverter[[#This Row],[Active power TX2-INV-10]] &lt;= 0),
        Tabella01MarzoInverter[[#This Row],[Active power TX3-INV-7]] * 0.25,
        0
    )
    +
    IF(
        $N72 &lt; 0.875,
        MAX(0, MIN(($H72 / 1000) * AN$10 * $BN$4, AN$11 * 0.876) - (AN$11 * $N72)) * 0.25,
        0
    )
)</f>
        <v>0</v>
      </c>
      <c r="AO72" s="36">
        <f>IF(
    AND($H72 &gt; $BN$7, Tabella01MarzoInverter[[#This Row],[Active power TX2-INV-11]] &lt;= 0, Tabella01MarzoInverter[[#This Row],[Active power TX3-INV-8]] &lt;= 0),
    MIN(($H72 / 1000) * AO$10 * $BN$4, AO$11 * 0.876) * 0.25,
    IF(
        AND($H72 &gt; $BN$7, Tabella01MarzoInverter[[#This Row],[Active power TX2-INV-11]] &lt;= 0),
        Tabella01MarzoInverter[[#This Row],[Active power TX3-INV-8]] * 0.25,
        0
    )
    +
    IF(
        $N72 &lt; 0.875,
        MAX(0, MIN(($H72 / 1000) * AO$10 * $BN$4, AO$11 * 0.876) - (AO$11 * $N72)) * 0.25,
        0
    )
)</f>
        <v>0</v>
      </c>
      <c r="AP72" s="36">
        <f>IF(
    AND($H72 &gt; $BN$7, Tabella01MarzoInverter[[#This Row],[Active power TX2-INV-12]] &lt;= 0, Tabella01MarzoInverter[[#This Row],[Active power TX3-INV-9]] &lt;= 0),
    MIN(($H72 / 1000) * AP$10 * $BN$4, AP$11 * 0.876) * 0.25,
    IF(
        AND($H72 &gt; $BN$7, Tabella01MarzoInverter[[#This Row],[Active power TX2-INV-12]] &lt;= 0),
        Tabella01MarzoInverter[[#This Row],[Active power TX3-INV-9]] * 0.25,
        0
    )
    +
    IF(
        $N72 &lt; 0.875,
        MAX(0, MIN(($H72 / 1000) * AP$10 * $BN$4, AP$11 * 0.876) - (AP$11 * $N72)) * 0.25,
        0
    )
)</f>
        <v>0</v>
      </c>
      <c r="AQ72" s="8">
        <f>AVERAGE(TabellaMar2026[[#This Row],[Colonna39]:[Colonna6]])</f>
        <v>0</v>
      </c>
      <c r="AR72" s="8">
        <f>MAX(TabellaMar2026[[#This Row],[Colonna39]:[Colonna6]])</f>
        <v>0</v>
      </c>
      <c r="AS72" s="35">
        <f>MIN(TabellaMar2026[[#This Row],[Colonna39]:[Colonna6]])</f>
        <v>0</v>
      </c>
      <c r="AT72" s="48">
        <f>SUM(TabellaMar2026[[#This Row],[Colonna39]:[Colonna6]])</f>
        <v>0</v>
      </c>
      <c r="AU72" s="36" cm="1">
        <f t="array" ref="AU72">IF(
    AND($H72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($H72 / 1000) * AU$10 * $BN$4 * 0.25
    ),
    0
)
+
IF(
    $N72 &lt; 0.875,
    MAX(0, MIN(($H72 / 1000) * AU$10 * $BN$4, AU$11 * 0.876) - (AU$11 * $N72)) * 0.25,
    0
)</f>
        <v>0</v>
      </c>
      <c r="AV72" s="36" cm="1">
        <f t="array" ref="AV72">IF(
    AND($H72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($H72 / 1000) * AV$10 * $BN$4 * 0.25
    ),
    0
)
+
IF(
    $N72 &lt; 0.875,
    MAX(0, MIN(($H72 / 1000) * AV$10 * $BN$4, AV$11 * 0.876) - (AV$11 * $N72)) * 0.25,
    0
)</f>
        <v>0</v>
      </c>
      <c r="AW72" s="36" cm="1">
        <f t="array" ref="AW72">IF(
    AND($H72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($H72 / 1000) * AW$10 * $BN$4 * 0.25
    ),
    0
)
+
IF(
    $N72 &lt; 0.875,
    MAX(0, MIN(($H72 / 1000) * AW$10 * $BN$4, AW$11 * 0.876) - (AW$11 * $N72)) * 0.25,
    0
)</f>
        <v>0</v>
      </c>
      <c r="AX72" s="36" cm="1">
        <f t="array" ref="AX72">IF(
    AND($H72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($H72 / 1000) * AX$10 * $BN$4 * 0.25
    ),
    0
)
+
IF(
    $N72 &lt; 0.875,
    MAX(0, MIN(($H72 / 1000) * AX$10 * $BN$4, AX$11 * 0.876) - (AX$11 * $N72)) * 0.25,
    0
)</f>
        <v>0</v>
      </c>
      <c r="AY72" s="36" cm="1">
        <f t="array" ref="AY72">IF(
    AND($H72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($H72 / 1000) * AY$10 * $BN$4 * 0.25
    ),
    0
)
+
IF(
    $N72 &lt; 0.875,
    MAX(0, MIN(($H72 / 1000) * AY$10 * $BN$4, AY$11 * 0.876) - (AY$11 * $N72)) * 0.25,
    0
)</f>
        <v>0</v>
      </c>
      <c r="AZ72" s="36" cm="1">
        <f t="array" ref="AZ72">IF(
    AND($H72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($H72 / 1000) * AZ$10 * $BN$4 * 0.25
    ),
    0
)
+
IF(
    $N72 &lt; 0.875,
    MAX(0, MIN(($H72 / 1000) * AZ$10 * $BN$4, AZ$11 * 0.876) - (AZ$11 * $N72)) * 0.25,
    0
)</f>
        <v>0</v>
      </c>
      <c r="BA72" s="36" cm="1">
        <f t="array" ref="BA72">IF(
    AND($H72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($H72 / 1000) * BA$10 * $BN$4 * 0.25
    ),
    0
)
+
IF(
    $N72 &lt; 0.875,
    MAX(0, MIN(($H72 / 1000) * BA$10 * $BN$4, BA$11 * 0.876) - (BA$11 * $N72)) * 0.25,
    0
)</f>
        <v>0</v>
      </c>
      <c r="BB72" s="36" cm="1">
        <f t="array" ref="BB72">IF(
    AND($H72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($H72 / 1000) * BB$10 * $BN$4 * 0.25
    ),
    0
)
+
IF(
    $N72 &lt; 0.875,
    MAX(0, MIN(($H72 / 1000) * BB$10 * $BN$4, BB$11 * 0.876) - (BB$11 * $N72)) * 0.25,
    0
)</f>
        <v>0</v>
      </c>
      <c r="BC72" s="36" cm="1">
        <f t="array" ref="BC72">IF(
    AND($H72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($H72 / 1000) * BC$10 * $BN$4 * 0.25
    ),
    0
)
+
IF(
    $N72 &lt; 0.875,
    MAX(0, MIN(($H72 / 1000) * BC$10 * $BN$4, BC$11 * 0.876) - (BC$11 * $N72)) * 0.25,
    0
)</f>
        <v>0</v>
      </c>
      <c r="BD72" s="36" cm="1">
        <f t="array" ref="BD72">IF(
    AND($H72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($H72 / 1000) * BD$10 * $BN$4 * 0.25
    ),
    0
)
+
IF(
    $N72 &lt; 0.875,
    MAX(0, MIN(($H72 / 1000) * BD$10 * $BN$4, BD$11 * 0.876) - (BD$11 * $N72)) * 0.25,
    0
)</f>
        <v>0</v>
      </c>
      <c r="BE72" s="36" cm="1">
        <f t="array" ref="BE72">IF(
    AND($H72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($H72 / 1000) * BE$10 * $BN$4 * 0.25
    ),
    0
)
+
IF(
    $N72 &lt; 0.875,
    MAX(0, MIN(($H72 / 1000) * BE$10 * $BN$4, BE$11 * 0.876) - (BE$11 * $N72)) * 0.25,
    0
)</f>
        <v>0</v>
      </c>
      <c r="BF72" s="36" cm="1">
        <f t="array" ref="BF72">IF(
    AND($H72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($H72 / 1000) * BF$10 * $BN$4 * 0.25
    ),
    0
)
+
IF(
    $N72 &lt; 0.875,
    MAX(0, MIN(($H72 / 1000) * BF$10 * $BN$4, BF$11 * 0.876) - (BF$11 * $N72)) * 0.25,
    0
)</f>
        <v>0</v>
      </c>
      <c r="BG72" s="8">
        <f>AVERAGE(TabellaMar2026[[#This Row],[Colonna55]:[Colonna53]])</f>
        <v>0</v>
      </c>
      <c r="BH72" s="8">
        <f>MAX(TabellaMar2026[[#This Row],[Colonna55]:[Colonna53]])</f>
        <v>0</v>
      </c>
      <c r="BI72" s="35">
        <f>MIN(TabellaMar2026[[#This Row],[Colonna55]:[Colonna53]])</f>
        <v>0</v>
      </c>
      <c r="BJ72" s="48">
        <f>SUM(TabellaMar2026[[#This Row],[Colonna54]:[Colonna53]])</f>
        <v>0</v>
      </c>
      <c r="BK72" s="54">
        <f>(SUM(Tabella01MarzoInverter[[Active power TX1-INV-1]:[Active power TX3-INV-12]]) * 0.25) / (12625 * (SUM($G$15:$H$110) * 0.25 / 1000))</f>
        <v>1.014229628761051</v>
      </c>
      <c r="BL72" s="5"/>
      <c r="BM72" s="5"/>
      <c r="BN72" s="5"/>
      <c r="BO72" s="8"/>
      <c r="BP72" s="19"/>
    </row>
    <row r="73" spans="1:68" x14ac:dyDescent="0.25">
      <c r="A73" s="18">
        <v>46147</v>
      </c>
      <c r="B73" t="s">
        <v>73</v>
      </c>
      <c r="C73" s="5">
        <v>882.4</v>
      </c>
      <c r="D73" s="6">
        <v>0.22059999999999999</v>
      </c>
      <c r="E73" s="6">
        <v>866.9</v>
      </c>
      <c r="F73" s="6">
        <v>0.216725</v>
      </c>
      <c r="G73" s="6">
        <f>IFERROR((D73+F73)/2, 0)</f>
        <v>0.21866249999999998</v>
      </c>
      <c r="H73" s="7">
        <f>IFERROR(IF(AVERAGE(C73,E73)&gt;$BN$7,AVERAGE(C73,E73),0), 0)</f>
        <v>874.65</v>
      </c>
      <c r="I73" s="7">
        <f>IFERROR(IF(AND(D73=0,F73=0),0,IF(H73&gt;$BN$6,MAX(D73,F73),G73)), 0)</f>
        <v>0.22059999999999999</v>
      </c>
      <c r="J73" s="6">
        <f>IFERROR(IF(AND(D73&gt;0,F73&gt;0),ABS(D73-F73)/AVERAGE(D73,F73),0), 0)</f>
        <v>1.7721374263991264E-2</v>
      </c>
      <c r="K73" s="6">
        <v>30434.6</v>
      </c>
      <c r="L73" s="6">
        <v>30437</v>
      </c>
      <c r="M73" s="8">
        <f>IFERROR((L73-K73)*1000, 0)</f>
        <v>2400.0000000014552</v>
      </c>
      <c r="N73" s="6">
        <v>0.87599999999999989</v>
      </c>
      <c r="O73" s="8" cm="1">
        <f t="array" ref="O73">IF(
    AND($H73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($H73 / 1000) * O$10 * $BN$4 * 0.25
    ),
    0
)
+
IF(
    $N73 &lt; 0.875,
    MAX(0, MIN(($H73 / 1000) * O$10 * $BN$4, O$11 * 0.876) - (O$11 * $N73)) * 0.25,
    0
)</f>
        <v>0</v>
      </c>
      <c r="P73" s="8" cm="1">
        <f t="array" ref="P73">IF(
    AND($H73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($H73 / 1000) * P$10 * $BN$4 * 0.25
    ),
    0
)
+
IF(
    $N73 &lt; 0.875,
    MAX(0, MIN(($H73 / 1000) * P$10 * $BN$4, P$11 * 0.876) - (P$11 * $N73)) * 0.25,
    0
)</f>
        <v>0</v>
      </c>
      <c r="Q73" s="8" cm="1">
        <f t="array" ref="Q73">IF(
    AND($H73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($H73 / 1000) * Q$10 * $BN$4 * 0.25
    ),
    0
)
+
IF(
    $N73 &lt; 0.875,
    MAX(0, MIN(($H73 / 1000) * Q$10 * $BN$4, Q$11 * 0.876) - (Q$11 * $N73)) * 0.25,
    0
)</f>
        <v>0</v>
      </c>
      <c r="R73" s="8" cm="1">
        <f t="array" ref="R73">IF(
    AND($H73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($H73 / 1000) * R$10 * $BN$4 * 0.25
    ),
    0
)
+
IF(
    $N73 &lt; 0.875,
    MAX(0, MIN(($H73 / 1000) * R$10 * $BN$4, R$11 * 0.876) - (R$11 * $N73)) * 0.25,
    0
)</f>
        <v>0</v>
      </c>
      <c r="S73" s="8" cm="1">
        <f t="array" ref="S73">IF(
    AND($H73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($H73 / 1000) * S$10 * $BN$4 * 0.25
    ),
    0
)
+
IF(
    $N73 &lt; 0.875,
    MAX(0, MIN(($H73 / 1000) * S$10 * $BN$4, S$11 * 0.876) - (S$11 * $N73)) * 0.25,
    0
)</f>
        <v>0</v>
      </c>
      <c r="T73" s="8" cm="1">
        <f t="array" ref="T73">IF(
    AND($H73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($H73 / 1000) * T$10 * $BN$4 * 0.25
    ),
    0
)
+
IF(
    $N73 &lt; 0.875,
    MAX(0, MIN(($H73 / 1000) * T$10 * $BN$4, T$11 * 0.876) - (T$11 * $N73)) * 0.25,
    0
)</f>
        <v>0</v>
      </c>
      <c r="U73" s="8" cm="1">
        <f t="array" ref="U73">IF(
    AND($H73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($H73 / 1000) * U$10 * $BN$4 * 0.25
    ),
    0
)
+
IF(
    $N73 &lt; 0.875,
    MAX(0, MIN(($H73 / 1000) * U$10 * $BN$4, U$11 * 0.876) - (U$11 * $N73)) * 0.25,
    0
)</f>
        <v>0</v>
      </c>
      <c r="V73" s="8" cm="1">
        <f t="array" ref="V73">IF(
    AND($H73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($H73 / 1000) * V$10 * $BN$4 * 0.25
    ),
    0
)
+
IF(
    $N73 &lt; 0.875,
    MAX(0, MIN(($H73 / 1000) * V$10 * $BN$4, V$11 * 0.876) - (V$11 * $N73)) * 0.25,
    0
)</f>
        <v>0</v>
      </c>
      <c r="W73" s="8" cm="1">
        <f t="array" ref="W73">IF(
    AND($H73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($H73 / 1000) * W$10 * $BN$4 * 0.25
    ),
    0
)
+
IF(
    $N73 &lt; 0.875,
    MAX(0, MIN(($H73 / 1000) * W$10 * $BN$4, W$11 * 0.876) - (W$11 * $N73)) * 0.25,
    0
)</f>
        <v>0</v>
      </c>
      <c r="X73" s="8" cm="1">
        <f t="array" ref="X73">IF(
    AND($H73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($H73 / 1000) * X$10 * $BN$4 * 0.25
    ),
    0
)
+
IF(
    $N73 &lt; 0.875,
    MAX(0, MIN(($H73 / 1000) * X$10 * $BN$4, X$11 * 0.876) - (X$11 * $N73)) * 0.25,
    0
)</f>
        <v>0</v>
      </c>
      <c r="Y73" s="8" cm="1">
        <f t="array" ref="Y73">IF(
    AND($H73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($H73 / 1000) * Y$10 * $BN$4 * 0.25
    ),
    0
)
+
IF(
    $N73 &lt; 0.875,
    MAX(0, MIN(($H73 / 1000) * Y$10 * $BN$4, Y$11 * 0.876) - (Y$11 * $N73)) * 0.25,
    0
)</f>
        <v>0</v>
      </c>
      <c r="Z73" s="8" cm="1">
        <f t="array" ref="Z73">IF(
    AND($H73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($H73 / 1000) * Z$10 * $BN$4 * 0.25
    ),
    0
)
+
IF(
    $N73 &lt; 0.875,
    MAX(0, MIN(($H73 / 1000) * Z$10 * $BN$4, Z$11 * 0.876) - (Z$11 * $N73)) * 0.25,
    0
)</f>
        <v>0</v>
      </c>
      <c r="AA73" s="8">
        <f>AVERAGE(TabellaMar2026[[#This Row],[Colonna24]:[Colonna20]])</f>
        <v>0</v>
      </c>
      <c r="AB73" s="8">
        <f>MAX(TabellaMar2026[[#This Row],[Colonna24]:[Colonna20]])</f>
        <v>0</v>
      </c>
      <c r="AC73" s="35">
        <f>MIN(TabellaMar2026[[#This Row],[Colonna24]:[Colonna20]])</f>
        <v>0</v>
      </c>
      <c r="AD73" s="44">
        <f>SUM(TabellaMar2026[[#This Row],[Colonna24]:[Colonna20]])</f>
        <v>0</v>
      </c>
      <c r="AE73" s="36">
        <f>IF(
    AND($H73 &gt; $BN$7, Tabella01MarzoInverter[[#This Row],[Active power TX2-INV-1]] &lt;= 0, Tabella01MarzoInverter[[#This Row],[TX2 - Average Power]] &lt;= 0),
    MIN(($H73 / 1000) * AE$10 * $BN$4, AE$11 * 0.876) * 0.25,
    IF(
        AND($H73 &gt; $BN$7, Tabella01MarzoInverter[[#This Row],[Active power TX2-INV-1]] &lt;= 0),
        Tabella01MarzoInverter[[#This Row],[TX2 - Average Power]] * 0.25,
        0
    )
    +
    IF(
        $N73 &lt; 0.875,
        MAX(0, MIN(($H73 / 1000) * AE$10 * $BN$4, AE$11 * 0.876) - (AE$11 * $N73)) * 0.25,
        0
    )
)</f>
        <v>0</v>
      </c>
      <c r="AF73" s="36">
        <f>IF(
    AND($H73 &gt; $BN$7, Tabella01MarzoInverter[[#This Row],[Active power TX2-INV-2]] &lt;= 0, Tabella01MarzoInverter[[#This Row],[TX2 - Max Power]] &lt;= 0),
    MIN(($H73 / 1000) * AF$10 * $BN$4, AF$11 * 0.876) * 0.25,
    IF(
        AND($H73 &gt; $BN$7, Tabella01MarzoInverter[[#This Row],[Active power TX2-INV-2]] &lt;= 0),
        Tabella01MarzoInverter[[#This Row],[TX2 - Max Power]] * 0.25,
        0
    )
    +
    IF(
        $N73 &lt; 0.875,
        MAX(0, MIN(($H73 / 1000) * AF$10 * $BN$4, AF$11 * 0.876) - (AF$11 * $N73)) * 0.25,
        0
    )
)</f>
        <v>0</v>
      </c>
      <c r="AG73" s="36">
        <f>IF(
    AND($H73 &gt; $BN$7, Tabella01MarzoInverter[[#This Row],[Active power TX2-INV-3]] &lt;= 0, Tabella01MarzoInverter[[#This Row],[TX2 - Min Power]] &lt;= 0),
    MIN(($H73 / 1000) * AG$10 * $BN$4, AG$11 * 0.876) * 0.25,
    IF(
        AND($H73 &gt; $BN$7, Tabella01MarzoInverter[[#This Row],[Active power TX2-INV-3]] &lt;= 0),
        Tabella01MarzoInverter[[#This Row],[TX2 - Min Power]] * 0.25,
        0
    )
    +
    IF(
        $N73 &lt; 0.875,
        MAX(0, MIN(($H73 / 1000) * AG$10 * $BN$4, AG$11 * 0.876) - (AG$11 * $N73)) * 0.25,
        0
    )
)</f>
        <v>0</v>
      </c>
      <c r="AH73" s="36">
        <f>IF(
    AND($H73 &gt; $BN$7, Tabella01MarzoInverter[[#This Row],[Active power TX2-INV-4]] &lt;= 0, Tabella01MarzoInverter[[#This Row],[Active power TX3-INV-1]] &lt;= 0),
    MIN(($H73 / 1000) * AH$10 * $BN$4, AH$11 * 0.876) * 0.25,
    IF(
        AND($H73 &gt; $BN$7, Tabella01MarzoInverter[[#This Row],[Active power TX2-INV-4]] &lt;= 0),
        Tabella01MarzoInverter[[#This Row],[Active power TX3-INV-1]] * 0.25,
        0
    )
    +
    IF(
        $N73 &lt; 0.875,
        MAX(0, MIN(($H73 / 1000) * AH$10 * $BN$4, AH$11 * 0.876) - (AH$11 * $N73)) * 0.25,
        0
    )
)</f>
        <v>0</v>
      </c>
      <c r="AI73" s="36">
        <f>IF(
    AND($H73 &gt; $BN$7, Tabella01MarzoInverter[[#This Row],[Active power TX2-INV-5]] &lt;= 0, Tabella01MarzoInverter[[#This Row],[Active power TX3-INV-2]] &lt;= 0),
    MIN(($H73 / 1000) * AI$10 * $BN$4, AI$11 * 0.876) * 0.25,
    IF(
        AND($H73 &gt; $BN$7, Tabella01MarzoInverter[[#This Row],[Active power TX2-INV-5]] &lt;= 0),
        Tabella01MarzoInverter[[#This Row],[Active power TX3-INV-2]] * 0.25,
        0
    )
    +
    IF(
        $N73 &lt; 0.875,
        MAX(0, MIN(($H73 / 1000) * AI$10 * $BN$4, AI$11 * 0.876) - (AI$11 * $N73)) * 0.25,
        0
    )
)</f>
        <v>0</v>
      </c>
      <c r="AJ73" s="36">
        <f>IF(
    AND($H73 &gt; $BN$7, Tabella01MarzoInverter[[#This Row],[Active power TX2-INV-6]] &lt;= 0, Tabella01MarzoInverter[[#This Row],[Active power TX3-INV-3]] &lt;= 0),
    MIN(($H73 / 1000) * AJ$10 * $BN$4, AJ$11 * 0.876) * 0.25,
    IF(
        AND($H73 &gt; $BN$7, Tabella01MarzoInverter[[#This Row],[Active power TX2-INV-6]] &lt;= 0),
        Tabella01MarzoInverter[[#This Row],[Active power TX3-INV-3]] * 0.25,
        0
    )
    +
    IF(
        $N73 &lt; 0.875,
        MAX(0, MIN(($H73 / 1000) * AJ$10 * $BN$4, AJ$11 * 0.876) - (AJ$11 * $N73)) * 0.25,
        0
    )
)</f>
        <v>0</v>
      </c>
      <c r="AK73" s="36">
        <f>IF(
    AND($H73 &gt; $BN$7, Tabella01MarzoInverter[[#This Row],[Active power TX2-INV-7]] &lt;= 0, Tabella01MarzoInverter[[#This Row],[Active power TX3-INV-4]] &lt;= 0),
    MIN(($H73 / 1000) * AK$10 * $BN$4, AK$11 * 0.876) * 0.25,
    IF(
        AND($H73 &gt; $BN$7, Tabella01MarzoInverter[[#This Row],[Active power TX2-INV-7]] &lt;= 0),
        Tabella01MarzoInverter[[#This Row],[Active power TX3-INV-4]] * 0.25,
        0
    )
    +
    IF(
        $N73 &lt; 0.875,
        MAX(0, MIN(($H73 / 1000) * AK$10 * $BN$4, AK$11 * 0.876) - (AK$11 * $N73)) * 0.25,
        0
    )
)</f>
        <v>0</v>
      </c>
      <c r="AL73" s="36">
        <f>IF(
    AND($H73 &gt; $BN$7, Tabella01MarzoInverter[[#This Row],[Active power TX2-INV-8]] &lt;= 0, Tabella01MarzoInverter[[#This Row],[Active power TX3-INV-5]] &lt;= 0),
    MIN(($H73 / 1000) * AL$10 * $BN$4, AL$11 * 0.876) * 0.25,
    IF(
        AND($H73 &gt; $BN$7, Tabella01MarzoInverter[[#This Row],[Active power TX2-INV-8]] &lt;= 0),
        Tabella01MarzoInverter[[#This Row],[Active power TX3-INV-5]] * 0.25,
        0
    )
    +
    IF(
        $N73 &lt; 0.875,
        MAX(0, MIN(($H73 / 1000) * AL$10 * $BN$4, AL$11 * 0.876) - (AL$11 * $N73)) * 0.25,
        0
    )
)</f>
        <v>0</v>
      </c>
      <c r="AM73" s="36">
        <f>IF(
    AND($H73 &gt; $BN$7, Tabella01MarzoInverter[[#This Row],[Active power TX2-INV-9]] &lt;= 0, Tabella01MarzoInverter[[#This Row],[Active power TX3-INV-6]] &lt;= 0),
    MIN(($H73 / 1000) * AM$10 * $BN$4, AM$11 * 0.876) * 0.25,
    IF(
        AND($H73 &gt; $BN$7, Tabella01MarzoInverter[[#This Row],[Active power TX2-INV-9]] &lt;= 0),
        Tabella01MarzoInverter[[#This Row],[Active power TX3-INV-6]] * 0.25,
        0
    )
    +
    IF(
        $N73 &lt; 0.875,
        MAX(0, MIN(($H73 / 1000) * AM$10 * $BN$4, AM$11 * 0.876) - (AM$11 * $N73)) * 0.25,
        0
    )
)</f>
        <v>0</v>
      </c>
      <c r="AN73" s="36">
        <f>IF(
    AND($H73 &gt; $BN$7, Tabella01MarzoInverter[[#This Row],[Active power TX2-INV-10]] &lt;= 0, Tabella01MarzoInverter[[#This Row],[Active power TX3-INV-7]] &lt;= 0),
    MIN(($H73 / 1000) * AN$10 * $BN$4, AN$11 * 0.876) * 0.25,
    IF(
        AND($H73 &gt; $BN$7, Tabella01MarzoInverter[[#This Row],[Active power TX2-INV-10]] &lt;= 0),
        Tabella01MarzoInverter[[#This Row],[Active power TX3-INV-7]] * 0.25,
        0
    )
    +
    IF(
        $N73 &lt; 0.875,
        MAX(0, MIN(($H73 / 1000) * AN$10 * $BN$4, AN$11 * 0.876) - (AN$11 * $N73)) * 0.25,
        0
    )
)</f>
        <v>0</v>
      </c>
      <c r="AO73" s="36">
        <f>IF(
    AND($H73 &gt; $BN$7, Tabella01MarzoInverter[[#This Row],[Active power TX2-INV-11]] &lt;= 0, Tabella01MarzoInverter[[#This Row],[Active power TX3-INV-8]] &lt;= 0),
    MIN(($H73 / 1000) * AO$10 * $BN$4, AO$11 * 0.876) * 0.25,
    IF(
        AND($H73 &gt; $BN$7, Tabella01MarzoInverter[[#This Row],[Active power TX2-INV-11]] &lt;= 0),
        Tabella01MarzoInverter[[#This Row],[Active power TX3-INV-8]] * 0.25,
        0
    )
    +
    IF(
        $N73 &lt; 0.875,
        MAX(0, MIN(($H73 / 1000) * AO$10 * $BN$4, AO$11 * 0.876) - (AO$11 * $N73)) * 0.25,
        0
    )
)</f>
        <v>0</v>
      </c>
      <c r="AP73" s="36">
        <f>IF(
    AND($H73 &gt; $BN$7, Tabella01MarzoInverter[[#This Row],[Active power TX2-INV-12]] &lt;= 0, Tabella01MarzoInverter[[#This Row],[Active power TX3-INV-9]] &lt;= 0),
    MIN(($H73 / 1000) * AP$10 * $BN$4, AP$11 * 0.876) * 0.25,
    IF(
        AND($H73 &gt; $BN$7, Tabella01MarzoInverter[[#This Row],[Active power TX2-INV-12]] &lt;= 0),
        Tabella01MarzoInverter[[#This Row],[Active power TX3-INV-9]] * 0.25,
        0
    )
    +
    IF(
        $N73 &lt; 0.875,
        MAX(0, MIN(($H73 / 1000) * AP$10 * $BN$4, AP$11 * 0.876) - (AP$11 * $N73)) * 0.25,
        0
    )
)</f>
        <v>0</v>
      </c>
      <c r="AQ73" s="8">
        <f>AVERAGE(TabellaMar2026[[#This Row],[Colonna39]:[Colonna6]])</f>
        <v>0</v>
      </c>
      <c r="AR73" s="8">
        <f>MAX(TabellaMar2026[[#This Row],[Colonna39]:[Colonna6]])</f>
        <v>0</v>
      </c>
      <c r="AS73" s="35">
        <f>MIN(TabellaMar2026[[#This Row],[Colonna39]:[Colonna6]])</f>
        <v>0</v>
      </c>
      <c r="AT73" s="48">
        <f>SUM(TabellaMar2026[[#This Row],[Colonna39]:[Colonna6]])</f>
        <v>0</v>
      </c>
      <c r="AU73" s="36" cm="1">
        <f t="array" ref="AU73">IF(
    AND($H73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($H73 / 1000) * AU$10 * $BN$4 * 0.25
    ),
    0
)
+
IF(
    $N73 &lt; 0.875,
    MAX(0, MIN(($H73 / 1000) * AU$10 * $BN$4, AU$11 * 0.876) - (AU$11 * $N73)) * 0.25,
    0
)</f>
        <v>0</v>
      </c>
      <c r="AV73" s="36" cm="1">
        <f t="array" ref="AV73">IF(
    AND($H73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($H73 / 1000) * AV$10 * $BN$4 * 0.25
    ),
    0
)
+
IF(
    $N73 &lt; 0.875,
    MAX(0, MIN(($H73 / 1000) * AV$10 * $BN$4, AV$11 * 0.876) - (AV$11 * $N73)) * 0.25,
    0
)</f>
        <v>0</v>
      </c>
      <c r="AW73" s="36" cm="1">
        <f t="array" ref="AW73">IF(
    AND($H73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($H73 / 1000) * AW$10 * $BN$4 * 0.25
    ),
    0
)
+
IF(
    $N73 &lt; 0.875,
    MAX(0, MIN(($H73 / 1000) * AW$10 * $BN$4, AW$11 * 0.876) - (AW$11 * $N73)) * 0.25,
    0
)</f>
        <v>0</v>
      </c>
      <c r="AX73" s="36" cm="1">
        <f t="array" ref="AX73">IF(
    AND($H73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($H73 / 1000) * AX$10 * $BN$4 * 0.25
    ),
    0
)
+
IF(
    $N73 &lt; 0.875,
    MAX(0, MIN(($H73 / 1000) * AX$10 * $BN$4, AX$11 * 0.876) - (AX$11 * $N73)) * 0.25,
    0
)</f>
        <v>0</v>
      </c>
      <c r="AY73" s="36" cm="1">
        <f t="array" ref="AY73">IF(
    AND($H73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($H73 / 1000) * AY$10 * $BN$4 * 0.25
    ),
    0
)
+
IF(
    $N73 &lt; 0.875,
    MAX(0, MIN(($H73 / 1000) * AY$10 * $BN$4, AY$11 * 0.876) - (AY$11 * $N73)) * 0.25,
    0
)</f>
        <v>0</v>
      </c>
      <c r="AZ73" s="36" cm="1">
        <f t="array" ref="AZ73">IF(
    AND($H73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($H73 / 1000) * AZ$10 * $BN$4 * 0.25
    ),
    0
)
+
IF(
    $N73 &lt; 0.875,
    MAX(0, MIN(($H73 / 1000) * AZ$10 * $BN$4, AZ$11 * 0.876) - (AZ$11 * $N73)) * 0.25,
    0
)</f>
        <v>0</v>
      </c>
      <c r="BA73" s="36" cm="1">
        <f t="array" ref="BA73">IF(
    AND($H73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($H73 / 1000) * BA$10 * $BN$4 * 0.25
    ),
    0
)
+
IF(
    $N73 &lt; 0.875,
    MAX(0, MIN(($H73 / 1000) * BA$10 * $BN$4, BA$11 * 0.876) - (BA$11 * $N73)) * 0.25,
    0
)</f>
        <v>0</v>
      </c>
      <c r="BB73" s="36" cm="1">
        <f t="array" ref="BB73">IF(
    AND($H73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($H73 / 1000) * BB$10 * $BN$4 * 0.25
    ),
    0
)
+
IF(
    $N73 &lt; 0.875,
    MAX(0, MIN(($H73 / 1000) * BB$10 * $BN$4, BB$11 * 0.876) - (BB$11 * $N73)) * 0.25,
    0
)</f>
        <v>0</v>
      </c>
      <c r="BC73" s="36" cm="1">
        <f t="array" ref="BC73">IF(
    AND($H73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($H73 / 1000) * BC$10 * $BN$4 * 0.25
    ),
    0
)
+
IF(
    $N73 &lt; 0.875,
    MAX(0, MIN(($H73 / 1000) * BC$10 * $BN$4, BC$11 * 0.876) - (BC$11 * $N73)) * 0.25,
    0
)</f>
        <v>0</v>
      </c>
      <c r="BD73" s="36" cm="1">
        <f t="array" ref="BD73">IF(
    AND($H73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($H73 / 1000) * BD$10 * $BN$4 * 0.25
    ),
    0
)
+
IF(
    $N73 &lt; 0.875,
    MAX(0, MIN(($H73 / 1000) * BD$10 * $BN$4, BD$11 * 0.876) - (BD$11 * $N73)) * 0.25,
    0
)</f>
        <v>0</v>
      </c>
      <c r="BE73" s="36" cm="1">
        <f t="array" ref="BE73">IF(
    AND($H73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($H73 / 1000) * BE$10 * $BN$4 * 0.25
    ),
    0
)
+
IF(
    $N73 &lt; 0.875,
    MAX(0, MIN(($H73 / 1000) * BE$10 * $BN$4, BE$11 * 0.876) - (BE$11 * $N73)) * 0.25,
    0
)</f>
        <v>0</v>
      </c>
      <c r="BF73" s="36" cm="1">
        <f t="array" ref="BF73">IF(
    AND($H73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($H73 / 1000) * BF$10 * $BN$4 * 0.25
    ),
    0
)
+
IF(
    $N73 &lt; 0.875,
    MAX(0, MIN(($H73 / 1000) * BF$10 * $BN$4, BF$11 * 0.876) - (BF$11 * $N73)) * 0.25,
    0
)</f>
        <v>0</v>
      </c>
      <c r="BG73" s="8">
        <f>AVERAGE(TabellaMar2026[[#This Row],[Colonna55]:[Colonna53]])</f>
        <v>0</v>
      </c>
      <c r="BH73" s="8">
        <f>MAX(TabellaMar2026[[#This Row],[Colonna55]:[Colonna53]])</f>
        <v>0</v>
      </c>
      <c r="BI73" s="35">
        <f>MIN(TabellaMar2026[[#This Row],[Colonna55]:[Colonna53]])</f>
        <v>0</v>
      </c>
      <c r="BJ73" s="48">
        <f>SUM(TabellaMar2026[[#This Row],[Colonna54]:[Colonna53]])</f>
        <v>0</v>
      </c>
      <c r="BK73" s="54">
        <f>(SUM(Tabella01MarzoInverter[[Active power TX1-INV-1]:[Active power TX3-INV-12]]) * 0.25) / (12625 * (SUM($G$15:$H$110) * 0.25 / 1000))</f>
        <v>1.014229628761051</v>
      </c>
      <c r="BL73" s="5"/>
      <c r="BM73" s="5"/>
      <c r="BN73" s="5"/>
      <c r="BO73" s="8"/>
      <c r="BP73" s="19"/>
    </row>
    <row r="74" spans="1:68" x14ac:dyDescent="0.25">
      <c r="A74" s="18">
        <v>46147</v>
      </c>
      <c r="B74" t="s">
        <v>74</v>
      </c>
      <c r="C74" s="5">
        <v>969</v>
      </c>
      <c r="D74" s="6">
        <v>0.24224999999999999</v>
      </c>
      <c r="E74" s="6">
        <v>951.1</v>
      </c>
      <c r="F74" s="6">
        <v>0.23777500000000001</v>
      </c>
      <c r="G74" s="6">
        <f>IFERROR((D74+F74)/2, 0)</f>
        <v>0.24001250000000002</v>
      </c>
      <c r="H74" s="7">
        <f>IFERROR(IF(AVERAGE(C74,E74)&gt;$BN$7,AVERAGE(C74,E74),0), 0)</f>
        <v>960.05</v>
      </c>
      <c r="I74" s="7">
        <f>IFERROR(IF(AND(D74=0,F74=0),0,IF(H74&gt;$BN$6,MAX(D74,F74),G74)), 0)</f>
        <v>0.24224999999999999</v>
      </c>
      <c r="J74" s="6">
        <f>IFERROR(IF(AND(D74&gt;0,F74&gt;0),ABS(D74-F74)/AVERAGE(D74,F74),0), 0)</f>
        <v>1.8644862246757894E-2</v>
      </c>
      <c r="K74" s="6">
        <v>30437</v>
      </c>
      <c r="L74" s="6">
        <v>30439.4</v>
      </c>
      <c r="M74" s="8">
        <f>IFERROR((L74-K74)*1000, 0)</f>
        <v>2400.0000000014552</v>
      </c>
      <c r="N74" s="6">
        <v>0.87599999999999989</v>
      </c>
      <c r="O74" s="8" cm="1">
        <f t="array" ref="O74">IF(
    AND($H74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($H74 / 1000) * O$10 * $BN$4 * 0.25
    ),
    0
)
+
IF(
    $N74 &lt; 0.875,
    MAX(0, MIN(($H74 / 1000) * O$10 * $BN$4, O$11 * 0.876) - (O$11 * $N74)) * 0.25,
    0
)</f>
        <v>0</v>
      </c>
      <c r="P74" s="8" cm="1">
        <f t="array" ref="P74">IF(
    AND($H74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($H74 / 1000) * P$10 * $BN$4 * 0.25
    ),
    0
)
+
IF(
    $N74 &lt; 0.875,
    MAX(0, MIN(($H74 / 1000) * P$10 * $BN$4, P$11 * 0.876) - (P$11 * $N74)) * 0.25,
    0
)</f>
        <v>0</v>
      </c>
      <c r="Q74" s="8" cm="1">
        <f t="array" ref="Q74">IF(
    AND($H74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($H74 / 1000) * Q$10 * $BN$4 * 0.25
    ),
    0
)
+
IF(
    $N74 &lt; 0.875,
    MAX(0, MIN(($H74 / 1000) * Q$10 * $BN$4, Q$11 * 0.876) - (Q$11 * $N74)) * 0.25,
    0
)</f>
        <v>0</v>
      </c>
      <c r="R74" s="8" cm="1">
        <f t="array" ref="R74">IF(
    AND($H74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($H74 / 1000) * R$10 * $BN$4 * 0.25
    ),
    0
)
+
IF(
    $N74 &lt; 0.875,
    MAX(0, MIN(($H74 / 1000) * R$10 * $BN$4, R$11 * 0.876) - (R$11 * $N74)) * 0.25,
    0
)</f>
        <v>0</v>
      </c>
      <c r="S74" s="8" cm="1">
        <f t="array" ref="S74">IF(
    AND($H74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($H74 / 1000) * S$10 * $BN$4 * 0.25
    ),
    0
)
+
IF(
    $N74 &lt; 0.875,
    MAX(0, MIN(($H74 / 1000) * S$10 * $BN$4, S$11 * 0.876) - (S$11 * $N74)) * 0.25,
    0
)</f>
        <v>0</v>
      </c>
      <c r="T74" s="8" cm="1">
        <f t="array" ref="T74">IF(
    AND($H74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($H74 / 1000) * T$10 * $BN$4 * 0.25
    ),
    0
)
+
IF(
    $N74 &lt; 0.875,
    MAX(0, MIN(($H74 / 1000) * T$10 * $BN$4, T$11 * 0.876) - (T$11 * $N74)) * 0.25,
    0
)</f>
        <v>0</v>
      </c>
      <c r="U74" s="8" cm="1">
        <f t="array" ref="U74">IF(
    AND($H74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($H74 / 1000) * U$10 * $BN$4 * 0.25
    ),
    0
)
+
IF(
    $N74 &lt; 0.875,
    MAX(0, MIN(($H74 / 1000) * U$10 * $BN$4, U$11 * 0.876) - (U$11 * $N74)) * 0.25,
    0
)</f>
        <v>0</v>
      </c>
      <c r="V74" s="8" cm="1">
        <f t="array" ref="V74">IF(
    AND($H74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($H74 / 1000) * V$10 * $BN$4 * 0.25
    ),
    0
)
+
IF(
    $N74 &lt; 0.875,
    MAX(0, MIN(($H74 / 1000) * V$10 * $BN$4, V$11 * 0.876) - (V$11 * $N74)) * 0.25,
    0
)</f>
        <v>0</v>
      </c>
      <c r="W74" s="8" cm="1">
        <f t="array" ref="W74">IF(
    AND($H74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($H74 / 1000) * W$10 * $BN$4 * 0.25
    ),
    0
)
+
IF(
    $N74 &lt; 0.875,
    MAX(0, MIN(($H74 / 1000) * W$10 * $BN$4, W$11 * 0.876) - (W$11 * $N74)) * 0.25,
    0
)</f>
        <v>0</v>
      </c>
      <c r="X74" s="8" cm="1">
        <f t="array" ref="X74">IF(
    AND($H74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($H74 / 1000) * X$10 * $BN$4 * 0.25
    ),
    0
)
+
IF(
    $N74 &lt; 0.875,
    MAX(0, MIN(($H74 / 1000) * X$10 * $BN$4, X$11 * 0.876) - (X$11 * $N74)) * 0.25,
    0
)</f>
        <v>0</v>
      </c>
      <c r="Y74" s="8" cm="1">
        <f t="array" ref="Y74">IF(
    AND($H74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($H74 / 1000) * Y$10 * $BN$4 * 0.25
    ),
    0
)
+
IF(
    $N74 &lt; 0.875,
    MAX(0, MIN(($H74 / 1000) * Y$10 * $BN$4, Y$11 * 0.876) - (Y$11 * $N74)) * 0.25,
    0
)</f>
        <v>0</v>
      </c>
      <c r="Z74" s="8" cm="1">
        <f t="array" ref="Z74">IF(
    AND($H74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($H74 / 1000) * Z$10 * $BN$4 * 0.25
    ),
    0
)
+
IF(
    $N74 &lt; 0.875,
    MAX(0, MIN(($H74 / 1000) * Z$10 * $BN$4, Z$11 * 0.876) - (Z$11 * $N74)) * 0.25,
    0
)</f>
        <v>0</v>
      </c>
      <c r="AA74" s="8">
        <f>AVERAGE(TabellaMar2026[[#This Row],[Colonna24]:[Colonna20]])</f>
        <v>0</v>
      </c>
      <c r="AB74" s="8">
        <f>MAX(TabellaMar2026[[#This Row],[Colonna24]:[Colonna20]])</f>
        <v>0</v>
      </c>
      <c r="AC74" s="35">
        <f>MIN(TabellaMar2026[[#This Row],[Colonna24]:[Colonna20]])</f>
        <v>0</v>
      </c>
      <c r="AD74" s="44">
        <f>SUM(TabellaMar2026[[#This Row],[Colonna24]:[Colonna20]])</f>
        <v>0</v>
      </c>
      <c r="AE74" s="36">
        <f>IF(
    AND($H74 &gt; $BN$7, Tabella01MarzoInverter[[#This Row],[Active power TX2-INV-1]] &lt;= 0, Tabella01MarzoInverter[[#This Row],[TX2 - Average Power]] &lt;= 0),
    MIN(($H74 / 1000) * AE$10 * $BN$4, AE$11 * 0.876) * 0.25,
    IF(
        AND($H74 &gt; $BN$7, Tabella01MarzoInverter[[#This Row],[Active power TX2-INV-1]] &lt;= 0),
        Tabella01MarzoInverter[[#This Row],[TX2 - Average Power]] * 0.25,
        0
    )
    +
    IF(
        $N74 &lt; 0.875,
        MAX(0, MIN(($H74 / 1000) * AE$10 * $BN$4, AE$11 * 0.876) - (AE$11 * $N74)) * 0.25,
        0
    )
)</f>
        <v>0</v>
      </c>
      <c r="AF74" s="36">
        <f>IF(
    AND($H74 &gt; $BN$7, Tabella01MarzoInverter[[#This Row],[Active power TX2-INV-2]] &lt;= 0, Tabella01MarzoInverter[[#This Row],[TX2 - Max Power]] &lt;= 0),
    MIN(($H74 / 1000) * AF$10 * $BN$4, AF$11 * 0.876) * 0.25,
    IF(
        AND($H74 &gt; $BN$7, Tabella01MarzoInverter[[#This Row],[Active power TX2-INV-2]] &lt;= 0),
        Tabella01MarzoInverter[[#This Row],[TX2 - Max Power]] * 0.25,
        0
    )
    +
    IF(
        $N74 &lt; 0.875,
        MAX(0, MIN(($H74 / 1000) * AF$10 * $BN$4, AF$11 * 0.876) - (AF$11 * $N74)) * 0.25,
        0
    )
)</f>
        <v>0</v>
      </c>
      <c r="AG74" s="36">
        <f>IF(
    AND($H74 &gt; $BN$7, Tabella01MarzoInverter[[#This Row],[Active power TX2-INV-3]] &lt;= 0, Tabella01MarzoInverter[[#This Row],[TX2 - Min Power]] &lt;= 0),
    MIN(($H74 / 1000) * AG$10 * $BN$4, AG$11 * 0.876) * 0.25,
    IF(
        AND($H74 &gt; $BN$7, Tabella01MarzoInverter[[#This Row],[Active power TX2-INV-3]] &lt;= 0),
        Tabella01MarzoInverter[[#This Row],[TX2 - Min Power]] * 0.25,
        0
    )
    +
    IF(
        $N74 &lt; 0.875,
        MAX(0, MIN(($H74 / 1000) * AG$10 * $BN$4, AG$11 * 0.876) - (AG$11 * $N74)) * 0.25,
        0
    )
)</f>
        <v>0</v>
      </c>
      <c r="AH74" s="36">
        <f>IF(
    AND($H74 &gt; $BN$7, Tabella01MarzoInverter[[#This Row],[Active power TX2-INV-4]] &lt;= 0, Tabella01MarzoInverter[[#This Row],[Active power TX3-INV-1]] &lt;= 0),
    MIN(($H74 / 1000) * AH$10 * $BN$4, AH$11 * 0.876) * 0.25,
    IF(
        AND($H74 &gt; $BN$7, Tabella01MarzoInverter[[#This Row],[Active power TX2-INV-4]] &lt;= 0),
        Tabella01MarzoInverter[[#This Row],[Active power TX3-INV-1]] * 0.25,
        0
    )
    +
    IF(
        $N74 &lt; 0.875,
        MAX(0, MIN(($H74 / 1000) * AH$10 * $BN$4, AH$11 * 0.876) - (AH$11 * $N74)) * 0.25,
        0
    )
)</f>
        <v>0</v>
      </c>
      <c r="AI74" s="36">
        <f>IF(
    AND($H74 &gt; $BN$7, Tabella01MarzoInverter[[#This Row],[Active power TX2-INV-5]] &lt;= 0, Tabella01MarzoInverter[[#This Row],[Active power TX3-INV-2]] &lt;= 0),
    MIN(($H74 / 1000) * AI$10 * $BN$4, AI$11 * 0.876) * 0.25,
    IF(
        AND($H74 &gt; $BN$7, Tabella01MarzoInverter[[#This Row],[Active power TX2-INV-5]] &lt;= 0),
        Tabella01MarzoInverter[[#This Row],[Active power TX3-INV-2]] * 0.25,
        0
    )
    +
    IF(
        $N74 &lt; 0.875,
        MAX(0, MIN(($H74 / 1000) * AI$10 * $BN$4, AI$11 * 0.876) - (AI$11 * $N74)) * 0.25,
        0
    )
)</f>
        <v>0</v>
      </c>
      <c r="AJ74" s="36">
        <f>IF(
    AND($H74 &gt; $BN$7, Tabella01MarzoInverter[[#This Row],[Active power TX2-INV-6]] &lt;= 0, Tabella01MarzoInverter[[#This Row],[Active power TX3-INV-3]] &lt;= 0),
    MIN(($H74 / 1000) * AJ$10 * $BN$4, AJ$11 * 0.876) * 0.25,
    IF(
        AND($H74 &gt; $BN$7, Tabella01MarzoInverter[[#This Row],[Active power TX2-INV-6]] &lt;= 0),
        Tabella01MarzoInverter[[#This Row],[Active power TX3-INV-3]] * 0.25,
        0
    )
    +
    IF(
        $N74 &lt; 0.875,
        MAX(0, MIN(($H74 / 1000) * AJ$10 * $BN$4, AJ$11 * 0.876) - (AJ$11 * $N74)) * 0.25,
        0
    )
)</f>
        <v>0</v>
      </c>
      <c r="AK74" s="36">
        <f>IF(
    AND($H74 &gt; $BN$7, Tabella01MarzoInverter[[#This Row],[Active power TX2-INV-7]] &lt;= 0, Tabella01MarzoInverter[[#This Row],[Active power TX3-INV-4]] &lt;= 0),
    MIN(($H74 / 1000) * AK$10 * $BN$4, AK$11 * 0.876) * 0.25,
    IF(
        AND($H74 &gt; $BN$7, Tabella01MarzoInverter[[#This Row],[Active power TX2-INV-7]] &lt;= 0),
        Tabella01MarzoInverter[[#This Row],[Active power TX3-INV-4]] * 0.25,
        0
    )
    +
    IF(
        $N74 &lt; 0.875,
        MAX(0, MIN(($H74 / 1000) * AK$10 * $BN$4, AK$11 * 0.876) - (AK$11 * $N74)) * 0.25,
        0
    )
)</f>
        <v>0</v>
      </c>
      <c r="AL74" s="36">
        <f>IF(
    AND($H74 &gt; $BN$7, Tabella01MarzoInverter[[#This Row],[Active power TX2-INV-8]] &lt;= 0, Tabella01MarzoInverter[[#This Row],[Active power TX3-INV-5]] &lt;= 0),
    MIN(($H74 / 1000) * AL$10 * $BN$4, AL$11 * 0.876) * 0.25,
    IF(
        AND($H74 &gt; $BN$7, Tabella01MarzoInverter[[#This Row],[Active power TX2-INV-8]] &lt;= 0),
        Tabella01MarzoInverter[[#This Row],[Active power TX3-INV-5]] * 0.25,
        0
    )
    +
    IF(
        $N74 &lt; 0.875,
        MAX(0, MIN(($H74 / 1000) * AL$10 * $BN$4, AL$11 * 0.876) - (AL$11 * $N74)) * 0.25,
        0
    )
)</f>
        <v>0</v>
      </c>
      <c r="AM74" s="36">
        <f>IF(
    AND($H74 &gt; $BN$7, Tabella01MarzoInverter[[#This Row],[Active power TX2-INV-9]] &lt;= 0, Tabella01MarzoInverter[[#This Row],[Active power TX3-INV-6]] &lt;= 0),
    MIN(($H74 / 1000) * AM$10 * $BN$4, AM$11 * 0.876) * 0.25,
    IF(
        AND($H74 &gt; $BN$7, Tabella01MarzoInverter[[#This Row],[Active power TX2-INV-9]] &lt;= 0),
        Tabella01MarzoInverter[[#This Row],[Active power TX3-INV-6]] * 0.25,
        0
    )
    +
    IF(
        $N74 &lt; 0.875,
        MAX(0, MIN(($H74 / 1000) * AM$10 * $BN$4, AM$11 * 0.876) - (AM$11 * $N74)) * 0.25,
        0
    )
)</f>
        <v>0</v>
      </c>
      <c r="AN74" s="36">
        <f>IF(
    AND($H74 &gt; $BN$7, Tabella01MarzoInverter[[#This Row],[Active power TX2-INV-10]] &lt;= 0, Tabella01MarzoInverter[[#This Row],[Active power TX3-INV-7]] &lt;= 0),
    MIN(($H74 / 1000) * AN$10 * $BN$4, AN$11 * 0.876) * 0.25,
    IF(
        AND($H74 &gt; $BN$7, Tabella01MarzoInverter[[#This Row],[Active power TX2-INV-10]] &lt;= 0),
        Tabella01MarzoInverter[[#This Row],[Active power TX3-INV-7]] * 0.25,
        0
    )
    +
    IF(
        $N74 &lt; 0.875,
        MAX(0, MIN(($H74 / 1000) * AN$10 * $BN$4, AN$11 * 0.876) - (AN$11 * $N74)) * 0.25,
        0
    )
)</f>
        <v>0</v>
      </c>
      <c r="AO74" s="36">
        <f>IF(
    AND($H74 &gt; $BN$7, Tabella01MarzoInverter[[#This Row],[Active power TX2-INV-11]] &lt;= 0, Tabella01MarzoInverter[[#This Row],[Active power TX3-INV-8]] &lt;= 0),
    MIN(($H74 / 1000) * AO$10 * $BN$4, AO$11 * 0.876) * 0.25,
    IF(
        AND($H74 &gt; $BN$7, Tabella01MarzoInverter[[#This Row],[Active power TX2-INV-11]] &lt;= 0),
        Tabella01MarzoInverter[[#This Row],[Active power TX3-INV-8]] * 0.25,
        0
    )
    +
    IF(
        $N74 &lt; 0.875,
        MAX(0, MIN(($H74 / 1000) * AO$10 * $BN$4, AO$11 * 0.876) - (AO$11 * $N74)) * 0.25,
        0
    )
)</f>
        <v>0</v>
      </c>
      <c r="AP74" s="36">
        <f>IF(
    AND($H74 &gt; $BN$7, Tabella01MarzoInverter[[#This Row],[Active power TX2-INV-12]] &lt;= 0, Tabella01MarzoInverter[[#This Row],[Active power TX3-INV-9]] &lt;= 0),
    MIN(($H74 / 1000) * AP$10 * $BN$4, AP$11 * 0.876) * 0.25,
    IF(
        AND($H74 &gt; $BN$7, Tabella01MarzoInverter[[#This Row],[Active power TX2-INV-12]] &lt;= 0),
        Tabella01MarzoInverter[[#This Row],[Active power TX3-INV-9]] * 0.25,
        0
    )
    +
    IF(
        $N74 &lt; 0.875,
        MAX(0, MIN(($H74 / 1000) * AP$10 * $BN$4, AP$11 * 0.876) - (AP$11 * $N74)) * 0.25,
        0
    )
)</f>
        <v>0</v>
      </c>
      <c r="AQ74" s="8">
        <f>AVERAGE(TabellaMar2026[[#This Row],[Colonna39]:[Colonna6]])</f>
        <v>0</v>
      </c>
      <c r="AR74" s="8">
        <f>MAX(TabellaMar2026[[#This Row],[Colonna39]:[Colonna6]])</f>
        <v>0</v>
      </c>
      <c r="AS74" s="35">
        <f>MIN(TabellaMar2026[[#This Row],[Colonna39]:[Colonna6]])</f>
        <v>0</v>
      </c>
      <c r="AT74" s="48">
        <f>SUM(TabellaMar2026[[#This Row],[Colonna39]:[Colonna6]])</f>
        <v>0</v>
      </c>
      <c r="AU74" s="36" cm="1">
        <f t="array" ref="AU74">IF(
    AND($H74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($H74 / 1000) * AU$10 * $BN$4 * 0.25
    ),
    0
)
+
IF(
    $N74 &lt; 0.875,
    MAX(0, MIN(($H74 / 1000) * AU$10 * $BN$4, AU$11 * 0.876) - (AU$11 * $N74)) * 0.25,
    0
)</f>
        <v>0</v>
      </c>
      <c r="AV74" s="36" cm="1">
        <f t="array" ref="AV74">IF(
    AND($H74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($H74 / 1000) * AV$10 * $BN$4 * 0.25
    ),
    0
)
+
IF(
    $N74 &lt; 0.875,
    MAX(0, MIN(($H74 / 1000) * AV$10 * $BN$4, AV$11 * 0.876) - (AV$11 * $N74)) * 0.25,
    0
)</f>
        <v>0</v>
      </c>
      <c r="AW74" s="36" cm="1">
        <f t="array" ref="AW74">IF(
    AND($H74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($H74 / 1000) * AW$10 * $BN$4 * 0.25
    ),
    0
)
+
IF(
    $N74 &lt; 0.875,
    MAX(0, MIN(($H74 / 1000) * AW$10 * $BN$4, AW$11 * 0.876) - (AW$11 * $N74)) * 0.25,
    0
)</f>
        <v>0</v>
      </c>
      <c r="AX74" s="36" cm="1">
        <f t="array" ref="AX74">IF(
    AND($H74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($H74 / 1000) * AX$10 * $BN$4 * 0.25
    ),
    0
)
+
IF(
    $N74 &lt; 0.875,
    MAX(0, MIN(($H74 / 1000) * AX$10 * $BN$4, AX$11 * 0.876) - (AX$11 * $N74)) * 0.25,
    0
)</f>
        <v>0</v>
      </c>
      <c r="AY74" s="36" cm="1">
        <f t="array" ref="AY74">IF(
    AND($H74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($H74 / 1000) * AY$10 * $BN$4 * 0.25
    ),
    0
)
+
IF(
    $N74 &lt; 0.875,
    MAX(0, MIN(($H74 / 1000) * AY$10 * $BN$4, AY$11 * 0.876) - (AY$11 * $N74)) * 0.25,
    0
)</f>
        <v>0</v>
      </c>
      <c r="AZ74" s="36" cm="1">
        <f t="array" ref="AZ74">IF(
    AND($H74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($H74 / 1000) * AZ$10 * $BN$4 * 0.25
    ),
    0
)
+
IF(
    $N74 &lt; 0.875,
    MAX(0, MIN(($H74 / 1000) * AZ$10 * $BN$4, AZ$11 * 0.876) - (AZ$11 * $N74)) * 0.25,
    0
)</f>
        <v>0</v>
      </c>
      <c r="BA74" s="36" cm="1">
        <f t="array" ref="BA74">IF(
    AND($H74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($H74 / 1000) * BA$10 * $BN$4 * 0.25
    ),
    0
)
+
IF(
    $N74 &lt; 0.875,
    MAX(0, MIN(($H74 / 1000) * BA$10 * $BN$4, BA$11 * 0.876) - (BA$11 * $N74)) * 0.25,
    0
)</f>
        <v>0</v>
      </c>
      <c r="BB74" s="36" cm="1">
        <f t="array" ref="BB74">IF(
    AND($H74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($H74 / 1000) * BB$10 * $BN$4 * 0.25
    ),
    0
)
+
IF(
    $N74 &lt; 0.875,
    MAX(0, MIN(($H74 / 1000) * BB$10 * $BN$4, BB$11 * 0.876) - (BB$11 * $N74)) * 0.25,
    0
)</f>
        <v>0</v>
      </c>
      <c r="BC74" s="36" cm="1">
        <f t="array" ref="BC74">IF(
    AND($H74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($H74 / 1000) * BC$10 * $BN$4 * 0.25
    ),
    0
)
+
IF(
    $N74 &lt; 0.875,
    MAX(0, MIN(($H74 / 1000) * BC$10 * $BN$4, BC$11 * 0.876) - (BC$11 * $N74)) * 0.25,
    0
)</f>
        <v>0</v>
      </c>
      <c r="BD74" s="36" cm="1">
        <f t="array" ref="BD74">IF(
    AND($H74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($H74 / 1000) * BD$10 * $BN$4 * 0.25
    ),
    0
)
+
IF(
    $N74 &lt; 0.875,
    MAX(0, MIN(($H74 / 1000) * BD$10 * $BN$4, BD$11 * 0.876) - (BD$11 * $N74)) * 0.25,
    0
)</f>
        <v>0</v>
      </c>
      <c r="BE74" s="36" cm="1">
        <f t="array" ref="BE74">IF(
    AND($H74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($H74 / 1000) * BE$10 * $BN$4 * 0.25
    ),
    0
)
+
IF(
    $N74 &lt; 0.875,
    MAX(0, MIN(($H74 / 1000) * BE$10 * $BN$4, BE$11 * 0.876) - (BE$11 * $N74)) * 0.25,
    0
)</f>
        <v>0</v>
      </c>
      <c r="BF74" s="36" cm="1">
        <f t="array" ref="BF74">IF(
    AND($H74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($H74 / 1000) * BF$10 * $BN$4 * 0.25
    ),
    0
)
+
IF(
    $N74 &lt; 0.875,
    MAX(0, MIN(($H74 / 1000) * BF$10 * $BN$4, BF$11 * 0.876) - (BF$11 * $N74)) * 0.25,
    0
)</f>
        <v>0</v>
      </c>
      <c r="BG74" s="8">
        <f>AVERAGE(TabellaMar2026[[#This Row],[Colonna55]:[Colonna53]])</f>
        <v>0</v>
      </c>
      <c r="BH74" s="8">
        <f>MAX(TabellaMar2026[[#This Row],[Colonna55]:[Colonna53]])</f>
        <v>0</v>
      </c>
      <c r="BI74" s="35">
        <f>MIN(TabellaMar2026[[#This Row],[Colonna55]:[Colonna53]])</f>
        <v>0</v>
      </c>
      <c r="BJ74" s="48">
        <f>SUM(TabellaMar2026[[#This Row],[Colonna54]:[Colonna53]])</f>
        <v>0</v>
      </c>
      <c r="BK74" s="54">
        <f>(SUM(Tabella01MarzoInverter[[Active power TX1-INV-1]:[Active power TX3-INV-12]]) * 0.25) / (12625 * (SUM($G$15:$H$110) * 0.25 / 1000))</f>
        <v>1.014229628761051</v>
      </c>
      <c r="BL74" s="5"/>
      <c r="BM74" s="5"/>
      <c r="BN74" s="5"/>
      <c r="BO74" s="8"/>
      <c r="BP74" s="19"/>
    </row>
    <row r="75" spans="1:68" x14ac:dyDescent="0.25">
      <c r="A75" s="18">
        <v>46147</v>
      </c>
      <c r="B75" t="s">
        <v>75</v>
      </c>
      <c r="C75" s="5">
        <v>948.5</v>
      </c>
      <c r="D75" s="6">
        <v>0.237125</v>
      </c>
      <c r="E75" s="6">
        <v>927.5</v>
      </c>
      <c r="F75" s="6">
        <v>0.231875</v>
      </c>
      <c r="G75" s="6">
        <f>IFERROR((D75+F75)/2, 0)</f>
        <v>0.23449999999999999</v>
      </c>
      <c r="H75" s="7">
        <f>IFERROR(IF(AVERAGE(C75,E75)&gt;$BN$7,AVERAGE(C75,E75),0), 0)</f>
        <v>938</v>
      </c>
      <c r="I75" s="7">
        <f>IFERROR(IF(AND(D75=0,F75=0),0,IF(H75&gt;$BN$6,MAX(D75,F75),G75)), 0)</f>
        <v>0.237125</v>
      </c>
      <c r="J75" s="6">
        <f>IFERROR(IF(AND(D75&gt;0,F75&gt;0),ABS(D75-F75)/AVERAGE(D75,F75),0), 0)</f>
        <v>2.2388059701492557E-2</v>
      </c>
      <c r="K75" s="6">
        <v>30439.4</v>
      </c>
      <c r="L75" s="6">
        <v>30441.9</v>
      </c>
      <c r="M75" s="8">
        <f>IFERROR((L75-K75)*1000, 0)</f>
        <v>2500</v>
      </c>
      <c r="N75" s="6">
        <v>0.87599999999999989</v>
      </c>
      <c r="O75" s="8" cm="1">
        <f t="array" ref="O75">IF(
    AND($H75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($H75 / 1000) * O$10 * $BN$4 * 0.25
    ),
    0
)
+
IF(
    $N75 &lt; 0.875,
    MAX(0, MIN(($H75 / 1000) * O$10 * $BN$4, O$11 * 0.876) - (O$11 * $N75)) * 0.25,
    0
)</f>
        <v>0</v>
      </c>
      <c r="P75" s="8" cm="1">
        <f t="array" ref="P75">IF(
    AND($H75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($H75 / 1000) * P$10 * $BN$4 * 0.25
    ),
    0
)
+
IF(
    $N75 &lt; 0.875,
    MAX(0, MIN(($H75 / 1000) * P$10 * $BN$4, P$11 * 0.876) - (P$11 * $N75)) * 0.25,
    0
)</f>
        <v>0</v>
      </c>
      <c r="Q75" s="8" cm="1">
        <f t="array" ref="Q75">IF(
    AND($H75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($H75 / 1000) * Q$10 * $BN$4 * 0.25
    ),
    0
)
+
IF(
    $N75 &lt; 0.875,
    MAX(0, MIN(($H75 / 1000) * Q$10 * $BN$4, Q$11 * 0.876) - (Q$11 * $N75)) * 0.25,
    0
)</f>
        <v>0</v>
      </c>
      <c r="R75" s="8" cm="1">
        <f t="array" ref="R75">IF(
    AND($H75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($H75 / 1000) * R$10 * $BN$4 * 0.25
    ),
    0
)
+
IF(
    $N75 &lt; 0.875,
    MAX(0, MIN(($H75 / 1000) * R$10 * $BN$4, R$11 * 0.876) - (R$11 * $N75)) * 0.25,
    0
)</f>
        <v>0</v>
      </c>
      <c r="S75" s="8" cm="1">
        <f t="array" ref="S75">IF(
    AND($H75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($H75 / 1000) * S$10 * $BN$4 * 0.25
    ),
    0
)
+
IF(
    $N75 &lt; 0.875,
    MAX(0, MIN(($H75 / 1000) * S$10 * $BN$4, S$11 * 0.876) - (S$11 * $N75)) * 0.25,
    0
)</f>
        <v>0</v>
      </c>
      <c r="T75" s="8" cm="1">
        <f t="array" ref="T75">IF(
    AND($H75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($H75 / 1000) * T$10 * $BN$4 * 0.25
    ),
    0
)
+
IF(
    $N75 &lt; 0.875,
    MAX(0, MIN(($H75 / 1000) * T$10 * $BN$4, T$11 * 0.876) - (T$11 * $N75)) * 0.25,
    0
)</f>
        <v>0</v>
      </c>
      <c r="U75" s="8" cm="1">
        <f t="array" ref="U75">IF(
    AND($H75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($H75 / 1000) * U$10 * $BN$4 * 0.25
    ),
    0
)
+
IF(
    $N75 &lt; 0.875,
    MAX(0, MIN(($H75 / 1000) * U$10 * $BN$4, U$11 * 0.876) - (U$11 * $N75)) * 0.25,
    0
)</f>
        <v>0</v>
      </c>
      <c r="V75" s="8" cm="1">
        <f t="array" ref="V75">IF(
    AND($H75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($H75 / 1000) * V$10 * $BN$4 * 0.25
    ),
    0
)
+
IF(
    $N75 &lt; 0.875,
    MAX(0, MIN(($H75 / 1000) * V$10 * $BN$4, V$11 * 0.876) - (V$11 * $N75)) * 0.25,
    0
)</f>
        <v>0</v>
      </c>
      <c r="W75" s="8" cm="1">
        <f t="array" ref="W75">IF(
    AND($H75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($H75 / 1000) * W$10 * $BN$4 * 0.25
    ),
    0
)
+
IF(
    $N75 &lt; 0.875,
    MAX(0, MIN(($H75 / 1000) * W$10 * $BN$4, W$11 * 0.876) - (W$11 * $N75)) * 0.25,
    0
)</f>
        <v>0</v>
      </c>
      <c r="X75" s="8" cm="1">
        <f t="array" ref="X75">IF(
    AND($H75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($H75 / 1000) * X$10 * $BN$4 * 0.25
    ),
    0
)
+
IF(
    $N75 &lt; 0.875,
    MAX(0, MIN(($H75 / 1000) * X$10 * $BN$4, X$11 * 0.876) - (X$11 * $N75)) * 0.25,
    0
)</f>
        <v>0</v>
      </c>
      <c r="Y75" s="8" cm="1">
        <f t="array" ref="Y75">IF(
    AND($H75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($H75 / 1000) * Y$10 * $BN$4 * 0.25
    ),
    0
)
+
IF(
    $N75 &lt; 0.875,
    MAX(0, MIN(($H75 / 1000) * Y$10 * $BN$4, Y$11 * 0.876) - (Y$11 * $N75)) * 0.25,
    0
)</f>
        <v>0</v>
      </c>
      <c r="Z75" s="8" cm="1">
        <f t="array" ref="Z75">IF(
    AND($H75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($H75 / 1000) * Z$10 * $BN$4 * 0.25
    ),
    0
)
+
IF(
    $N75 &lt; 0.875,
    MAX(0, MIN(($H75 / 1000) * Z$10 * $BN$4, Z$11 * 0.876) - (Z$11 * $N75)) * 0.25,
    0
)</f>
        <v>0</v>
      </c>
      <c r="AA75" s="8">
        <f>AVERAGE(TabellaMar2026[[#This Row],[Colonna24]:[Colonna20]])</f>
        <v>0</v>
      </c>
      <c r="AB75" s="8">
        <f>MAX(TabellaMar2026[[#This Row],[Colonna24]:[Colonna20]])</f>
        <v>0</v>
      </c>
      <c r="AC75" s="35">
        <f>MIN(TabellaMar2026[[#This Row],[Colonna24]:[Colonna20]])</f>
        <v>0</v>
      </c>
      <c r="AD75" s="44">
        <f>SUM(TabellaMar2026[[#This Row],[Colonna24]:[Colonna20]])</f>
        <v>0</v>
      </c>
      <c r="AE75" s="36">
        <f>IF(
    AND($H75 &gt; $BN$7, Tabella01MarzoInverter[[#This Row],[Active power TX2-INV-1]] &lt;= 0, Tabella01MarzoInverter[[#This Row],[TX2 - Average Power]] &lt;= 0),
    MIN(($H75 / 1000) * AE$10 * $BN$4, AE$11 * 0.876) * 0.25,
    IF(
        AND($H75 &gt; $BN$7, Tabella01MarzoInverter[[#This Row],[Active power TX2-INV-1]] &lt;= 0),
        Tabella01MarzoInverter[[#This Row],[TX2 - Average Power]] * 0.25,
        0
    )
    +
    IF(
        $N75 &lt; 0.875,
        MAX(0, MIN(($H75 / 1000) * AE$10 * $BN$4, AE$11 * 0.876) - (AE$11 * $N75)) * 0.25,
        0
    )
)</f>
        <v>0</v>
      </c>
      <c r="AF75" s="36">
        <f>IF(
    AND($H75 &gt; $BN$7, Tabella01MarzoInverter[[#This Row],[Active power TX2-INV-2]] &lt;= 0, Tabella01MarzoInverter[[#This Row],[TX2 - Max Power]] &lt;= 0),
    MIN(($H75 / 1000) * AF$10 * $BN$4, AF$11 * 0.876) * 0.25,
    IF(
        AND($H75 &gt; $BN$7, Tabella01MarzoInverter[[#This Row],[Active power TX2-INV-2]] &lt;= 0),
        Tabella01MarzoInverter[[#This Row],[TX2 - Max Power]] * 0.25,
        0
    )
    +
    IF(
        $N75 &lt; 0.875,
        MAX(0, MIN(($H75 / 1000) * AF$10 * $BN$4, AF$11 * 0.876) - (AF$11 * $N75)) * 0.25,
        0
    )
)</f>
        <v>0</v>
      </c>
      <c r="AG75" s="36">
        <f>IF(
    AND($H75 &gt; $BN$7, Tabella01MarzoInverter[[#This Row],[Active power TX2-INV-3]] &lt;= 0, Tabella01MarzoInverter[[#This Row],[TX2 - Min Power]] &lt;= 0),
    MIN(($H75 / 1000) * AG$10 * $BN$4, AG$11 * 0.876) * 0.25,
    IF(
        AND($H75 &gt; $BN$7, Tabella01MarzoInverter[[#This Row],[Active power TX2-INV-3]] &lt;= 0),
        Tabella01MarzoInverter[[#This Row],[TX2 - Min Power]] * 0.25,
        0
    )
    +
    IF(
        $N75 &lt; 0.875,
        MAX(0, MIN(($H75 / 1000) * AG$10 * $BN$4, AG$11 * 0.876) - (AG$11 * $N75)) * 0.25,
        0
    )
)</f>
        <v>0</v>
      </c>
      <c r="AH75" s="36">
        <f>IF(
    AND($H75 &gt; $BN$7, Tabella01MarzoInverter[[#This Row],[Active power TX2-INV-4]] &lt;= 0, Tabella01MarzoInverter[[#This Row],[Active power TX3-INV-1]] &lt;= 0),
    MIN(($H75 / 1000) * AH$10 * $BN$4, AH$11 * 0.876) * 0.25,
    IF(
        AND($H75 &gt; $BN$7, Tabella01MarzoInverter[[#This Row],[Active power TX2-INV-4]] &lt;= 0),
        Tabella01MarzoInverter[[#This Row],[Active power TX3-INV-1]] * 0.25,
        0
    )
    +
    IF(
        $N75 &lt; 0.875,
        MAX(0, MIN(($H75 / 1000) * AH$10 * $BN$4, AH$11 * 0.876) - (AH$11 * $N75)) * 0.25,
        0
    )
)</f>
        <v>0</v>
      </c>
      <c r="AI75" s="36">
        <f>IF(
    AND($H75 &gt; $BN$7, Tabella01MarzoInverter[[#This Row],[Active power TX2-INV-5]] &lt;= 0, Tabella01MarzoInverter[[#This Row],[Active power TX3-INV-2]] &lt;= 0),
    MIN(($H75 / 1000) * AI$10 * $BN$4, AI$11 * 0.876) * 0.25,
    IF(
        AND($H75 &gt; $BN$7, Tabella01MarzoInverter[[#This Row],[Active power TX2-INV-5]] &lt;= 0),
        Tabella01MarzoInverter[[#This Row],[Active power TX3-INV-2]] * 0.25,
        0
    )
    +
    IF(
        $N75 &lt; 0.875,
        MAX(0, MIN(($H75 / 1000) * AI$10 * $BN$4, AI$11 * 0.876) - (AI$11 * $N75)) * 0.25,
        0
    )
)</f>
        <v>0</v>
      </c>
      <c r="AJ75" s="36">
        <f>IF(
    AND($H75 &gt; $BN$7, Tabella01MarzoInverter[[#This Row],[Active power TX2-INV-6]] &lt;= 0, Tabella01MarzoInverter[[#This Row],[Active power TX3-INV-3]] &lt;= 0),
    MIN(($H75 / 1000) * AJ$10 * $BN$4, AJ$11 * 0.876) * 0.25,
    IF(
        AND($H75 &gt; $BN$7, Tabella01MarzoInverter[[#This Row],[Active power TX2-INV-6]] &lt;= 0),
        Tabella01MarzoInverter[[#This Row],[Active power TX3-INV-3]] * 0.25,
        0
    )
    +
    IF(
        $N75 &lt; 0.875,
        MAX(0, MIN(($H75 / 1000) * AJ$10 * $BN$4, AJ$11 * 0.876) - (AJ$11 * $N75)) * 0.25,
        0
    )
)</f>
        <v>0</v>
      </c>
      <c r="AK75" s="36">
        <f>IF(
    AND($H75 &gt; $BN$7, Tabella01MarzoInverter[[#This Row],[Active power TX2-INV-7]] &lt;= 0, Tabella01MarzoInverter[[#This Row],[Active power TX3-INV-4]] &lt;= 0),
    MIN(($H75 / 1000) * AK$10 * $BN$4, AK$11 * 0.876) * 0.25,
    IF(
        AND($H75 &gt; $BN$7, Tabella01MarzoInverter[[#This Row],[Active power TX2-INV-7]] &lt;= 0),
        Tabella01MarzoInverter[[#This Row],[Active power TX3-INV-4]] * 0.25,
        0
    )
    +
    IF(
        $N75 &lt; 0.875,
        MAX(0, MIN(($H75 / 1000) * AK$10 * $BN$4, AK$11 * 0.876) - (AK$11 * $N75)) * 0.25,
        0
    )
)</f>
        <v>0</v>
      </c>
      <c r="AL75" s="36">
        <f>IF(
    AND($H75 &gt; $BN$7, Tabella01MarzoInverter[[#This Row],[Active power TX2-INV-8]] &lt;= 0, Tabella01MarzoInverter[[#This Row],[Active power TX3-INV-5]] &lt;= 0),
    MIN(($H75 / 1000) * AL$10 * $BN$4, AL$11 * 0.876) * 0.25,
    IF(
        AND($H75 &gt; $BN$7, Tabella01MarzoInverter[[#This Row],[Active power TX2-INV-8]] &lt;= 0),
        Tabella01MarzoInverter[[#This Row],[Active power TX3-INV-5]] * 0.25,
        0
    )
    +
    IF(
        $N75 &lt; 0.875,
        MAX(0, MIN(($H75 / 1000) * AL$10 * $BN$4, AL$11 * 0.876) - (AL$11 * $N75)) * 0.25,
        0
    )
)</f>
        <v>0</v>
      </c>
      <c r="AM75" s="36">
        <f>IF(
    AND($H75 &gt; $BN$7, Tabella01MarzoInverter[[#This Row],[Active power TX2-INV-9]] &lt;= 0, Tabella01MarzoInverter[[#This Row],[Active power TX3-INV-6]] &lt;= 0),
    MIN(($H75 / 1000) * AM$10 * $BN$4, AM$11 * 0.876) * 0.25,
    IF(
        AND($H75 &gt; $BN$7, Tabella01MarzoInverter[[#This Row],[Active power TX2-INV-9]] &lt;= 0),
        Tabella01MarzoInverter[[#This Row],[Active power TX3-INV-6]] * 0.25,
        0
    )
    +
    IF(
        $N75 &lt; 0.875,
        MAX(0, MIN(($H75 / 1000) * AM$10 * $BN$4, AM$11 * 0.876) - (AM$11 * $N75)) * 0.25,
        0
    )
)</f>
        <v>0</v>
      </c>
      <c r="AN75" s="36">
        <f>IF(
    AND($H75 &gt; $BN$7, Tabella01MarzoInverter[[#This Row],[Active power TX2-INV-10]] &lt;= 0, Tabella01MarzoInverter[[#This Row],[Active power TX3-INV-7]] &lt;= 0),
    MIN(($H75 / 1000) * AN$10 * $BN$4, AN$11 * 0.876) * 0.25,
    IF(
        AND($H75 &gt; $BN$7, Tabella01MarzoInverter[[#This Row],[Active power TX2-INV-10]] &lt;= 0),
        Tabella01MarzoInverter[[#This Row],[Active power TX3-INV-7]] * 0.25,
        0
    )
    +
    IF(
        $N75 &lt; 0.875,
        MAX(0, MIN(($H75 / 1000) * AN$10 * $BN$4, AN$11 * 0.876) - (AN$11 * $N75)) * 0.25,
        0
    )
)</f>
        <v>0</v>
      </c>
      <c r="AO75" s="36">
        <f>IF(
    AND($H75 &gt; $BN$7, Tabella01MarzoInverter[[#This Row],[Active power TX2-INV-11]] &lt;= 0, Tabella01MarzoInverter[[#This Row],[Active power TX3-INV-8]] &lt;= 0),
    MIN(($H75 / 1000) * AO$10 * $BN$4, AO$11 * 0.876) * 0.25,
    IF(
        AND($H75 &gt; $BN$7, Tabella01MarzoInverter[[#This Row],[Active power TX2-INV-11]] &lt;= 0),
        Tabella01MarzoInverter[[#This Row],[Active power TX3-INV-8]] * 0.25,
        0
    )
    +
    IF(
        $N75 &lt; 0.875,
        MAX(0, MIN(($H75 / 1000) * AO$10 * $BN$4, AO$11 * 0.876) - (AO$11 * $N75)) * 0.25,
        0
    )
)</f>
        <v>0</v>
      </c>
      <c r="AP75" s="36">
        <f>IF(
    AND($H75 &gt; $BN$7, Tabella01MarzoInverter[[#This Row],[Active power TX2-INV-12]] &lt;= 0, Tabella01MarzoInverter[[#This Row],[Active power TX3-INV-9]] &lt;= 0),
    MIN(($H75 / 1000) * AP$10 * $BN$4, AP$11 * 0.876) * 0.25,
    IF(
        AND($H75 &gt; $BN$7, Tabella01MarzoInverter[[#This Row],[Active power TX2-INV-12]] &lt;= 0),
        Tabella01MarzoInverter[[#This Row],[Active power TX3-INV-9]] * 0.25,
        0
    )
    +
    IF(
        $N75 &lt; 0.875,
        MAX(0, MIN(($H75 / 1000) * AP$10 * $BN$4, AP$11 * 0.876) - (AP$11 * $N75)) * 0.25,
        0
    )
)</f>
        <v>0</v>
      </c>
      <c r="AQ75" s="8">
        <f>AVERAGE(TabellaMar2026[[#This Row],[Colonna39]:[Colonna6]])</f>
        <v>0</v>
      </c>
      <c r="AR75" s="8">
        <f>MAX(TabellaMar2026[[#This Row],[Colonna39]:[Colonna6]])</f>
        <v>0</v>
      </c>
      <c r="AS75" s="35">
        <f>MIN(TabellaMar2026[[#This Row],[Colonna39]:[Colonna6]])</f>
        <v>0</v>
      </c>
      <c r="AT75" s="48">
        <f>SUM(TabellaMar2026[[#This Row],[Colonna39]:[Colonna6]])</f>
        <v>0</v>
      </c>
      <c r="AU75" s="36" cm="1">
        <f t="array" ref="AU75">IF(
    AND($H75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($H75 / 1000) * AU$10 * $BN$4 * 0.25
    ),
    0
)
+
IF(
    $N75 &lt; 0.875,
    MAX(0, MIN(($H75 / 1000) * AU$10 * $BN$4, AU$11 * 0.876) - (AU$11 * $N75)) * 0.25,
    0
)</f>
        <v>0</v>
      </c>
      <c r="AV75" s="36" cm="1">
        <f t="array" ref="AV75">IF(
    AND($H75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($H75 / 1000) * AV$10 * $BN$4 * 0.25
    ),
    0
)
+
IF(
    $N75 &lt; 0.875,
    MAX(0, MIN(($H75 / 1000) * AV$10 * $BN$4, AV$11 * 0.876) - (AV$11 * $N75)) * 0.25,
    0
)</f>
        <v>0</v>
      </c>
      <c r="AW75" s="36" cm="1">
        <f t="array" ref="AW75">IF(
    AND($H75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($H75 / 1000) * AW$10 * $BN$4 * 0.25
    ),
    0
)
+
IF(
    $N75 &lt; 0.875,
    MAX(0, MIN(($H75 / 1000) * AW$10 * $BN$4, AW$11 * 0.876) - (AW$11 * $N75)) * 0.25,
    0
)</f>
        <v>0</v>
      </c>
      <c r="AX75" s="36" cm="1">
        <f t="array" ref="AX75">IF(
    AND($H75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($H75 / 1000) * AX$10 * $BN$4 * 0.25
    ),
    0
)
+
IF(
    $N75 &lt; 0.875,
    MAX(0, MIN(($H75 / 1000) * AX$10 * $BN$4, AX$11 * 0.876) - (AX$11 * $N75)) * 0.25,
    0
)</f>
        <v>0</v>
      </c>
      <c r="AY75" s="36" cm="1">
        <f t="array" ref="AY75">IF(
    AND($H75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($H75 / 1000) * AY$10 * $BN$4 * 0.25
    ),
    0
)
+
IF(
    $N75 &lt; 0.875,
    MAX(0, MIN(($H75 / 1000) * AY$10 * $BN$4, AY$11 * 0.876) - (AY$11 * $N75)) * 0.25,
    0
)</f>
        <v>0</v>
      </c>
      <c r="AZ75" s="36" cm="1">
        <f t="array" ref="AZ75">IF(
    AND($H75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($H75 / 1000) * AZ$10 * $BN$4 * 0.25
    ),
    0
)
+
IF(
    $N75 &lt; 0.875,
    MAX(0, MIN(($H75 / 1000) * AZ$10 * $BN$4, AZ$11 * 0.876) - (AZ$11 * $N75)) * 0.25,
    0
)</f>
        <v>0</v>
      </c>
      <c r="BA75" s="36" cm="1">
        <f t="array" ref="BA75">IF(
    AND($H75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($H75 / 1000) * BA$10 * $BN$4 * 0.25
    ),
    0
)
+
IF(
    $N75 &lt; 0.875,
    MAX(0, MIN(($H75 / 1000) * BA$10 * $BN$4, BA$11 * 0.876) - (BA$11 * $N75)) * 0.25,
    0
)</f>
        <v>0</v>
      </c>
      <c r="BB75" s="36" cm="1">
        <f t="array" ref="BB75">IF(
    AND($H75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($H75 / 1000) * BB$10 * $BN$4 * 0.25
    ),
    0
)
+
IF(
    $N75 &lt; 0.875,
    MAX(0, MIN(($H75 / 1000) * BB$10 * $BN$4, BB$11 * 0.876) - (BB$11 * $N75)) * 0.25,
    0
)</f>
        <v>0</v>
      </c>
      <c r="BC75" s="36" cm="1">
        <f t="array" ref="BC75">IF(
    AND($H75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($H75 / 1000) * BC$10 * $BN$4 * 0.25
    ),
    0
)
+
IF(
    $N75 &lt; 0.875,
    MAX(0, MIN(($H75 / 1000) * BC$10 * $BN$4, BC$11 * 0.876) - (BC$11 * $N75)) * 0.25,
    0
)</f>
        <v>0</v>
      </c>
      <c r="BD75" s="36" cm="1">
        <f t="array" ref="BD75">IF(
    AND($H75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($H75 / 1000) * BD$10 * $BN$4 * 0.25
    ),
    0
)
+
IF(
    $N75 &lt; 0.875,
    MAX(0, MIN(($H75 / 1000) * BD$10 * $BN$4, BD$11 * 0.876) - (BD$11 * $N75)) * 0.25,
    0
)</f>
        <v>0</v>
      </c>
      <c r="BE75" s="36" cm="1">
        <f t="array" ref="BE75">IF(
    AND($H75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($H75 / 1000) * BE$10 * $BN$4 * 0.25
    ),
    0
)
+
IF(
    $N75 &lt; 0.875,
    MAX(0, MIN(($H75 / 1000) * BE$10 * $BN$4, BE$11 * 0.876) - (BE$11 * $N75)) * 0.25,
    0
)</f>
        <v>0</v>
      </c>
      <c r="BF75" s="36" cm="1">
        <f t="array" ref="BF75">IF(
    AND($H75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($H75 / 1000) * BF$10 * $BN$4 * 0.25
    ),
    0
)
+
IF(
    $N75 &lt; 0.875,
    MAX(0, MIN(($H75 / 1000) * BF$10 * $BN$4, BF$11 * 0.876) - (BF$11 * $N75)) * 0.25,
    0
)</f>
        <v>0</v>
      </c>
      <c r="BG75" s="8">
        <f>AVERAGE(TabellaMar2026[[#This Row],[Colonna55]:[Colonna53]])</f>
        <v>0</v>
      </c>
      <c r="BH75" s="8">
        <f>MAX(TabellaMar2026[[#This Row],[Colonna55]:[Colonna53]])</f>
        <v>0</v>
      </c>
      <c r="BI75" s="35">
        <f>MIN(TabellaMar2026[[#This Row],[Colonna55]:[Colonna53]])</f>
        <v>0</v>
      </c>
      <c r="BJ75" s="48">
        <f>SUM(TabellaMar2026[[#This Row],[Colonna54]:[Colonna53]])</f>
        <v>0</v>
      </c>
      <c r="BK75" s="54">
        <f>(SUM(Tabella01MarzoInverter[[Active power TX1-INV-1]:[Active power TX3-INV-12]]) * 0.25) / (12625 * (SUM($G$15:$H$110) * 0.25 / 1000))</f>
        <v>1.014229628761051</v>
      </c>
      <c r="BL75" s="5"/>
      <c r="BM75" s="5"/>
      <c r="BN75" s="5"/>
      <c r="BO75" s="8"/>
      <c r="BP75" s="19"/>
    </row>
    <row r="76" spans="1:68" x14ac:dyDescent="0.25">
      <c r="A76" s="18">
        <v>46147</v>
      </c>
      <c r="B76" t="s">
        <v>76</v>
      </c>
      <c r="C76" s="5">
        <v>941.5</v>
      </c>
      <c r="D76" s="6">
        <v>0.235375</v>
      </c>
      <c r="E76" s="6">
        <v>919.8</v>
      </c>
      <c r="F76" s="6">
        <v>0.22994999999999999</v>
      </c>
      <c r="G76" s="6">
        <f>IFERROR((D76+F76)/2, 0)</f>
        <v>0.23266249999999999</v>
      </c>
      <c r="H76" s="7">
        <f>IFERROR(IF(AVERAGE(C76,E76)&gt;$BN$7,AVERAGE(C76,E76),0), 0)</f>
        <v>930.65</v>
      </c>
      <c r="I76" s="7">
        <f>IFERROR(IF(AND(D76=0,F76=0),0,IF(H76&gt;$BN$6,MAX(D76,F76),G76)), 0)</f>
        <v>0.235375</v>
      </c>
      <c r="J76" s="6">
        <f>IFERROR(IF(AND(D76&gt;0,F76&gt;0),ABS(D76-F76)/AVERAGE(D76,F76),0), 0)</f>
        <v>2.3317036479879712E-2</v>
      </c>
      <c r="K76" s="6">
        <v>30441.9</v>
      </c>
      <c r="L76" s="6">
        <v>30444.400000000001</v>
      </c>
      <c r="M76" s="8">
        <f>IFERROR((L76-K76)*1000, 0)</f>
        <v>2500</v>
      </c>
      <c r="N76" s="6">
        <v>0.87599999999999989</v>
      </c>
      <c r="O76" s="8" cm="1">
        <f t="array" ref="O76">IF(
    AND($H76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($H76 / 1000) * O$10 * $BN$4 * 0.25
    ),
    0
)
+
IF(
    $N76 &lt; 0.875,
    MAX(0, MIN(($H76 / 1000) * O$10 * $BN$4, O$11 * 0.876) - (O$11 * $N76)) * 0.25,
    0
)</f>
        <v>0</v>
      </c>
      <c r="P76" s="8" cm="1">
        <f t="array" ref="P76">IF(
    AND($H76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($H76 / 1000) * P$10 * $BN$4 * 0.25
    ),
    0
)
+
IF(
    $N76 &lt; 0.875,
    MAX(0, MIN(($H76 / 1000) * P$10 * $BN$4, P$11 * 0.876) - (P$11 * $N76)) * 0.25,
    0
)</f>
        <v>0</v>
      </c>
      <c r="Q76" s="8" cm="1">
        <f t="array" ref="Q76">IF(
    AND($H76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($H76 / 1000) * Q$10 * $BN$4 * 0.25
    ),
    0
)
+
IF(
    $N76 &lt; 0.875,
    MAX(0, MIN(($H76 / 1000) * Q$10 * $BN$4, Q$11 * 0.876) - (Q$11 * $N76)) * 0.25,
    0
)</f>
        <v>0</v>
      </c>
      <c r="R76" s="8" cm="1">
        <f t="array" ref="R76">IF(
    AND($H76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($H76 / 1000) * R$10 * $BN$4 * 0.25
    ),
    0
)
+
IF(
    $N76 &lt; 0.875,
    MAX(0, MIN(($H76 / 1000) * R$10 * $BN$4, R$11 * 0.876) - (R$11 * $N76)) * 0.25,
    0
)</f>
        <v>0</v>
      </c>
      <c r="S76" s="8" cm="1">
        <f t="array" ref="S76">IF(
    AND($H76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($H76 / 1000) * S$10 * $BN$4 * 0.25
    ),
    0
)
+
IF(
    $N76 &lt; 0.875,
    MAX(0, MIN(($H76 / 1000) * S$10 * $BN$4, S$11 * 0.876) - (S$11 * $N76)) * 0.25,
    0
)</f>
        <v>0</v>
      </c>
      <c r="T76" s="8" cm="1">
        <f t="array" ref="T76">IF(
    AND($H76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($H76 / 1000) * T$10 * $BN$4 * 0.25
    ),
    0
)
+
IF(
    $N76 &lt; 0.875,
    MAX(0, MIN(($H76 / 1000) * T$10 * $BN$4, T$11 * 0.876) - (T$11 * $N76)) * 0.25,
    0
)</f>
        <v>0</v>
      </c>
      <c r="U76" s="8" cm="1">
        <f t="array" ref="U76">IF(
    AND($H76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($H76 / 1000) * U$10 * $BN$4 * 0.25
    ),
    0
)
+
IF(
    $N76 &lt; 0.875,
    MAX(0, MIN(($H76 / 1000) * U$10 * $BN$4, U$11 * 0.876) - (U$11 * $N76)) * 0.25,
    0
)</f>
        <v>0</v>
      </c>
      <c r="V76" s="8" cm="1">
        <f t="array" ref="V76">IF(
    AND($H76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($H76 / 1000) * V$10 * $BN$4 * 0.25
    ),
    0
)
+
IF(
    $N76 &lt; 0.875,
    MAX(0, MIN(($H76 / 1000) * V$10 * $BN$4, V$11 * 0.876) - (V$11 * $N76)) * 0.25,
    0
)</f>
        <v>0</v>
      </c>
      <c r="W76" s="8" cm="1">
        <f t="array" ref="W76">IF(
    AND($H76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($H76 / 1000) * W$10 * $BN$4 * 0.25
    ),
    0
)
+
IF(
    $N76 &lt; 0.875,
    MAX(0, MIN(($H76 / 1000) * W$10 * $BN$4, W$11 * 0.876) - (W$11 * $N76)) * 0.25,
    0
)</f>
        <v>0</v>
      </c>
      <c r="X76" s="8" cm="1">
        <f t="array" ref="X76">IF(
    AND($H76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($H76 / 1000) * X$10 * $BN$4 * 0.25
    ),
    0
)
+
IF(
    $N76 &lt; 0.875,
    MAX(0, MIN(($H76 / 1000) * X$10 * $BN$4, X$11 * 0.876) - (X$11 * $N76)) * 0.25,
    0
)</f>
        <v>0</v>
      </c>
      <c r="Y76" s="8" cm="1">
        <f t="array" ref="Y76">IF(
    AND($H76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($H76 / 1000) * Y$10 * $BN$4 * 0.25
    ),
    0
)
+
IF(
    $N76 &lt; 0.875,
    MAX(0, MIN(($H76 / 1000) * Y$10 * $BN$4, Y$11 * 0.876) - (Y$11 * $N76)) * 0.25,
    0
)</f>
        <v>0</v>
      </c>
      <c r="Z76" s="8" cm="1">
        <f t="array" ref="Z76">IF(
    AND($H76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($H76 / 1000) * Z$10 * $BN$4 * 0.25
    ),
    0
)
+
IF(
    $N76 &lt; 0.875,
    MAX(0, MIN(($H76 / 1000) * Z$10 * $BN$4, Z$11 * 0.876) - (Z$11 * $N76)) * 0.25,
    0
)</f>
        <v>0</v>
      </c>
      <c r="AA76" s="8">
        <f>AVERAGE(TabellaMar2026[[#This Row],[Colonna24]:[Colonna20]])</f>
        <v>0</v>
      </c>
      <c r="AB76" s="8">
        <f>MAX(TabellaMar2026[[#This Row],[Colonna24]:[Colonna20]])</f>
        <v>0</v>
      </c>
      <c r="AC76" s="35">
        <f>MIN(TabellaMar2026[[#This Row],[Colonna24]:[Colonna20]])</f>
        <v>0</v>
      </c>
      <c r="AD76" s="44">
        <f>SUM(TabellaMar2026[[#This Row],[Colonna24]:[Colonna20]])</f>
        <v>0</v>
      </c>
      <c r="AE76" s="36">
        <f>IF(
    AND($H76 &gt; $BN$7, Tabella01MarzoInverter[[#This Row],[Active power TX2-INV-1]] &lt;= 0, Tabella01MarzoInverter[[#This Row],[TX2 - Average Power]] &lt;= 0),
    MIN(($H76 / 1000) * AE$10 * $BN$4, AE$11 * 0.876) * 0.25,
    IF(
        AND($H76 &gt; $BN$7, Tabella01MarzoInverter[[#This Row],[Active power TX2-INV-1]] &lt;= 0),
        Tabella01MarzoInverter[[#This Row],[TX2 - Average Power]] * 0.25,
        0
    )
    +
    IF(
        $N76 &lt; 0.875,
        MAX(0, MIN(($H76 / 1000) * AE$10 * $BN$4, AE$11 * 0.876) - (AE$11 * $N76)) * 0.25,
        0
    )
)</f>
        <v>0</v>
      </c>
      <c r="AF76" s="36">
        <f>IF(
    AND($H76 &gt; $BN$7, Tabella01MarzoInverter[[#This Row],[Active power TX2-INV-2]] &lt;= 0, Tabella01MarzoInverter[[#This Row],[TX2 - Max Power]] &lt;= 0),
    MIN(($H76 / 1000) * AF$10 * $BN$4, AF$11 * 0.876) * 0.25,
    IF(
        AND($H76 &gt; $BN$7, Tabella01MarzoInverter[[#This Row],[Active power TX2-INV-2]] &lt;= 0),
        Tabella01MarzoInverter[[#This Row],[TX2 - Max Power]] * 0.25,
        0
    )
    +
    IF(
        $N76 &lt; 0.875,
        MAX(0, MIN(($H76 / 1000) * AF$10 * $BN$4, AF$11 * 0.876) - (AF$11 * $N76)) * 0.25,
        0
    )
)</f>
        <v>0</v>
      </c>
      <c r="AG76" s="36">
        <f>IF(
    AND($H76 &gt; $BN$7, Tabella01MarzoInverter[[#This Row],[Active power TX2-INV-3]] &lt;= 0, Tabella01MarzoInverter[[#This Row],[TX2 - Min Power]] &lt;= 0),
    MIN(($H76 / 1000) * AG$10 * $BN$4, AG$11 * 0.876) * 0.25,
    IF(
        AND($H76 &gt; $BN$7, Tabella01MarzoInverter[[#This Row],[Active power TX2-INV-3]] &lt;= 0),
        Tabella01MarzoInverter[[#This Row],[TX2 - Min Power]] * 0.25,
        0
    )
    +
    IF(
        $N76 &lt; 0.875,
        MAX(0, MIN(($H76 / 1000) * AG$10 * $BN$4, AG$11 * 0.876) - (AG$11 * $N76)) * 0.25,
        0
    )
)</f>
        <v>0</v>
      </c>
      <c r="AH76" s="36">
        <f>IF(
    AND($H76 &gt; $BN$7, Tabella01MarzoInverter[[#This Row],[Active power TX2-INV-4]] &lt;= 0, Tabella01MarzoInverter[[#This Row],[Active power TX3-INV-1]] &lt;= 0),
    MIN(($H76 / 1000) * AH$10 * $BN$4, AH$11 * 0.876) * 0.25,
    IF(
        AND($H76 &gt; $BN$7, Tabella01MarzoInverter[[#This Row],[Active power TX2-INV-4]] &lt;= 0),
        Tabella01MarzoInverter[[#This Row],[Active power TX3-INV-1]] * 0.25,
        0
    )
    +
    IF(
        $N76 &lt; 0.875,
        MAX(0, MIN(($H76 / 1000) * AH$10 * $BN$4, AH$11 * 0.876) - (AH$11 * $N76)) * 0.25,
        0
    )
)</f>
        <v>0</v>
      </c>
      <c r="AI76" s="36">
        <f>IF(
    AND($H76 &gt; $BN$7, Tabella01MarzoInverter[[#This Row],[Active power TX2-INV-5]] &lt;= 0, Tabella01MarzoInverter[[#This Row],[Active power TX3-INV-2]] &lt;= 0),
    MIN(($H76 / 1000) * AI$10 * $BN$4, AI$11 * 0.876) * 0.25,
    IF(
        AND($H76 &gt; $BN$7, Tabella01MarzoInverter[[#This Row],[Active power TX2-INV-5]] &lt;= 0),
        Tabella01MarzoInverter[[#This Row],[Active power TX3-INV-2]] * 0.25,
        0
    )
    +
    IF(
        $N76 &lt; 0.875,
        MAX(0, MIN(($H76 / 1000) * AI$10 * $BN$4, AI$11 * 0.876) - (AI$11 * $N76)) * 0.25,
        0
    )
)</f>
        <v>0</v>
      </c>
      <c r="AJ76" s="36">
        <f>IF(
    AND($H76 &gt; $BN$7, Tabella01MarzoInverter[[#This Row],[Active power TX2-INV-6]] &lt;= 0, Tabella01MarzoInverter[[#This Row],[Active power TX3-INV-3]] &lt;= 0),
    MIN(($H76 / 1000) * AJ$10 * $BN$4, AJ$11 * 0.876) * 0.25,
    IF(
        AND($H76 &gt; $BN$7, Tabella01MarzoInverter[[#This Row],[Active power TX2-INV-6]] &lt;= 0),
        Tabella01MarzoInverter[[#This Row],[Active power TX3-INV-3]] * 0.25,
        0
    )
    +
    IF(
        $N76 &lt; 0.875,
        MAX(0, MIN(($H76 / 1000) * AJ$10 * $BN$4, AJ$11 * 0.876) - (AJ$11 * $N76)) * 0.25,
        0
    )
)</f>
        <v>0</v>
      </c>
      <c r="AK76" s="36">
        <f>IF(
    AND($H76 &gt; $BN$7, Tabella01MarzoInverter[[#This Row],[Active power TX2-INV-7]] &lt;= 0, Tabella01MarzoInverter[[#This Row],[Active power TX3-INV-4]] &lt;= 0),
    MIN(($H76 / 1000) * AK$10 * $BN$4, AK$11 * 0.876) * 0.25,
    IF(
        AND($H76 &gt; $BN$7, Tabella01MarzoInverter[[#This Row],[Active power TX2-INV-7]] &lt;= 0),
        Tabella01MarzoInverter[[#This Row],[Active power TX3-INV-4]] * 0.25,
        0
    )
    +
    IF(
        $N76 &lt; 0.875,
        MAX(0, MIN(($H76 / 1000) * AK$10 * $BN$4, AK$11 * 0.876) - (AK$11 * $N76)) * 0.25,
        0
    )
)</f>
        <v>0</v>
      </c>
      <c r="AL76" s="36">
        <f>IF(
    AND($H76 &gt; $BN$7, Tabella01MarzoInverter[[#This Row],[Active power TX2-INV-8]] &lt;= 0, Tabella01MarzoInverter[[#This Row],[Active power TX3-INV-5]] &lt;= 0),
    MIN(($H76 / 1000) * AL$10 * $BN$4, AL$11 * 0.876) * 0.25,
    IF(
        AND($H76 &gt; $BN$7, Tabella01MarzoInverter[[#This Row],[Active power TX2-INV-8]] &lt;= 0),
        Tabella01MarzoInverter[[#This Row],[Active power TX3-INV-5]] * 0.25,
        0
    )
    +
    IF(
        $N76 &lt; 0.875,
        MAX(0, MIN(($H76 / 1000) * AL$10 * $BN$4, AL$11 * 0.876) - (AL$11 * $N76)) * 0.25,
        0
    )
)</f>
        <v>0</v>
      </c>
      <c r="AM76" s="36">
        <f>IF(
    AND($H76 &gt; $BN$7, Tabella01MarzoInverter[[#This Row],[Active power TX2-INV-9]] &lt;= 0, Tabella01MarzoInverter[[#This Row],[Active power TX3-INV-6]] &lt;= 0),
    MIN(($H76 / 1000) * AM$10 * $BN$4, AM$11 * 0.876) * 0.25,
    IF(
        AND($H76 &gt; $BN$7, Tabella01MarzoInverter[[#This Row],[Active power TX2-INV-9]] &lt;= 0),
        Tabella01MarzoInverter[[#This Row],[Active power TX3-INV-6]] * 0.25,
        0
    )
    +
    IF(
        $N76 &lt; 0.875,
        MAX(0, MIN(($H76 / 1000) * AM$10 * $BN$4, AM$11 * 0.876) - (AM$11 * $N76)) * 0.25,
        0
    )
)</f>
        <v>0</v>
      </c>
      <c r="AN76" s="36">
        <f>IF(
    AND($H76 &gt; $BN$7, Tabella01MarzoInverter[[#This Row],[Active power TX2-INV-10]] &lt;= 0, Tabella01MarzoInverter[[#This Row],[Active power TX3-INV-7]] &lt;= 0),
    MIN(($H76 / 1000) * AN$10 * $BN$4, AN$11 * 0.876) * 0.25,
    IF(
        AND($H76 &gt; $BN$7, Tabella01MarzoInverter[[#This Row],[Active power TX2-INV-10]] &lt;= 0),
        Tabella01MarzoInverter[[#This Row],[Active power TX3-INV-7]] * 0.25,
        0
    )
    +
    IF(
        $N76 &lt; 0.875,
        MAX(0, MIN(($H76 / 1000) * AN$10 * $BN$4, AN$11 * 0.876) - (AN$11 * $N76)) * 0.25,
        0
    )
)</f>
        <v>0</v>
      </c>
      <c r="AO76" s="36">
        <f>IF(
    AND($H76 &gt; $BN$7, Tabella01MarzoInverter[[#This Row],[Active power TX2-INV-11]] &lt;= 0, Tabella01MarzoInverter[[#This Row],[Active power TX3-INV-8]] &lt;= 0),
    MIN(($H76 / 1000) * AO$10 * $BN$4, AO$11 * 0.876) * 0.25,
    IF(
        AND($H76 &gt; $BN$7, Tabella01MarzoInverter[[#This Row],[Active power TX2-INV-11]] &lt;= 0),
        Tabella01MarzoInverter[[#This Row],[Active power TX3-INV-8]] * 0.25,
        0
    )
    +
    IF(
        $N76 &lt; 0.875,
        MAX(0, MIN(($H76 / 1000) * AO$10 * $BN$4, AO$11 * 0.876) - (AO$11 * $N76)) * 0.25,
        0
    )
)</f>
        <v>0</v>
      </c>
      <c r="AP76" s="36">
        <f>IF(
    AND($H76 &gt; $BN$7, Tabella01MarzoInverter[[#This Row],[Active power TX2-INV-12]] &lt;= 0, Tabella01MarzoInverter[[#This Row],[Active power TX3-INV-9]] &lt;= 0),
    MIN(($H76 / 1000) * AP$10 * $BN$4, AP$11 * 0.876) * 0.25,
    IF(
        AND($H76 &gt; $BN$7, Tabella01MarzoInverter[[#This Row],[Active power TX2-INV-12]] &lt;= 0),
        Tabella01MarzoInverter[[#This Row],[Active power TX3-INV-9]] * 0.25,
        0
    )
    +
    IF(
        $N76 &lt; 0.875,
        MAX(0, MIN(($H76 / 1000) * AP$10 * $BN$4, AP$11 * 0.876) - (AP$11 * $N76)) * 0.25,
        0
    )
)</f>
        <v>0</v>
      </c>
      <c r="AQ76" s="8">
        <f>AVERAGE(TabellaMar2026[[#This Row],[Colonna39]:[Colonna6]])</f>
        <v>0</v>
      </c>
      <c r="AR76" s="8">
        <f>MAX(TabellaMar2026[[#This Row],[Colonna39]:[Colonna6]])</f>
        <v>0</v>
      </c>
      <c r="AS76" s="35">
        <f>MIN(TabellaMar2026[[#This Row],[Colonna39]:[Colonna6]])</f>
        <v>0</v>
      </c>
      <c r="AT76" s="48">
        <f>SUM(TabellaMar2026[[#This Row],[Colonna39]:[Colonna6]])</f>
        <v>0</v>
      </c>
      <c r="AU76" s="36" cm="1">
        <f t="array" ref="AU76">IF(
    AND($H76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($H76 / 1000) * AU$10 * $BN$4 * 0.25
    ),
    0
)
+
IF(
    $N76 &lt; 0.875,
    MAX(0, MIN(($H76 / 1000) * AU$10 * $BN$4, AU$11 * 0.876) - (AU$11 * $N76)) * 0.25,
    0
)</f>
        <v>0</v>
      </c>
      <c r="AV76" s="36" cm="1">
        <f t="array" ref="AV76">IF(
    AND($H76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($H76 / 1000) * AV$10 * $BN$4 * 0.25
    ),
    0
)
+
IF(
    $N76 &lt; 0.875,
    MAX(0, MIN(($H76 / 1000) * AV$10 * $BN$4, AV$11 * 0.876) - (AV$11 * $N76)) * 0.25,
    0
)</f>
        <v>0</v>
      </c>
      <c r="AW76" s="36" cm="1">
        <f t="array" ref="AW76">IF(
    AND($H76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($H76 / 1000) * AW$10 * $BN$4 * 0.25
    ),
    0
)
+
IF(
    $N76 &lt; 0.875,
    MAX(0, MIN(($H76 / 1000) * AW$10 * $BN$4, AW$11 * 0.876) - (AW$11 * $N76)) * 0.25,
    0
)</f>
        <v>0</v>
      </c>
      <c r="AX76" s="36" cm="1">
        <f t="array" ref="AX76">IF(
    AND($H76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($H76 / 1000) * AX$10 * $BN$4 * 0.25
    ),
    0
)
+
IF(
    $N76 &lt; 0.875,
    MAX(0, MIN(($H76 / 1000) * AX$10 * $BN$4, AX$11 * 0.876) - (AX$11 * $N76)) * 0.25,
    0
)</f>
        <v>0</v>
      </c>
      <c r="AY76" s="36" cm="1">
        <f t="array" ref="AY76">IF(
    AND($H76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($H76 / 1000) * AY$10 * $BN$4 * 0.25
    ),
    0
)
+
IF(
    $N76 &lt; 0.875,
    MAX(0, MIN(($H76 / 1000) * AY$10 * $BN$4, AY$11 * 0.876) - (AY$11 * $N76)) * 0.25,
    0
)</f>
        <v>0</v>
      </c>
      <c r="AZ76" s="36" cm="1">
        <f t="array" ref="AZ76">IF(
    AND($H76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($H76 / 1000) * AZ$10 * $BN$4 * 0.25
    ),
    0
)
+
IF(
    $N76 &lt; 0.875,
    MAX(0, MIN(($H76 / 1000) * AZ$10 * $BN$4, AZ$11 * 0.876) - (AZ$11 * $N76)) * 0.25,
    0
)</f>
        <v>0</v>
      </c>
      <c r="BA76" s="36" cm="1">
        <f t="array" ref="BA76">IF(
    AND($H76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($H76 / 1000) * BA$10 * $BN$4 * 0.25
    ),
    0
)
+
IF(
    $N76 &lt; 0.875,
    MAX(0, MIN(($H76 / 1000) * BA$10 * $BN$4, BA$11 * 0.876) - (BA$11 * $N76)) * 0.25,
    0
)</f>
        <v>0</v>
      </c>
      <c r="BB76" s="36" cm="1">
        <f t="array" ref="BB76">IF(
    AND($H76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($H76 / 1000) * BB$10 * $BN$4 * 0.25
    ),
    0
)
+
IF(
    $N76 &lt; 0.875,
    MAX(0, MIN(($H76 / 1000) * BB$10 * $BN$4, BB$11 * 0.876) - (BB$11 * $N76)) * 0.25,
    0
)</f>
        <v>0</v>
      </c>
      <c r="BC76" s="36" cm="1">
        <f t="array" ref="BC76">IF(
    AND($H76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($H76 / 1000) * BC$10 * $BN$4 * 0.25
    ),
    0
)
+
IF(
    $N76 &lt; 0.875,
    MAX(0, MIN(($H76 / 1000) * BC$10 * $BN$4, BC$11 * 0.876) - (BC$11 * $N76)) * 0.25,
    0
)</f>
        <v>0</v>
      </c>
      <c r="BD76" s="36" cm="1">
        <f t="array" ref="BD76">IF(
    AND($H76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($H76 / 1000) * BD$10 * $BN$4 * 0.25
    ),
    0
)
+
IF(
    $N76 &lt; 0.875,
    MAX(0, MIN(($H76 / 1000) * BD$10 * $BN$4, BD$11 * 0.876) - (BD$11 * $N76)) * 0.25,
    0
)</f>
        <v>0</v>
      </c>
      <c r="BE76" s="36" cm="1">
        <f t="array" ref="BE76">IF(
    AND($H76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($H76 / 1000) * BE$10 * $BN$4 * 0.25
    ),
    0
)
+
IF(
    $N76 &lt; 0.875,
    MAX(0, MIN(($H76 / 1000) * BE$10 * $BN$4, BE$11 * 0.876) - (BE$11 * $N76)) * 0.25,
    0
)</f>
        <v>0</v>
      </c>
      <c r="BF76" s="36" cm="1">
        <f t="array" ref="BF76">IF(
    AND($H76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($H76 / 1000) * BF$10 * $BN$4 * 0.25
    ),
    0
)
+
IF(
    $N76 &lt; 0.875,
    MAX(0, MIN(($H76 / 1000) * BF$10 * $BN$4, BF$11 * 0.876) - (BF$11 * $N76)) * 0.25,
    0
)</f>
        <v>0</v>
      </c>
      <c r="BG76" s="8">
        <f>AVERAGE(TabellaMar2026[[#This Row],[Colonna55]:[Colonna53]])</f>
        <v>0</v>
      </c>
      <c r="BH76" s="8">
        <f>MAX(TabellaMar2026[[#This Row],[Colonna55]:[Colonna53]])</f>
        <v>0</v>
      </c>
      <c r="BI76" s="35">
        <f>MIN(TabellaMar2026[[#This Row],[Colonna55]:[Colonna53]])</f>
        <v>0</v>
      </c>
      <c r="BJ76" s="48">
        <f>SUM(TabellaMar2026[[#This Row],[Colonna54]:[Colonna53]])</f>
        <v>0</v>
      </c>
      <c r="BK76" s="54">
        <f>(SUM(Tabella01MarzoInverter[[Active power TX1-INV-1]:[Active power TX3-INV-12]]) * 0.25) / (12625 * (SUM($G$15:$H$110) * 0.25 / 1000))</f>
        <v>1.014229628761051</v>
      </c>
      <c r="BL76" s="5"/>
      <c r="BM76" s="5"/>
      <c r="BN76" s="5"/>
      <c r="BO76" s="8"/>
      <c r="BP76" s="19"/>
    </row>
    <row r="77" spans="1:68" x14ac:dyDescent="0.25">
      <c r="A77" s="18">
        <v>46147</v>
      </c>
      <c r="B77" t="s">
        <v>77</v>
      </c>
      <c r="C77" s="5">
        <v>937.4</v>
      </c>
      <c r="D77" s="6">
        <v>0.23435</v>
      </c>
      <c r="E77" s="6">
        <v>914</v>
      </c>
      <c r="F77" s="6">
        <v>0.22850000000000001</v>
      </c>
      <c r="G77" s="6">
        <f>IFERROR((D77+F77)/2, 0)</f>
        <v>0.23142499999999999</v>
      </c>
      <c r="H77" s="7">
        <f>IFERROR(IF(AVERAGE(C77,E77)&gt;$BN$7,AVERAGE(C77,E77),0), 0)</f>
        <v>925.7</v>
      </c>
      <c r="I77" s="7">
        <f>IFERROR(IF(AND(D77=0,F77=0),0,IF(H77&gt;$BN$6,MAX(D77,F77),G77)), 0)</f>
        <v>0.23435</v>
      </c>
      <c r="J77" s="6">
        <f>IFERROR(IF(AND(D77&gt;0,F77&gt;0),ABS(D77-F77)/AVERAGE(D77,F77),0), 0)</f>
        <v>2.5278167872960979E-2</v>
      </c>
      <c r="K77" s="6">
        <v>30444.400000000001</v>
      </c>
      <c r="L77" s="6">
        <v>30446.9</v>
      </c>
      <c r="M77" s="8">
        <f>IFERROR((L77-K77)*1000, 0)</f>
        <v>2500</v>
      </c>
      <c r="N77" s="6">
        <v>0.87599999999999989</v>
      </c>
      <c r="O77" s="8" cm="1">
        <f t="array" ref="O77">IF(
    AND($H77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($H77 / 1000) * O$10 * $BN$4 * 0.25
    ),
    0
)
+
IF(
    $N77 &lt; 0.875,
    MAX(0, MIN(($H77 / 1000) * O$10 * $BN$4, O$11 * 0.876) - (O$11 * $N77)) * 0.25,
    0
)</f>
        <v>0</v>
      </c>
      <c r="P77" s="8" cm="1">
        <f t="array" ref="P77">IF(
    AND($H77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($H77 / 1000) * P$10 * $BN$4 * 0.25
    ),
    0
)
+
IF(
    $N77 &lt; 0.875,
    MAX(0, MIN(($H77 / 1000) * P$10 * $BN$4, P$11 * 0.876) - (P$11 * $N77)) * 0.25,
    0
)</f>
        <v>0</v>
      </c>
      <c r="Q77" s="8" cm="1">
        <f t="array" ref="Q77">IF(
    AND($H77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($H77 / 1000) * Q$10 * $BN$4 * 0.25
    ),
    0
)
+
IF(
    $N77 &lt; 0.875,
    MAX(0, MIN(($H77 / 1000) * Q$10 * $BN$4, Q$11 * 0.876) - (Q$11 * $N77)) * 0.25,
    0
)</f>
        <v>0</v>
      </c>
      <c r="R77" s="8" cm="1">
        <f t="array" ref="R77">IF(
    AND($H77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($H77 / 1000) * R$10 * $BN$4 * 0.25
    ),
    0
)
+
IF(
    $N77 &lt; 0.875,
    MAX(0, MIN(($H77 / 1000) * R$10 * $BN$4, R$11 * 0.876) - (R$11 * $N77)) * 0.25,
    0
)</f>
        <v>0</v>
      </c>
      <c r="S77" s="8" cm="1">
        <f t="array" ref="S77">IF(
    AND($H77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($H77 / 1000) * S$10 * $BN$4 * 0.25
    ),
    0
)
+
IF(
    $N77 &lt; 0.875,
    MAX(0, MIN(($H77 / 1000) * S$10 * $BN$4, S$11 * 0.876) - (S$11 * $N77)) * 0.25,
    0
)</f>
        <v>0</v>
      </c>
      <c r="T77" s="8" cm="1">
        <f t="array" ref="T77">IF(
    AND($H77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($H77 / 1000) * T$10 * $BN$4 * 0.25
    ),
    0
)
+
IF(
    $N77 &lt; 0.875,
    MAX(0, MIN(($H77 / 1000) * T$10 * $BN$4, T$11 * 0.876) - (T$11 * $N77)) * 0.25,
    0
)</f>
        <v>0</v>
      </c>
      <c r="U77" s="8" cm="1">
        <f t="array" ref="U77">IF(
    AND($H77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($H77 / 1000) * U$10 * $BN$4 * 0.25
    ),
    0
)
+
IF(
    $N77 &lt; 0.875,
    MAX(0, MIN(($H77 / 1000) * U$10 * $BN$4, U$11 * 0.876) - (U$11 * $N77)) * 0.25,
    0
)</f>
        <v>0</v>
      </c>
      <c r="V77" s="8" cm="1">
        <f t="array" ref="V77">IF(
    AND($H77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($H77 / 1000) * V$10 * $BN$4 * 0.25
    ),
    0
)
+
IF(
    $N77 &lt; 0.875,
    MAX(0, MIN(($H77 / 1000) * V$10 * $BN$4, V$11 * 0.876) - (V$11 * $N77)) * 0.25,
    0
)</f>
        <v>0</v>
      </c>
      <c r="W77" s="8" cm="1">
        <f t="array" ref="W77">IF(
    AND($H77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($H77 / 1000) * W$10 * $BN$4 * 0.25
    ),
    0
)
+
IF(
    $N77 &lt; 0.875,
    MAX(0, MIN(($H77 / 1000) * W$10 * $BN$4, W$11 * 0.876) - (W$11 * $N77)) * 0.25,
    0
)</f>
        <v>0</v>
      </c>
      <c r="X77" s="8" cm="1">
        <f t="array" ref="X77">IF(
    AND($H77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($H77 / 1000) * X$10 * $BN$4 * 0.25
    ),
    0
)
+
IF(
    $N77 &lt; 0.875,
    MAX(0, MIN(($H77 / 1000) * X$10 * $BN$4, X$11 * 0.876) - (X$11 * $N77)) * 0.25,
    0
)</f>
        <v>0</v>
      </c>
      <c r="Y77" s="8" cm="1">
        <f t="array" ref="Y77">IF(
    AND($H77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($H77 / 1000) * Y$10 * $BN$4 * 0.25
    ),
    0
)
+
IF(
    $N77 &lt; 0.875,
    MAX(0, MIN(($H77 / 1000) * Y$10 * $BN$4, Y$11 * 0.876) - (Y$11 * $N77)) * 0.25,
    0
)</f>
        <v>0</v>
      </c>
      <c r="Z77" s="8" cm="1">
        <f t="array" ref="Z77">IF(
    AND($H77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($H77 / 1000) * Z$10 * $BN$4 * 0.25
    ),
    0
)
+
IF(
    $N77 &lt; 0.875,
    MAX(0, MIN(($H77 / 1000) * Z$10 * $BN$4, Z$11 * 0.876) - (Z$11 * $N77)) * 0.25,
    0
)</f>
        <v>0</v>
      </c>
      <c r="AA77" s="8">
        <f>AVERAGE(TabellaMar2026[[#This Row],[Colonna24]:[Colonna20]])</f>
        <v>0</v>
      </c>
      <c r="AB77" s="8">
        <f>MAX(TabellaMar2026[[#This Row],[Colonna24]:[Colonna20]])</f>
        <v>0</v>
      </c>
      <c r="AC77" s="35">
        <f>MIN(TabellaMar2026[[#This Row],[Colonna24]:[Colonna20]])</f>
        <v>0</v>
      </c>
      <c r="AD77" s="44">
        <f>SUM(TabellaMar2026[[#This Row],[Colonna24]:[Colonna20]])</f>
        <v>0</v>
      </c>
      <c r="AE77" s="36">
        <f>IF(
    AND($H77 &gt; $BN$7, Tabella01MarzoInverter[[#This Row],[Active power TX2-INV-1]] &lt;= 0, Tabella01MarzoInverter[[#This Row],[TX2 - Average Power]] &lt;= 0),
    MIN(($H77 / 1000) * AE$10 * $BN$4, AE$11 * 0.876) * 0.25,
    IF(
        AND($H77 &gt; $BN$7, Tabella01MarzoInverter[[#This Row],[Active power TX2-INV-1]] &lt;= 0),
        Tabella01MarzoInverter[[#This Row],[TX2 - Average Power]] * 0.25,
        0
    )
    +
    IF(
        $N77 &lt; 0.875,
        MAX(0, MIN(($H77 / 1000) * AE$10 * $BN$4, AE$11 * 0.876) - (AE$11 * $N77)) * 0.25,
        0
    )
)</f>
        <v>0</v>
      </c>
      <c r="AF77" s="36">
        <f>IF(
    AND($H77 &gt; $BN$7, Tabella01MarzoInverter[[#This Row],[Active power TX2-INV-2]] &lt;= 0, Tabella01MarzoInverter[[#This Row],[TX2 - Max Power]] &lt;= 0),
    MIN(($H77 / 1000) * AF$10 * $BN$4, AF$11 * 0.876) * 0.25,
    IF(
        AND($H77 &gt; $BN$7, Tabella01MarzoInverter[[#This Row],[Active power TX2-INV-2]] &lt;= 0),
        Tabella01MarzoInverter[[#This Row],[TX2 - Max Power]] * 0.25,
        0
    )
    +
    IF(
        $N77 &lt; 0.875,
        MAX(0, MIN(($H77 / 1000) * AF$10 * $BN$4, AF$11 * 0.876) - (AF$11 * $N77)) * 0.25,
        0
    )
)</f>
        <v>0</v>
      </c>
      <c r="AG77" s="36">
        <f>IF(
    AND($H77 &gt; $BN$7, Tabella01MarzoInverter[[#This Row],[Active power TX2-INV-3]] &lt;= 0, Tabella01MarzoInverter[[#This Row],[TX2 - Min Power]] &lt;= 0),
    MIN(($H77 / 1000) * AG$10 * $BN$4, AG$11 * 0.876) * 0.25,
    IF(
        AND($H77 &gt; $BN$7, Tabella01MarzoInverter[[#This Row],[Active power TX2-INV-3]] &lt;= 0),
        Tabella01MarzoInverter[[#This Row],[TX2 - Min Power]] * 0.25,
        0
    )
    +
    IF(
        $N77 &lt; 0.875,
        MAX(0, MIN(($H77 / 1000) * AG$10 * $BN$4, AG$11 * 0.876) - (AG$11 * $N77)) * 0.25,
        0
    )
)</f>
        <v>0</v>
      </c>
      <c r="AH77" s="36">
        <f>IF(
    AND($H77 &gt; $BN$7, Tabella01MarzoInverter[[#This Row],[Active power TX2-INV-4]] &lt;= 0, Tabella01MarzoInverter[[#This Row],[Active power TX3-INV-1]] &lt;= 0),
    MIN(($H77 / 1000) * AH$10 * $BN$4, AH$11 * 0.876) * 0.25,
    IF(
        AND($H77 &gt; $BN$7, Tabella01MarzoInverter[[#This Row],[Active power TX2-INV-4]] &lt;= 0),
        Tabella01MarzoInverter[[#This Row],[Active power TX3-INV-1]] * 0.25,
        0
    )
    +
    IF(
        $N77 &lt; 0.875,
        MAX(0, MIN(($H77 / 1000) * AH$10 * $BN$4, AH$11 * 0.876) - (AH$11 * $N77)) * 0.25,
        0
    )
)</f>
        <v>0</v>
      </c>
      <c r="AI77" s="36">
        <f>IF(
    AND($H77 &gt; $BN$7, Tabella01MarzoInverter[[#This Row],[Active power TX2-INV-5]] &lt;= 0, Tabella01MarzoInverter[[#This Row],[Active power TX3-INV-2]] &lt;= 0),
    MIN(($H77 / 1000) * AI$10 * $BN$4, AI$11 * 0.876) * 0.25,
    IF(
        AND($H77 &gt; $BN$7, Tabella01MarzoInverter[[#This Row],[Active power TX2-INV-5]] &lt;= 0),
        Tabella01MarzoInverter[[#This Row],[Active power TX3-INV-2]] * 0.25,
        0
    )
    +
    IF(
        $N77 &lt; 0.875,
        MAX(0, MIN(($H77 / 1000) * AI$10 * $BN$4, AI$11 * 0.876) - (AI$11 * $N77)) * 0.25,
        0
    )
)</f>
        <v>0</v>
      </c>
      <c r="AJ77" s="36">
        <f>IF(
    AND($H77 &gt; $BN$7, Tabella01MarzoInverter[[#This Row],[Active power TX2-INV-6]] &lt;= 0, Tabella01MarzoInverter[[#This Row],[Active power TX3-INV-3]] &lt;= 0),
    MIN(($H77 / 1000) * AJ$10 * $BN$4, AJ$11 * 0.876) * 0.25,
    IF(
        AND($H77 &gt; $BN$7, Tabella01MarzoInverter[[#This Row],[Active power TX2-INV-6]] &lt;= 0),
        Tabella01MarzoInverter[[#This Row],[Active power TX3-INV-3]] * 0.25,
        0
    )
    +
    IF(
        $N77 &lt; 0.875,
        MAX(0, MIN(($H77 / 1000) * AJ$10 * $BN$4, AJ$11 * 0.876) - (AJ$11 * $N77)) * 0.25,
        0
    )
)</f>
        <v>0</v>
      </c>
      <c r="AK77" s="36">
        <f>IF(
    AND($H77 &gt; $BN$7, Tabella01MarzoInverter[[#This Row],[Active power TX2-INV-7]] &lt;= 0, Tabella01MarzoInverter[[#This Row],[Active power TX3-INV-4]] &lt;= 0),
    MIN(($H77 / 1000) * AK$10 * $BN$4, AK$11 * 0.876) * 0.25,
    IF(
        AND($H77 &gt; $BN$7, Tabella01MarzoInverter[[#This Row],[Active power TX2-INV-7]] &lt;= 0),
        Tabella01MarzoInverter[[#This Row],[Active power TX3-INV-4]] * 0.25,
        0
    )
    +
    IF(
        $N77 &lt; 0.875,
        MAX(0, MIN(($H77 / 1000) * AK$10 * $BN$4, AK$11 * 0.876) - (AK$11 * $N77)) * 0.25,
        0
    )
)</f>
        <v>0</v>
      </c>
      <c r="AL77" s="36">
        <f>IF(
    AND($H77 &gt; $BN$7, Tabella01MarzoInverter[[#This Row],[Active power TX2-INV-8]] &lt;= 0, Tabella01MarzoInverter[[#This Row],[Active power TX3-INV-5]] &lt;= 0),
    MIN(($H77 / 1000) * AL$10 * $BN$4, AL$11 * 0.876) * 0.25,
    IF(
        AND($H77 &gt; $BN$7, Tabella01MarzoInverter[[#This Row],[Active power TX2-INV-8]] &lt;= 0),
        Tabella01MarzoInverter[[#This Row],[Active power TX3-INV-5]] * 0.25,
        0
    )
    +
    IF(
        $N77 &lt; 0.875,
        MAX(0, MIN(($H77 / 1000) * AL$10 * $BN$4, AL$11 * 0.876) - (AL$11 * $N77)) * 0.25,
        0
    )
)</f>
        <v>0</v>
      </c>
      <c r="AM77" s="36">
        <f>IF(
    AND($H77 &gt; $BN$7, Tabella01MarzoInverter[[#This Row],[Active power TX2-INV-9]] &lt;= 0, Tabella01MarzoInverter[[#This Row],[Active power TX3-INV-6]] &lt;= 0),
    MIN(($H77 / 1000) * AM$10 * $BN$4, AM$11 * 0.876) * 0.25,
    IF(
        AND($H77 &gt; $BN$7, Tabella01MarzoInverter[[#This Row],[Active power TX2-INV-9]] &lt;= 0),
        Tabella01MarzoInverter[[#This Row],[Active power TX3-INV-6]] * 0.25,
        0
    )
    +
    IF(
        $N77 &lt; 0.875,
        MAX(0, MIN(($H77 / 1000) * AM$10 * $BN$4, AM$11 * 0.876) - (AM$11 * $N77)) * 0.25,
        0
    )
)</f>
        <v>0</v>
      </c>
      <c r="AN77" s="36">
        <f>IF(
    AND($H77 &gt; $BN$7, Tabella01MarzoInverter[[#This Row],[Active power TX2-INV-10]] &lt;= 0, Tabella01MarzoInverter[[#This Row],[Active power TX3-INV-7]] &lt;= 0),
    MIN(($H77 / 1000) * AN$10 * $BN$4, AN$11 * 0.876) * 0.25,
    IF(
        AND($H77 &gt; $BN$7, Tabella01MarzoInverter[[#This Row],[Active power TX2-INV-10]] &lt;= 0),
        Tabella01MarzoInverter[[#This Row],[Active power TX3-INV-7]] * 0.25,
        0
    )
    +
    IF(
        $N77 &lt; 0.875,
        MAX(0, MIN(($H77 / 1000) * AN$10 * $BN$4, AN$11 * 0.876) - (AN$11 * $N77)) * 0.25,
        0
    )
)</f>
        <v>0</v>
      </c>
      <c r="AO77" s="36">
        <f>IF(
    AND($H77 &gt; $BN$7, Tabella01MarzoInverter[[#This Row],[Active power TX2-INV-11]] &lt;= 0, Tabella01MarzoInverter[[#This Row],[Active power TX3-INV-8]] &lt;= 0),
    MIN(($H77 / 1000) * AO$10 * $BN$4, AO$11 * 0.876) * 0.25,
    IF(
        AND($H77 &gt; $BN$7, Tabella01MarzoInverter[[#This Row],[Active power TX2-INV-11]] &lt;= 0),
        Tabella01MarzoInverter[[#This Row],[Active power TX3-INV-8]] * 0.25,
        0
    )
    +
    IF(
        $N77 &lt; 0.875,
        MAX(0, MIN(($H77 / 1000) * AO$10 * $BN$4, AO$11 * 0.876) - (AO$11 * $N77)) * 0.25,
        0
    )
)</f>
        <v>0</v>
      </c>
      <c r="AP77" s="36">
        <f>IF(
    AND($H77 &gt; $BN$7, Tabella01MarzoInverter[[#This Row],[Active power TX2-INV-12]] &lt;= 0, Tabella01MarzoInverter[[#This Row],[Active power TX3-INV-9]] &lt;= 0),
    MIN(($H77 / 1000) * AP$10 * $BN$4, AP$11 * 0.876) * 0.25,
    IF(
        AND($H77 &gt; $BN$7, Tabella01MarzoInverter[[#This Row],[Active power TX2-INV-12]] &lt;= 0),
        Tabella01MarzoInverter[[#This Row],[Active power TX3-INV-9]] * 0.25,
        0
    )
    +
    IF(
        $N77 &lt; 0.875,
        MAX(0, MIN(($H77 / 1000) * AP$10 * $BN$4, AP$11 * 0.876) - (AP$11 * $N77)) * 0.25,
        0
    )
)</f>
        <v>0</v>
      </c>
      <c r="AQ77" s="8">
        <f>AVERAGE(TabellaMar2026[[#This Row],[Colonna39]:[Colonna6]])</f>
        <v>0</v>
      </c>
      <c r="AR77" s="8">
        <f>MAX(TabellaMar2026[[#This Row],[Colonna39]:[Colonna6]])</f>
        <v>0</v>
      </c>
      <c r="AS77" s="35">
        <f>MIN(TabellaMar2026[[#This Row],[Colonna39]:[Colonna6]])</f>
        <v>0</v>
      </c>
      <c r="AT77" s="48">
        <f>SUM(TabellaMar2026[[#This Row],[Colonna39]:[Colonna6]])</f>
        <v>0</v>
      </c>
      <c r="AU77" s="36" cm="1">
        <f t="array" ref="AU77">IF(
    AND($H77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($H77 / 1000) * AU$10 * $BN$4 * 0.25
    ),
    0
)
+
IF(
    $N77 &lt; 0.875,
    MAX(0, MIN(($H77 / 1000) * AU$10 * $BN$4, AU$11 * 0.876) - (AU$11 * $N77)) * 0.25,
    0
)</f>
        <v>0</v>
      </c>
      <c r="AV77" s="36" cm="1">
        <f t="array" ref="AV77">IF(
    AND($H77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($H77 / 1000) * AV$10 * $BN$4 * 0.25
    ),
    0
)
+
IF(
    $N77 &lt; 0.875,
    MAX(0, MIN(($H77 / 1000) * AV$10 * $BN$4, AV$11 * 0.876) - (AV$11 * $N77)) * 0.25,
    0
)</f>
        <v>0</v>
      </c>
      <c r="AW77" s="36" cm="1">
        <f t="array" ref="AW77">IF(
    AND($H77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($H77 / 1000) * AW$10 * $BN$4 * 0.25
    ),
    0
)
+
IF(
    $N77 &lt; 0.875,
    MAX(0, MIN(($H77 / 1000) * AW$10 * $BN$4, AW$11 * 0.876) - (AW$11 * $N77)) * 0.25,
    0
)</f>
        <v>0</v>
      </c>
      <c r="AX77" s="36" cm="1">
        <f t="array" ref="AX77">IF(
    AND($H77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($H77 / 1000) * AX$10 * $BN$4 * 0.25
    ),
    0
)
+
IF(
    $N77 &lt; 0.875,
    MAX(0, MIN(($H77 / 1000) * AX$10 * $BN$4, AX$11 * 0.876) - (AX$11 * $N77)) * 0.25,
    0
)</f>
        <v>0</v>
      </c>
      <c r="AY77" s="36" cm="1">
        <f t="array" ref="AY77">IF(
    AND($H77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($H77 / 1000) * AY$10 * $BN$4 * 0.25
    ),
    0
)
+
IF(
    $N77 &lt; 0.875,
    MAX(0, MIN(($H77 / 1000) * AY$10 * $BN$4, AY$11 * 0.876) - (AY$11 * $N77)) * 0.25,
    0
)</f>
        <v>0</v>
      </c>
      <c r="AZ77" s="36" cm="1">
        <f t="array" ref="AZ77">IF(
    AND($H77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($H77 / 1000) * AZ$10 * $BN$4 * 0.25
    ),
    0
)
+
IF(
    $N77 &lt; 0.875,
    MAX(0, MIN(($H77 / 1000) * AZ$10 * $BN$4, AZ$11 * 0.876) - (AZ$11 * $N77)) * 0.25,
    0
)</f>
        <v>0</v>
      </c>
      <c r="BA77" s="36" cm="1">
        <f t="array" ref="BA77">IF(
    AND($H77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($H77 / 1000) * BA$10 * $BN$4 * 0.25
    ),
    0
)
+
IF(
    $N77 &lt; 0.875,
    MAX(0, MIN(($H77 / 1000) * BA$10 * $BN$4, BA$11 * 0.876) - (BA$11 * $N77)) * 0.25,
    0
)</f>
        <v>0</v>
      </c>
      <c r="BB77" s="36" cm="1">
        <f t="array" ref="BB77">IF(
    AND($H77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($H77 / 1000) * BB$10 * $BN$4 * 0.25
    ),
    0
)
+
IF(
    $N77 &lt; 0.875,
    MAX(0, MIN(($H77 / 1000) * BB$10 * $BN$4, BB$11 * 0.876) - (BB$11 * $N77)) * 0.25,
    0
)</f>
        <v>0</v>
      </c>
      <c r="BC77" s="36" cm="1">
        <f t="array" ref="BC77">IF(
    AND($H77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($H77 / 1000) * BC$10 * $BN$4 * 0.25
    ),
    0
)
+
IF(
    $N77 &lt; 0.875,
    MAX(0, MIN(($H77 / 1000) * BC$10 * $BN$4, BC$11 * 0.876) - (BC$11 * $N77)) * 0.25,
    0
)</f>
        <v>0</v>
      </c>
      <c r="BD77" s="36" cm="1">
        <f t="array" ref="BD77">IF(
    AND($H77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($H77 / 1000) * BD$10 * $BN$4 * 0.25
    ),
    0
)
+
IF(
    $N77 &lt; 0.875,
    MAX(0, MIN(($H77 / 1000) * BD$10 * $BN$4, BD$11 * 0.876) - (BD$11 * $N77)) * 0.25,
    0
)</f>
        <v>0</v>
      </c>
      <c r="BE77" s="36" cm="1">
        <f t="array" ref="BE77">IF(
    AND($H77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($H77 / 1000) * BE$10 * $BN$4 * 0.25
    ),
    0
)
+
IF(
    $N77 &lt; 0.875,
    MAX(0, MIN(($H77 / 1000) * BE$10 * $BN$4, BE$11 * 0.876) - (BE$11 * $N77)) * 0.25,
    0
)</f>
        <v>0</v>
      </c>
      <c r="BF77" s="36" cm="1">
        <f t="array" ref="BF77">IF(
    AND($H77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($H77 / 1000) * BF$10 * $BN$4 * 0.25
    ),
    0
)
+
IF(
    $N77 &lt; 0.875,
    MAX(0, MIN(($H77 / 1000) * BF$10 * $BN$4, BF$11 * 0.876) - (BF$11 * $N77)) * 0.25,
    0
)</f>
        <v>0</v>
      </c>
      <c r="BG77" s="8">
        <f>AVERAGE(TabellaMar2026[[#This Row],[Colonna55]:[Colonna53]])</f>
        <v>0</v>
      </c>
      <c r="BH77" s="8">
        <f>MAX(TabellaMar2026[[#This Row],[Colonna55]:[Colonna53]])</f>
        <v>0</v>
      </c>
      <c r="BI77" s="35">
        <f>MIN(TabellaMar2026[[#This Row],[Colonna55]:[Colonna53]])</f>
        <v>0</v>
      </c>
      <c r="BJ77" s="48">
        <f>SUM(TabellaMar2026[[#This Row],[Colonna54]:[Colonna53]])</f>
        <v>0</v>
      </c>
      <c r="BK77" s="54">
        <f>(SUM(Tabella01MarzoInverter[[Active power TX1-INV-1]:[Active power TX3-INV-12]]) * 0.25) / (12625 * (SUM($G$15:$H$110) * 0.25 / 1000))</f>
        <v>1.014229628761051</v>
      </c>
      <c r="BL77" s="5"/>
      <c r="BM77" s="5"/>
      <c r="BN77" s="5"/>
      <c r="BO77" s="8"/>
      <c r="BP77" s="19"/>
    </row>
    <row r="78" spans="1:68" x14ac:dyDescent="0.25">
      <c r="A78" s="18">
        <v>46147</v>
      </c>
      <c r="B78" t="s">
        <v>78</v>
      </c>
      <c r="C78" s="5">
        <v>944.5</v>
      </c>
      <c r="D78" s="6">
        <v>0.236125</v>
      </c>
      <c r="E78" s="6">
        <v>921.5</v>
      </c>
      <c r="F78" s="6">
        <v>0.230375</v>
      </c>
      <c r="G78" s="6">
        <f>IFERROR((D78+F78)/2, 0)</f>
        <v>0.23325000000000001</v>
      </c>
      <c r="H78" s="7">
        <f>IFERROR(IF(AVERAGE(C78,E78)&gt;$BN$7,AVERAGE(C78,E78),0), 0)</f>
        <v>933</v>
      </c>
      <c r="I78" s="7">
        <f>IFERROR(IF(AND(D78=0,F78=0),0,IF(H78&gt;$BN$6,MAX(D78,F78),G78)), 0)</f>
        <v>0.236125</v>
      </c>
      <c r="J78" s="6">
        <f>IFERROR(IF(AND(D78&gt;0,F78&gt;0),ABS(D78-F78)/AVERAGE(D78,F78),0), 0)</f>
        <v>2.465166130760988E-2</v>
      </c>
      <c r="K78" s="6">
        <v>30446.9</v>
      </c>
      <c r="L78" s="6">
        <v>30449.3</v>
      </c>
      <c r="M78" s="8">
        <f>IFERROR((L78-K78)*1000, 0)</f>
        <v>2399.9999999978172</v>
      </c>
      <c r="N78" s="6">
        <v>0.87599999999999989</v>
      </c>
      <c r="O78" s="8" cm="1">
        <f t="array" ref="O78">IF(
    AND($H78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($H78 / 1000) * O$10 * $BN$4 * 0.25
    ),
    0
)
+
IF(
    $N78 &lt; 0.875,
    MAX(0, MIN(($H78 / 1000) * O$10 * $BN$4, O$11 * 0.876) - (O$11 * $N78)) * 0.25,
    0
)</f>
        <v>0</v>
      </c>
      <c r="P78" s="8" cm="1">
        <f t="array" ref="P78">IF(
    AND($H78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($H78 / 1000) * P$10 * $BN$4 * 0.25
    ),
    0
)
+
IF(
    $N78 &lt; 0.875,
    MAX(0, MIN(($H78 / 1000) * P$10 * $BN$4, P$11 * 0.876) - (P$11 * $N78)) * 0.25,
    0
)</f>
        <v>0</v>
      </c>
      <c r="Q78" s="8" cm="1">
        <f t="array" ref="Q78">IF(
    AND($H78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($H78 / 1000) * Q$10 * $BN$4 * 0.25
    ),
    0
)
+
IF(
    $N78 &lt; 0.875,
    MAX(0, MIN(($H78 / 1000) * Q$10 * $BN$4, Q$11 * 0.876) - (Q$11 * $N78)) * 0.25,
    0
)</f>
        <v>0</v>
      </c>
      <c r="R78" s="8" cm="1">
        <f t="array" ref="R78">IF(
    AND($H78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($H78 / 1000) * R$10 * $BN$4 * 0.25
    ),
    0
)
+
IF(
    $N78 &lt; 0.875,
    MAX(0, MIN(($H78 / 1000) * R$10 * $BN$4, R$11 * 0.876) - (R$11 * $N78)) * 0.25,
    0
)</f>
        <v>0</v>
      </c>
      <c r="S78" s="8" cm="1">
        <f t="array" ref="S78">IF(
    AND($H78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($H78 / 1000) * S$10 * $BN$4 * 0.25
    ),
    0
)
+
IF(
    $N78 &lt; 0.875,
    MAX(0, MIN(($H78 / 1000) * S$10 * $BN$4, S$11 * 0.876) - (S$11 * $N78)) * 0.25,
    0
)</f>
        <v>0</v>
      </c>
      <c r="T78" s="8" cm="1">
        <f t="array" ref="T78">IF(
    AND($H78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($H78 / 1000) * T$10 * $BN$4 * 0.25
    ),
    0
)
+
IF(
    $N78 &lt; 0.875,
    MAX(0, MIN(($H78 / 1000) * T$10 * $BN$4, T$11 * 0.876) - (T$11 * $N78)) * 0.25,
    0
)</f>
        <v>0</v>
      </c>
      <c r="U78" s="8" cm="1">
        <f t="array" ref="U78">IF(
    AND($H78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($H78 / 1000) * U$10 * $BN$4 * 0.25
    ),
    0
)
+
IF(
    $N78 &lt; 0.875,
    MAX(0, MIN(($H78 / 1000) * U$10 * $BN$4, U$11 * 0.876) - (U$11 * $N78)) * 0.25,
    0
)</f>
        <v>0</v>
      </c>
      <c r="V78" s="8" cm="1">
        <f t="array" ref="V78">IF(
    AND($H78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($H78 / 1000) * V$10 * $BN$4 * 0.25
    ),
    0
)
+
IF(
    $N78 &lt; 0.875,
    MAX(0, MIN(($H78 / 1000) * V$10 * $BN$4, V$11 * 0.876) - (V$11 * $N78)) * 0.25,
    0
)</f>
        <v>0</v>
      </c>
      <c r="W78" s="8" cm="1">
        <f t="array" ref="W78">IF(
    AND($H78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($H78 / 1000) * W$10 * $BN$4 * 0.25
    ),
    0
)
+
IF(
    $N78 &lt; 0.875,
    MAX(0, MIN(($H78 / 1000) * W$10 * $BN$4, W$11 * 0.876) - (W$11 * $N78)) * 0.25,
    0
)</f>
        <v>0</v>
      </c>
      <c r="X78" s="8" cm="1">
        <f t="array" ref="X78">IF(
    AND($H78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($H78 / 1000) * X$10 * $BN$4 * 0.25
    ),
    0
)
+
IF(
    $N78 &lt; 0.875,
    MAX(0, MIN(($H78 / 1000) * X$10 * $BN$4, X$11 * 0.876) - (X$11 * $N78)) * 0.25,
    0
)</f>
        <v>0</v>
      </c>
      <c r="Y78" s="8" cm="1">
        <f t="array" ref="Y78">IF(
    AND($H78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($H78 / 1000) * Y$10 * $BN$4 * 0.25
    ),
    0
)
+
IF(
    $N78 &lt; 0.875,
    MAX(0, MIN(($H78 / 1000) * Y$10 * $BN$4, Y$11 * 0.876) - (Y$11 * $N78)) * 0.25,
    0
)</f>
        <v>0</v>
      </c>
      <c r="Z78" s="8" cm="1">
        <f t="array" ref="Z78">IF(
    AND($H78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($H78 / 1000) * Z$10 * $BN$4 * 0.25
    ),
    0
)
+
IF(
    $N78 &lt; 0.875,
    MAX(0, MIN(($H78 / 1000) * Z$10 * $BN$4, Z$11 * 0.876) - (Z$11 * $N78)) * 0.25,
    0
)</f>
        <v>0</v>
      </c>
      <c r="AA78" s="8">
        <f>AVERAGE(TabellaMar2026[[#This Row],[Colonna24]:[Colonna20]])</f>
        <v>0</v>
      </c>
      <c r="AB78" s="8">
        <f>MAX(TabellaMar2026[[#This Row],[Colonna24]:[Colonna20]])</f>
        <v>0</v>
      </c>
      <c r="AC78" s="35">
        <f>MIN(TabellaMar2026[[#This Row],[Colonna24]:[Colonna20]])</f>
        <v>0</v>
      </c>
      <c r="AD78" s="44">
        <f>SUM(TabellaMar2026[[#This Row],[Colonna24]:[Colonna20]])</f>
        <v>0</v>
      </c>
      <c r="AE78" s="36">
        <f>IF(
    AND($H78 &gt; $BN$7, Tabella01MarzoInverter[[#This Row],[Active power TX2-INV-1]] &lt;= 0, Tabella01MarzoInverter[[#This Row],[TX2 - Average Power]] &lt;= 0),
    MIN(($H78 / 1000) * AE$10 * $BN$4, AE$11 * 0.876) * 0.25,
    IF(
        AND($H78 &gt; $BN$7, Tabella01MarzoInverter[[#This Row],[Active power TX2-INV-1]] &lt;= 0),
        Tabella01MarzoInverter[[#This Row],[TX2 - Average Power]] * 0.25,
        0
    )
    +
    IF(
        $N78 &lt; 0.875,
        MAX(0, MIN(($H78 / 1000) * AE$10 * $BN$4, AE$11 * 0.876) - (AE$11 * $N78)) * 0.25,
        0
    )
)</f>
        <v>0</v>
      </c>
      <c r="AF78" s="36">
        <f>IF(
    AND($H78 &gt; $BN$7, Tabella01MarzoInverter[[#This Row],[Active power TX2-INV-2]] &lt;= 0, Tabella01MarzoInverter[[#This Row],[TX2 - Max Power]] &lt;= 0),
    MIN(($H78 / 1000) * AF$10 * $BN$4, AF$11 * 0.876) * 0.25,
    IF(
        AND($H78 &gt; $BN$7, Tabella01MarzoInverter[[#This Row],[Active power TX2-INV-2]] &lt;= 0),
        Tabella01MarzoInverter[[#This Row],[TX2 - Max Power]] * 0.25,
        0
    )
    +
    IF(
        $N78 &lt; 0.875,
        MAX(0, MIN(($H78 / 1000) * AF$10 * $BN$4, AF$11 * 0.876) - (AF$11 * $N78)) * 0.25,
        0
    )
)</f>
        <v>0</v>
      </c>
      <c r="AG78" s="36">
        <f>IF(
    AND($H78 &gt; $BN$7, Tabella01MarzoInverter[[#This Row],[Active power TX2-INV-3]] &lt;= 0, Tabella01MarzoInverter[[#This Row],[TX2 - Min Power]] &lt;= 0),
    MIN(($H78 / 1000) * AG$10 * $BN$4, AG$11 * 0.876) * 0.25,
    IF(
        AND($H78 &gt; $BN$7, Tabella01MarzoInverter[[#This Row],[Active power TX2-INV-3]] &lt;= 0),
        Tabella01MarzoInverter[[#This Row],[TX2 - Min Power]] * 0.25,
        0
    )
    +
    IF(
        $N78 &lt; 0.875,
        MAX(0, MIN(($H78 / 1000) * AG$10 * $BN$4, AG$11 * 0.876) - (AG$11 * $N78)) * 0.25,
        0
    )
)</f>
        <v>0</v>
      </c>
      <c r="AH78" s="36">
        <f>IF(
    AND($H78 &gt; $BN$7, Tabella01MarzoInverter[[#This Row],[Active power TX2-INV-4]] &lt;= 0, Tabella01MarzoInverter[[#This Row],[Active power TX3-INV-1]] &lt;= 0),
    MIN(($H78 / 1000) * AH$10 * $BN$4, AH$11 * 0.876) * 0.25,
    IF(
        AND($H78 &gt; $BN$7, Tabella01MarzoInverter[[#This Row],[Active power TX2-INV-4]] &lt;= 0),
        Tabella01MarzoInverter[[#This Row],[Active power TX3-INV-1]] * 0.25,
        0
    )
    +
    IF(
        $N78 &lt; 0.875,
        MAX(0, MIN(($H78 / 1000) * AH$10 * $BN$4, AH$11 * 0.876) - (AH$11 * $N78)) * 0.25,
        0
    )
)</f>
        <v>0</v>
      </c>
      <c r="AI78" s="36">
        <f>IF(
    AND($H78 &gt; $BN$7, Tabella01MarzoInverter[[#This Row],[Active power TX2-INV-5]] &lt;= 0, Tabella01MarzoInverter[[#This Row],[Active power TX3-INV-2]] &lt;= 0),
    MIN(($H78 / 1000) * AI$10 * $BN$4, AI$11 * 0.876) * 0.25,
    IF(
        AND($H78 &gt; $BN$7, Tabella01MarzoInverter[[#This Row],[Active power TX2-INV-5]] &lt;= 0),
        Tabella01MarzoInverter[[#This Row],[Active power TX3-INV-2]] * 0.25,
        0
    )
    +
    IF(
        $N78 &lt; 0.875,
        MAX(0, MIN(($H78 / 1000) * AI$10 * $BN$4, AI$11 * 0.876) - (AI$11 * $N78)) * 0.25,
        0
    )
)</f>
        <v>0</v>
      </c>
      <c r="AJ78" s="36">
        <f>IF(
    AND($H78 &gt; $BN$7, Tabella01MarzoInverter[[#This Row],[Active power TX2-INV-6]] &lt;= 0, Tabella01MarzoInverter[[#This Row],[Active power TX3-INV-3]] &lt;= 0),
    MIN(($H78 / 1000) * AJ$10 * $BN$4, AJ$11 * 0.876) * 0.25,
    IF(
        AND($H78 &gt; $BN$7, Tabella01MarzoInverter[[#This Row],[Active power TX2-INV-6]] &lt;= 0),
        Tabella01MarzoInverter[[#This Row],[Active power TX3-INV-3]] * 0.25,
        0
    )
    +
    IF(
        $N78 &lt; 0.875,
        MAX(0, MIN(($H78 / 1000) * AJ$10 * $BN$4, AJ$11 * 0.876) - (AJ$11 * $N78)) * 0.25,
        0
    )
)</f>
        <v>0</v>
      </c>
      <c r="AK78" s="36">
        <f>IF(
    AND($H78 &gt; $BN$7, Tabella01MarzoInverter[[#This Row],[Active power TX2-INV-7]] &lt;= 0, Tabella01MarzoInverter[[#This Row],[Active power TX3-INV-4]] &lt;= 0),
    MIN(($H78 / 1000) * AK$10 * $BN$4, AK$11 * 0.876) * 0.25,
    IF(
        AND($H78 &gt; $BN$7, Tabella01MarzoInverter[[#This Row],[Active power TX2-INV-7]] &lt;= 0),
        Tabella01MarzoInverter[[#This Row],[Active power TX3-INV-4]] * 0.25,
        0
    )
    +
    IF(
        $N78 &lt; 0.875,
        MAX(0, MIN(($H78 / 1000) * AK$10 * $BN$4, AK$11 * 0.876) - (AK$11 * $N78)) * 0.25,
        0
    )
)</f>
        <v>0</v>
      </c>
      <c r="AL78" s="36">
        <f>IF(
    AND($H78 &gt; $BN$7, Tabella01MarzoInverter[[#This Row],[Active power TX2-INV-8]] &lt;= 0, Tabella01MarzoInverter[[#This Row],[Active power TX3-INV-5]] &lt;= 0),
    MIN(($H78 / 1000) * AL$10 * $BN$4, AL$11 * 0.876) * 0.25,
    IF(
        AND($H78 &gt; $BN$7, Tabella01MarzoInverter[[#This Row],[Active power TX2-INV-8]] &lt;= 0),
        Tabella01MarzoInverter[[#This Row],[Active power TX3-INV-5]] * 0.25,
        0
    )
    +
    IF(
        $N78 &lt; 0.875,
        MAX(0, MIN(($H78 / 1000) * AL$10 * $BN$4, AL$11 * 0.876) - (AL$11 * $N78)) * 0.25,
        0
    )
)</f>
        <v>0</v>
      </c>
      <c r="AM78" s="36">
        <f>IF(
    AND($H78 &gt; $BN$7, Tabella01MarzoInverter[[#This Row],[Active power TX2-INV-9]] &lt;= 0, Tabella01MarzoInverter[[#This Row],[Active power TX3-INV-6]] &lt;= 0),
    MIN(($H78 / 1000) * AM$10 * $BN$4, AM$11 * 0.876) * 0.25,
    IF(
        AND($H78 &gt; $BN$7, Tabella01MarzoInverter[[#This Row],[Active power TX2-INV-9]] &lt;= 0),
        Tabella01MarzoInverter[[#This Row],[Active power TX3-INV-6]] * 0.25,
        0
    )
    +
    IF(
        $N78 &lt; 0.875,
        MAX(0, MIN(($H78 / 1000) * AM$10 * $BN$4, AM$11 * 0.876) - (AM$11 * $N78)) * 0.25,
        0
    )
)</f>
        <v>0</v>
      </c>
      <c r="AN78" s="36">
        <f>IF(
    AND($H78 &gt; $BN$7, Tabella01MarzoInverter[[#This Row],[Active power TX2-INV-10]] &lt;= 0, Tabella01MarzoInverter[[#This Row],[Active power TX3-INV-7]] &lt;= 0),
    MIN(($H78 / 1000) * AN$10 * $BN$4, AN$11 * 0.876) * 0.25,
    IF(
        AND($H78 &gt; $BN$7, Tabella01MarzoInverter[[#This Row],[Active power TX2-INV-10]] &lt;= 0),
        Tabella01MarzoInverter[[#This Row],[Active power TX3-INV-7]] * 0.25,
        0
    )
    +
    IF(
        $N78 &lt; 0.875,
        MAX(0, MIN(($H78 / 1000) * AN$10 * $BN$4, AN$11 * 0.876) - (AN$11 * $N78)) * 0.25,
        0
    )
)</f>
        <v>0</v>
      </c>
      <c r="AO78" s="36">
        <f>IF(
    AND($H78 &gt; $BN$7, Tabella01MarzoInverter[[#This Row],[Active power TX2-INV-11]] &lt;= 0, Tabella01MarzoInverter[[#This Row],[Active power TX3-INV-8]] &lt;= 0),
    MIN(($H78 / 1000) * AO$10 * $BN$4, AO$11 * 0.876) * 0.25,
    IF(
        AND($H78 &gt; $BN$7, Tabella01MarzoInverter[[#This Row],[Active power TX2-INV-11]] &lt;= 0),
        Tabella01MarzoInverter[[#This Row],[Active power TX3-INV-8]] * 0.25,
        0
    )
    +
    IF(
        $N78 &lt; 0.875,
        MAX(0, MIN(($H78 / 1000) * AO$10 * $BN$4, AO$11 * 0.876) - (AO$11 * $N78)) * 0.25,
        0
    )
)</f>
        <v>0</v>
      </c>
      <c r="AP78" s="36">
        <f>IF(
    AND($H78 &gt; $BN$7, Tabella01MarzoInverter[[#This Row],[Active power TX2-INV-12]] &lt;= 0, Tabella01MarzoInverter[[#This Row],[Active power TX3-INV-9]] &lt;= 0),
    MIN(($H78 / 1000) * AP$10 * $BN$4, AP$11 * 0.876) * 0.25,
    IF(
        AND($H78 &gt; $BN$7, Tabella01MarzoInverter[[#This Row],[Active power TX2-INV-12]] &lt;= 0),
        Tabella01MarzoInverter[[#This Row],[Active power TX3-INV-9]] * 0.25,
        0
    )
    +
    IF(
        $N78 &lt; 0.875,
        MAX(0, MIN(($H78 / 1000) * AP$10 * $BN$4, AP$11 * 0.876) - (AP$11 * $N78)) * 0.25,
        0
    )
)</f>
        <v>0</v>
      </c>
      <c r="AQ78" s="8">
        <f>AVERAGE(TabellaMar2026[[#This Row],[Colonna39]:[Colonna6]])</f>
        <v>0</v>
      </c>
      <c r="AR78" s="8">
        <f>MAX(TabellaMar2026[[#This Row],[Colonna39]:[Colonna6]])</f>
        <v>0</v>
      </c>
      <c r="AS78" s="35">
        <f>MIN(TabellaMar2026[[#This Row],[Colonna39]:[Colonna6]])</f>
        <v>0</v>
      </c>
      <c r="AT78" s="48">
        <f>SUM(TabellaMar2026[[#This Row],[Colonna39]:[Colonna6]])</f>
        <v>0</v>
      </c>
      <c r="AU78" s="36" cm="1">
        <f t="array" ref="AU78">IF(
    AND($H78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($H78 / 1000) * AU$10 * $BN$4 * 0.25
    ),
    0
)
+
IF(
    $N78 &lt; 0.875,
    MAX(0, MIN(($H78 / 1000) * AU$10 * $BN$4, AU$11 * 0.876) - (AU$11 * $N78)) * 0.25,
    0
)</f>
        <v>0</v>
      </c>
      <c r="AV78" s="36" cm="1">
        <f t="array" ref="AV78">IF(
    AND($H78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($H78 / 1000) * AV$10 * $BN$4 * 0.25
    ),
    0
)
+
IF(
    $N78 &lt; 0.875,
    MAX(0, MIN(($H78 / 1000) * AV$10 * $BN$4, AV$11 * 0.876) - (AV$11 * $N78)) * 0.25,
    0
)</f>
        <v>0</v>
      </c>
      <c r="AW78" s="36" cm="1">
        <f t="array" ref="AW78">IF(
    AND($H78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($H78 / 1000) * AW$10 * $BN$4 * 0.25
    ),
    0
)
+
IF(
    $N78 &lt; 0.875,
    MAX(0, MIN(($H78 / 1000) * AW$10 * $BN$4, AW$11 * 0.876) - (AW$11 * $N78)) * 0.25,
    0
)</f>
        <v>0</v>
      </c>
      <c r="AX78" s="36" cm="1">
        <f t="array" ref="AX78">IF(
    AND($H78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($H78 / 1000) * AX$10 * $BN$4 * 0.25
    ),
    0
)
+
IF(
    $N78 &lt; 0.875,
    MAX(0, MIN(($H78 / 1000) * AX$10 * $BN$4, AX$11 * 0.876) - (AX$11 * $N78)) * 0.25,
    0
)</f>
        <v>0</v>
      </c>
      <c r="AY78" s="36" cm="1">
        <f t="array" ref="AY78">IF(
    AND($H78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($H78 / 1000) * AY$10 * $BN$4 * 0.25
    ),
    0
)
+
IF(
    $N78 &lt; 0.875,
    MAX(0, MIN(($H78 / 1000) * AY$10 * $BN$4, AY$11 * 0.876) - (AY$11 * $N78)) * 0.25,
    0
)</f>
        <v>0</v>
      </c>
      <c r="AZ78" s="36" cm="1">
        <f t="array" ref="AZ78">IF(
    AND($H78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($H78 / 1000) * AZ$10 * $BN$4 * 0.25
    ),
    0
)
+
IF(
    $N78 &lt; 0.875,
    MAX(0, MIN(($H78 / 1000) * AZ$10 * $BN$4, AZ$11 * 0.876) - (AZ$11 * $N78)) * 0.25,
    0
)</f>
        <v>0</v>
      </c>
      <c r="BA78" s="36" cm="1">
        <f t="array" ref="BA78">IF(
    AND($H78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($H78 / 1000) * BA$10 * $BN$4 * 0.25
    ),
    0
)
+
IF(
    $N78 &lt; 0.875,
    MAX(0, MIN(($H78 / 1000) * BA$10 * $BN$4, BA$11 * 0.876) - (BA$11 * $N78)) * 0.25,
    0
)</f>
        <v>0</v>
      </c>
      <c r="BB78" s="36" cm="1">
        <f t="array" ref="BB78">IF(
    AND($H78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($H78 / 1000) * BB$10 * $BN$4 * 0.25
    ),
    0
)
+
IF(
    $N78 &lt; 0.875,
    MAX(0, MIN(($H78 / 1000) * BB$10 * $BN$4, BB$11 * 0.876) - (BB$11 * $N78)) * 0.25,
    0
)</f>
        <v>0</v>
      </c>
      <c r="BC78" s="36" cm="1">
        <f t="array" ref="BC78">IF(
    AND($H78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($H78 / 1000) * BC$10 * $BN$4 * 0.25
    ),
    0
)
+
IF(
    $N78 &lt; 0.875,
    MAX(0, MIN(($H78 / 1000) * BC$10 * $BN$4, BC$11 * 0.876) - (BC$11 * $N78)) * 0.25,
    0
)</f>
        <v>0</v>
      </c>
      <c r="BD78" s="36" cm="1">
        <f t="array" ref="BD78">IF(
    AND($H78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($H78 / 1000) * BD$10 * $BN$4 * 0.25
    ),
    0
)
+
IF(
    $N78 &lt; 0.875,
    MAX(0, MIN(($H78 / 1000) * BD$10 * $BN$4, BD$11 * 0.876) - (BD$11 * $N78)) * 0.25,
    0
)</f>
        <v>0</v>
      </c>
      <c r="BE78" s="36" cm="1">
        <f t="array" ref="BE78">IF(
    AND($H78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($H78 / 1000) * BE$10 * $BN$4 * 0.25
    ),
    0
)
+
IF(
    $N78 &lt; 0.875,
    MAX(0, MIN(($H78 / 1000) * BE$10 * $BN$4, BE$11 * 0.876) - (BE$11 * $N78)) * 0.25,
    0
)</f>
        <v>0</v>
      </c>
      <c r="BF78" s="36" cm="1">
        <f t="array" ref="BF78">IF(
    AND($H78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($H78 / 1000) * BF$10 * $BN$4 * 0.25
    ),
    0
)
+
IF(
    $N78 &lt; 0.875,
    MAX(0, MIN(($H78 / 1000) * BF$10 * $BN$4, BF$11 * 0.876) - (BF$11 * $N78)) * 0.25,
    0
)</f>
        <v>0</v>
      </c>
      <c r="BG78" s="8">
        <f>AVERAGE(TabellaMar2026[[#This Row],[Colonna55]:[Colonna53]])</f>
        <v>0</v>
      </c>
      <c r="BH78" s="8">
        <f>MAX(TabellaMar2026[[#This Row],[Colonna55]:[Colonna53]])</f>
        <v>0</v>
      </c>
      <c r="BI78" s="35">
        <f>MIN(TabellaMar2026[[#This Row],[Colonna55]:[Colonna53]])</f>
        <v>0</v>
      </c>
      <c r="BJ78" s="48">
        <f>SUM(TabellaMar2026[[#This Row],[Colonna54]:[Colonna53]])</f>
        <v>0</v>
      </c>
      <c r="BK78" s="54">
        <f>(SUM(Tabella01MarzoInverter[[Active power TX1-INV-1]:[Active power TX3-INV-12]]) * 0.25) / (12625 * (SUM($G$15:$H$110) * 0.25 / 1000))</f>
        <v>1.014229628761051</v>
      </c>
      <c r="BL78" s="5"/>
      <c r="BM78" s="5"/>
      <c r="BN78" s="5"/>
      <c r="BO78" s="8"/>
      <c r="BP78" s="19"/>
    </row>
    <row r="79" spans="1:68" x14ac:dyDescent="0.25">
      <c r="A79" s="18">
        <v>46147</v>
      </c>
      <c r="B79" t="s">
        <v>79</v>
      </c>
      <c r="C79" s="5">
        <v>936.7</v>
      </c>
      <c r="D79" s="6">
        <v>0.23417500000000002</v>
      </c>
      <c r="E79" s="6">
        <v>914.3</v>
      </c>
      <c r="F79" s="6">
        <v>0.228575</v>
      </c>
      <c r="G79" s="6">
        <f>IFERROR((D79+F79)/2, 0)</f>
        <v>0.231375</v>
      </c>
      <c r="H79" s="7">
        <f>IFERROR(IF(AVERAGE(C79,E79)&gt;$BN$7,AVERAGE(C79,E79),0), 0)</f>
        <v>925.5</v>
      </c>
      <c r="I79" s="7">
        <f>IFERROR(IF(AND(D79=0,F79=0),0,IF(H79&gt;$BN$6,MAX(D79,F79),G79)), 0)</f>
        <v>0.23417500000000002</v>
      </c>
      <c r="J79" s="6">
        <f>IFERROR(IF(AND(D79&gt;0,F79&gt;0),ABS(D79-F79)/AVERAGE(D79,F79),0), 0)</f>
        <v>2.420313344138313E-2</v>
      </c>
      <c r="K79" s="6">
        <v>30449.3</v>
      </c>
      <c r="L79" s="6">
        <v>30451.8</v>
      </c>
      <c r="M79" s="8">
        <f>IFERROR((L79-K79)*1000, 0)</f>
        <v>2500</v>
      </c>
      <c r="N79" s="6">
        <v>0.87599999999999989</v>
      </c>
      <c r="O79" s="8" cm="1">
        <f t="array" ref="O79">IF(
    AND($H79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($H79 / 1000) * O$10 * $BN$4 * 0.25
    ),
    0
)
+
IF(
    $N79 &lt; 0.875,
    MAX(0, MIN(($H79 / 1000) * O$10 * $BN$4, O$11 * 0.876) - (O$11 * $N79)) * 0.25,
    0
)</f>
        <v>0</v>
      </c>
      <c r="P79" s="8" cm="1">
        <f t="array" ref="P79">IF(
    AND($H79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($H79 / 1000) * P$10 * $BN$4 * 0.25
    ),
    0
)
+
IF(
    $N79 &lt; 0.875,
    MAX(0, MIN(($H79 / 1000) * P$10 * $BN$4, P$11 * 0.876) - (P$11 * $N79)) * 0.25,
    0
)</f>
        <v>0</v>
      </c>
      <c r="Q79" s="8" cm="1">
        <f t="array" ref="Q79">IF(
    AND($H79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($H79 / 1000) * Q$10 * $BN$4 * 0.25
    ),
    0
)
+
IF(
    $N79 &lt; 0.875,
    MAX(0, MIN(($H79 / 1000) * Q$10 * $BN$4, Q$11 * 0.876) - (Q$11 * $N79)) * 0.25,
    0
)</f>
        <v>0</v>
      </c>
      <c r="R79" s="8" cm="1">
        <f t="array" ref="R79">IF(
    AND($H79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($H79 / 1000) * R$10 * $BN$4 * 0.25
    ),
    0
)
+
IF(
    $N79 &lt; 0.875,
    MAX(0, MIN(($H79 / 1000) * R$10 * $BN$4, R$11 * 0.876) - (R$11 * $N79)) * 0.25,
    0
)</f>
        <v>0</v>
      </c>
      <c r="S79" s="8" cm="1">
        <f t="array" ref="S79">IF(
    AND($H79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($H79 / 1000) * S$10 * $BN$4 * 0.25
    ),
    0
)
+
IF(
    $N79 &lt; 0.875,
    MAX(0, MIN(($H79 / 1000) * S$10 * $BN$4, S$11 * 0.876) - (S$11 * $N79)) * 0.25,
    0
)</f>
        <v>0</v>
      </c>
      <c r="T79" s="8" cm="1">
        <f t="array" ref="T79">IF(
    AND($H79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($H79 / 1000) * T$10 * $BN$4 * 0.25
    ),
    0
)
+
IF(
    $N79 &lt; 0.875,
    MAX(0, MIN(($H79 / 1000) * T$10 * $BN$4, T$11 * 0.876) - (T$11 * $N79)) * 0.25,
    0
)</f>
        <v>0</v>
      </c>
      <c r="U79" s="8" cm="1">
        <f t="array" ref="U79">IF(
    AND($H79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($H79 / 1000) * U$10 * $BN$4 * 0.25
    ),
    0
)
+
IF(
    $N79 &lt; 0.875,
    MAX(0, MIN(($H79 / 1000) * U$10 * $BN$4, U$11 * 0.876) - (U$11 * $N79)) * 0.25,
    0
)</f>
        <v>0</v>
      </c>
      <c r="V79" s="8" cm="1">
        <f t="array" ref="V79">IF(
    AND($H79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($H79 / 1000) * V$10 * $BN$4 * 0.25
    ),
    0
)
+
IF(
    $N79 &lt; 0.875,
    MAX(0, MIN(($H79 / 1000) * V$10 * $BN$4, V$11 * 0.876) - (V$11 * $N79)) * 0.25,
    0
)</f>
        <v>0</v>
      </c>
      <c r="W79" s="8" cm="1">
        <f t="array" ref="W79">IF(
    AND($H79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($H79 / 1000) * W$10 * $BN$4 * 0.25
    ),
    0
)
+
IF(
    $N79 &lt; 0.875,
    MAX(0, MIN(($H79 / 1000) * W$10 * $BN$4, W$11 * 0.876) - (W$11 * $N79)) * 0.25,
    0
)</f>
        <v>0</v>
      </c>
      <c r="X79" s="8" cm="1">
        <f t="array" ref="X79">IF(
    AND($H79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($H79 / 1000) * X$10 * $BN$4 * 0.25
    ),
    0
)
+
IF(
    $N79 &lt; 0.875,
    MAX(0, MIN(($H79 / 1000) * X$10 * $BN$4, X$11 * 0.876) - (X$11 * $N79)) * 0.25,
    0
)</f>
        <v>0</v>
      </c>
      <c r="Y79" s="8" cm="1">
        <f t="array" ref="Y79">IF(
    AND($H79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($H79 / 1000) * Y$10 * $BN$4 * 0.25
    ),
    0
)
+
IF(
    $N79 &lt; 0.875,
    MAX(0, MIN(($H79 / 1000) * Y$10 * $BN$4, Y$11 * 0.876) - (Y$11 * $N79)) * 0.25,
    0
)</f>
        <v>0</v>
      </c>
      <c r="Z79" s="8" cm="1">
        <f t="array" ref="Z79">IF(
    AND($H79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($H79 / 1000) * Z$10 * $BN$4 * 0.25
    ),
    0
)
+
IF(
    $N79 &lt; 0.875,
    MAX(0, MIN(($H79 / 1000) * Z$10 * $BN$4, Z$11 * 0.876) - (Z$11 * $N79)) * 0.25,
    0
)</f>
        <v>0</v>
      </c>
      <c r="AA79" s="8">
        <f>AVERAGE(TabellaMar2026[[#This Row],[Colonna24]:[Colonna20]])</f>
        <v>0</v>
      </c>
      <c r="AB79" s="8">
        <f>MAX(TabellaMar2026[[#This Row],[Colonna24]:[Colonna20]])</f>
        <v>0</v>
      </c>
      <c r="AC79" s="35">
        <f>MIN(TabellaMar2026[[#This Row],[Colonna24]:[Colonna20]])</f>
        <v>0</v>
      </c>
      <c r="AD79" s="44">
        <f>SUM(TabellaMar2026[[#This Row],[Colonna24]:[Colonna20]])</f>
        <v>0</v>
      </c>
      <c r="AE79" s="36">
        <f>IF(
    AND($H79 &gt; $BN$7, Tabella01MarzoInverter[[#This Row],[Active power TX2-INV-1]] &lt;= 0, Tabella01MarzoInverter[[#This Row],[TX2 - Average Power]] &lt;= 0),
    MIN(($H79 / 1000) * AE$10 * $BN$4, AE$11 * 0.876) * 0.25,
    IF(
        AND($H79 &gt; $BN$7, Tabella01MarzoInverter[[#This Row],[Active power TX2-INV-1]] &lt;= 0),
        Tabella01MarzoInverter[[#This Row],[TX2 - Average Power]] * 0.25,
        0
    )
    +
    IF(
        $N79 &lt; 0.875,
        MAX(0, MIN(($H79 / 1000) * AE$10 * $BN$4, AE$11 * 0.876) - (AE$11 * $N79)) * 0.25,
        0
    )
)</f>
        <v>0</v>
      </c>
      <c r="AF79" s="36">
        <f>IF(
    AND($H79 &gt; $BN$7, Tabella01MarzoInverter[[#This Row],[Active power TX2-INV-2]] &lt;= 0, Tabella01MarzoInverter[[#This Row],[TX2 - Max Power]] &lt;= 0),
    MIN(($H79 / 1000) * AF$10 * $BN$4, AF$11 * 0.876) * 0.25,
    IF(
        AND($H79 &gt; $BN$7, Tabella01MarzoInverter[[#This Row],[Active power TX2-INV-2]] &lt;= 0),
        Tabella01MarzoInverter[[#This Row],[TX2 - Max Power]] * 0.25,
        0
    )
    +
    IF(
        $N79 &lt; 0.875,
        MAX(0, MIN(($H79 / 1000) * AF$10 * $BN$4, AF$11 * 0.876) - (AF$11 * $N79)) * 0.25,
        0
    )
)</f>
        <v>0</v>
      </c>
      <c r="AG79" s="36">
        <f>IF(
    AND($H79 &gt; $BN$7, Tabella01MarzoInverter[[#This Row],[Active power TX2-INV-3]] &lt;= 0, Tabella01MarzoInverter[[#This Row],[TX2 - Min Power]] &lt;= 0),
    MIN(($H79 / 1000) * AG$10 * $BN$4, AG$11 * 0.876) * 0.25,
    IF(
        AND($H79 &gt; $BN$7, Tabella01MarzoInverter[[#This Row],[Active power TX2-INV-3]] &lt;= 0),
        Tabella01MarzoInverter[[#This Row],[TX2 - Min Power]] * 0.25,
        0
    )
    +
    IF(
        $N79 &lt; 0.875,
        MAX(0, MIN(($H79 / 1000) * AG$10 * $BN$4, AG$11 * 0.876) - (AG$11 * $N79)) * 0.25,
        0
    )
)</f>
        <v>0</v>
      </c>
      <c r="AH79" s="36">
        <f>IF(
    AND($H79 &gt; $BN$7, Tabella01MarzoInverter[[#This Row],[Active power TX2-INV-4]] &lt;= 0, Tabella01MarzoInverter[[#This Row],[Active power TX3-INV-1]] &lt;= 0),
    MIN(($H79 / 1000) * AH$10 * $BN$4, AH$11 * 0.876) * 0.25,
    IF(
        AND($H79 &gt; $BN$7, Tabella01MarzoInverter[[#This Row],[Active power TX2-INV-4]] &lt;= 0),
        Tabella01MarzoInverter[[#This Row],[Active power TX3-INV-1]] * 0.25,
        0
    )
    +
    IF(
        $N79 &lt; 0.875,
        MAX(0, MIN(($H79 / 1000) * AH$10 * $BN$4, AH$11 * 0.876) - (AH$11 * $N79)) * 0.25,
        0
    )
)</f>
        <v>0</v>
      </c>
      <c r="AI79" s="36">
        <f>IF(
    AND($H79 &gt; $BN$7, Tabella01MarzoInverter[[#This Row],[Active power TX2-INV-5]] &lt;= 0, Tabella01MarzoInverter[[#This Row],[Active power TX3-INV-2]] &lt;= 0),
    MIN(($H79 / 1000) * AI$10 * $BN$4, AI$11 * 0.876) * 0.25,
    IF(
        AND($H79 &gt; $BN$7, Tabella01MarzoInverter[[#This Row],[Active power TX2-INV-5]] &lt;= 0),
        Tabella01MarzoInverter[[#This Row],[Active power TX3-INV-2]] * 0.25,
        0
    )
    +
    IF(
        $N79 &lt; 0.875,
        MAX(0, MIN(($H79 / 1000) * AI$10 * $BN$4, AI$11 * 0.876) - (AI$11 * $N79)) * 0.25,
        0
    )
)</f>
        <v>0</v>
      </c>
      <c r="AJ79" s="36">
        <f>IF(
    AND($H79 &gt; $BN$7, Tabella01MarzoInverter[[#This Row],[Active power TX2-INV-6]] &lt;= 0, Tabella01MarzoInverter[[#This Row],[Active power TX3-INV-3]] &lt;= 0),
    MIN(($H79 / 1000) * AJ$10 * $BN$4, AJ$11 * 0.876) * 0.25,
    IF(
        AND($H79 &gt; $BN$7, Tabella01MarzoInverter[[#This Row],[Active power TX2-INV-6]] &lt;= 0),
        Tabella01MarzoInverter[[#This Row],[Active power TX3-INV-3]] * 0.25,
        0
    )
    +
    IF(
        $N79 &lt; 0.875,
        MAX(0, MIN(($H79 / 1000) * AJ$10 * $BN$4, AJ$11 * 0.876) - (AJ$11 * $N79)) * 0.25,
        0
    )
)</f>
        <v>0</v>
      </c>
      <c r="AK79" s="36">
        <f>IF(
    AND($H79 &gt; $BN$7, Tabella01MarzoInverter[[#This Row],[Active power TX2-INV-7]] &lt;= 0, Tabella01MarzoInverter[[#This Row],[Active power TX3-INV-4]] &lt;= 0),
    MIN(($H79 / 1000) * AK$10 * $BN$4, AK$11 * 0.876) * 0.25,
    IF(
        AND($H79 &gt; $BN$7, Tabella01MarzoInverter[[#This Row],[Active power TX2-INV-7]] &lt;= 0),
        Tabella01MarzoInverter[[#This Row],[Active power TX3-INV-4]] * 0.25,
        0
    )
    +
    IF(
        $N79 &lt; 0.875,
        MAX(0, MIN(($H79 / 1000) * AK$10 * $BN$4, AK$11 * 0.876) - (AK$11 * $N79)) * 0.25,
        0
    )
)</f>
        <v>0</v>
      </c>
      <c r="AL79" s="36">
        <f>IF(
    AND($H79 &gt; $BN$7, Tabella01MarzoInverter[[#This Row],[Active power TX2-INV-8]] &lt;= 0, Tabella01MarzoInverter[[#This Row],[Active power TX3-INV-5]] &lt;= 0),
    MIN(($H79 / 1000) * AL$10 * $BN$4, AL$11 * 0.876) * 0.25,
    IF(
        AND($H79 &gt; $BN$7, Tabella01MarzoInverter[[#This Row],[Active power TX2-INV-8]] &lt;= 0),
        Tabella01MarzoInverter[[#This Row],[Active power TX3-INV-5]] * 0.25,
        0
    )
    +
    IF(
        $N79 &lt; 0.875,
        MAX(0, MIN(($H79 / 1000) * AL$10 * $BN$4, AL$11 * 0.876) - (AL$11 * $N79)) * 0.25,
        0
    )
)</f>
        <v>0</v>
      </c>
      <c r="AM79" s="36">
        <f>IF(
    AND($H79 &gt; $BN$7, Tabella01MarzoInverter[[#This Row],[Active power TX2-INV-9]] &lt;= 0, Tabella01MarzoInverter[[#This Row],[Active power TX3-INV-6]] &lt;= 0),
    MIN(($H79 / 1000) * AM$10 * $BN$4, AM$11 * 0.876) * 0.25,
    IF(
        AND($H79 &gt; $BN$7, Tabella01MarzoInverter[[#This Row],[Active power TX2-INV-9]] &lt;= 0),
        Tabella01MarzoInverter[[#This Row],[Active power TX3-INV-6]] * 0.25,
        0
    )
    +
    IF(
        $N79 &lt; 0.875,
        MAX(0, MIN(($H79 / 1000) * AM$10 * $BN$4, AM$11 * 0.876) - (AM$11 * $N79)) * 0.25,
        0
    )
)</f>
        <v>0</v>
      </c>
      <c r="AN79" s="36">
        <f>IF(
    AND($H79 &gt; $BN$7, Tabella01MarzoInverter[[#This Row],[Active power TX2-INV-10]] &lt;= 0, Tabella01MarzoInverter[[#This Row],[Active power TX3-INV-7]] &lt;= 0),
    MIN(($H79 / 1000) * AN$10 * $BN$4, AN$11 * 0.876) * 0.25,
    IF(
        AND($H79 &gt; $BN$7, Tabella01MarzoInverter[[#This Row],[Active power TX2-INV-10]] &lt;= 0),
        Tabella01MarzoInverter[[#This Row],[Active power TX3-INV-7]] * 0.25,
        0
    )
    +
    IF(
        $N79 &lt; 0.875,
        MAX(0, MIN(($H79 / 1000) * AN$10 * $BN$4, AN$11 * 0.876) - (AN$11 * $N79)) * 0.25,
        0
    )
)</f>
        <v>0</v>
      </c>
      <c r="AO79" s="36">
        <f>IF(
    AND($H79 &gt; $BN$7, Tabella01MarzoInverter[[#This Row],[Active power TX2-INV-11]] &lt;= 0, Tabella01MarzoInverter[[#This Row],[Active power TX3-INV-8]] &lt;= 0),
    MIN(($H79 / 1000) * AO$10 * $BN$4, AO$11 * 0.876) * 0.25,
    IF(
        AND($H79 &gt; $BN$7, Tabella01MarzoInverter[[#This Row],[Active power TX2-INV-11]] &lt;= 0),
        Tabella01MarzoInverter[[#This Row],[Active power TX3-INV-8]] * 0.25,
        0
    )
    +
    IF(
        $N79 &lt; 0.875,
        MAX(0, MIN(($H79 / 1000) * AO$10 * $BN$4, AO$11 * 0.876) - (AO$11 * $N79)) * 0.25,
        0
    )
)</f>
        <v>0</v>
      </c>
      <c r="AP79" s="36">
        <f>IF(
    AND($H79 &gt; $BN$7, Tabella01MarzoInverter[[#This Row],[Active power TX2-INV-12]] &lt;= 0, Tabella01MarzoInverter[[#This Row],[Active power TX3-INV-9]] &lt;= 0),
    MIN(($H79 / 1000) * AP$10 * $BN$4, AP$11 * 0.876) * 0.25,
    IF(
        AND($H79 &gt; $BN$7, Tabella01MarzoInverter[[#This Row],[Active power TX2-INV-12]] &lt;= 0),
        Tabella01MarzoInverter[[#This Row],[Active power TX3-INV-9]] * 0.25,
        0
    )
    +
    IF(
        $N79 &lt; 0.875,
        MAX(0, MIN(($H79 / 1000) * AP$10 * $BN$4, AP$11 * 0.876) - (AP$11 * $N79)) * 0.25,
        0
    )
)</f>
        <v>0</v>
      </c>
      <c r="AQ79" s="8">
        <f>AVERAGE(TabellaMar2026[[#This Row],[Colonna39]:[Colonna6]])</f>
        <v>0</v>
      </c>
      <c r="AR79" s="8">
        <f>MAX(TabellaMar2026[[#This Row],[Colonna39]:[Colonna6]])</f>
        <v>0</v>
      </c>
      <c r="AS79" s="35">
        <f>MIN(TabellaMar2026[[#This Row],[Colonna39]:[Colonna6]])</f>
        <v>0</v>
      </c>
      <c r="AT79" s="48">
        <f>SUM(TabellaMar2026[[#This Row],[Colonna39]:[Colonna6]])</f>
        <v>0</v>
      </c>
      <c r="AU79" s="36" cm="1">
        <f t="array" ref="AU79">IF(
    AND($H79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($H79 / 1000) * AU$10 * $BN$4 * 0.25
    ),
    0
)
+
IF(
    $N79 &lt; 0.875,
    MAX(0, MIN(($H79 / 1000) * AU$10 * $BN$4, AU$11 * 0.876) - (AU$11 * $N79)) * 0.25,
    0
)</f>
        <v>0</v>
      </c>
      <c r="AV79" s="36" cm="1">
        <f t="array" ref="AV79">IF(
    AND($H79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($H79 / 1000) * AV$10 * $BN$4 * 0.25
    ),
    0
)
+
IF(
    $N79 &lt; 0.875,
    MAX(0, MIN(($H79 / 1000) * AV$10 * $BN$4, AV$11 * 0.876) - (AV$11 * $N79)) * 0.25,
    0
)</f>
        <v>0</v>
      </c>
      <c r="AW79" s="36" cm="1">
        <f t="array" ref="AW79">IF(
    AND($H79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($H79 / 1000) * AW$10 * $BN$4 * 0.25
    ),
    0
)
+
IF(
    $N79 &lt; 0.875,
    MAX(0, MIN(($H79 / 1000) * AW$10 * $BN$4, AW$11 * 0.876) - (AW$11 * $N79)) * 0.25,
    0
)</f>
        <v>0</v>
      </c>
      <c r="AX79" s="36" cm="1">
        <f t="array" ref="AX79">IF(
    AND($H79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($H79 / 1000) * AX$10 * $BN$4 * 0.25
    ),
    0
)
+
IF(
    $N79 &lt; 0.875,
    MAX(0, MIN(($H79 / 1000) * AX$10 * $BN$4, AX$11 * 0.876) - (AX$11 * $N79)) * 0.25,
    0
)</f>
        <v>0</v>
      </c>
      <c r="AY79" s="36" cm="1">
        <f t="array" ref="AY79">IF(
    AND($H79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($H79 / 1000) * AY$10 * $BN$4 * 0.25
    ),
    0
)
+
IF(
    $N79 &lt; 0.875,
    MAX(0, MIN(($H79 / 1000) * AY$10 * $BN$4, AY$11 * 0.876) - (AY$11 * $N79)) * 0.25,
    0
)</f>
        <v>0</v>
      </c>
      <c r="AZ79" s="36" cm="1">
        <f t="array" ref="AZ79">IF(
    AND($H79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($H79 / 1000) * AZ$10 * $BN$4 * 0.25
    ),
    0
)
+
IF(
    $N79 &lt; 0.875,
    MAX(0, MIN(($H79 / 1000) * AZ$10 * $BN$4, AZ$11 * 0.876) - (AZ$11 * $N79)) * 0.25,
    0
)</f>
        <v>0</v>
      </c>
      <c r="BA79" s="36" cm="1">
        <f t="array" ref="BA79">IF(
    AND($H79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($H79 / 1000) * BA$10 * $BN$4 * 0.25
    ),
    0
)
+
IF(
    $N79 &lt; 0.875,
    MAX(0, MIN(($H79 / 1000) * BA$10 * $BN$4, BA$11 * 0.876) - (BA$11 * $N79)) * 0.25,
    0
)</f>
        <v>0</v>
      </c>
      <c r="BB79" s="36" cm="1">
        <f t="array" ref="BB79">IF(
    AND($H79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($H79 / 1000) * BB$10 * $BN$4 * 0.25
    ),
    0
)
+
IF(
    $N79 &lt; 0.875,
    MAX(0, MIN(($H79 / 1000) * BB$10 * $BN$4, BB$11 * 0.876) - (BB$11 * $N79)) * 0.25,
    0
)</f>
        <v>0</v>
      </c>
      <c r="BC79" s="36" cm="1">
        <f t="array" ref="BC79">IF(
    AND($H79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($H79 / 1000) * BC$10 * $BN$4 * 0.25
    ),
    0
)
+
IF(
    $N79 &lt; 0.875,
    MAX(0, MIN(($H79 / 1000) * BC$10 * $BN$4, BC$11 * 0.876) - (BC$11 * $N79)) * 0.25,
    0
)</f>
        <v>0</v>
      </c>
      <c r="BD79" s="36" cm="1">
        <f t="array" ref="BD79">IF(
    AND($H79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($H79 / 1000) * BD$10 * $BN$4 * 0.25
    ),
    0
)
+
IF(
    $N79 &lt; 0.875,
    MAX(0, MIN(($H79 / 1000) * BD$10 * $BN$4, BD$11 * 0.876) - (BD$11 * $N79)) * 0.25,
    0
)</f>
        <v>0</v>
      </c>
      <c r="BE79" s="36" cm="1">
        <f t="array" ref="BE79">IF(
    AND($H79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($H79 / 1000) * BE$10 * $BN$4 * 0.25
    ),
    0
)
+
IF(
    $N79 &lt; 0.875,
    MAX(0, MIN(($H79 / 1000) * BE$10 * $BN$4, BE$11 * 0.876) - (BE$11 * $N79)) * 0.25,
    0
)</f>
        <v>0</v>
      </c>
      <c r="BF79" s="36" cm="1">
        <f t="array" ref="BF79">IF(
    AND($H79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($H79 / 1000) * BF$10 * $BN$4 * 0.25
    ),
    0
)
+
IF(
    $N79 &lt; 0.875,
    MAX(0, MIN(($H79 / 1000) * BF$10 * $BN$4, BF$11 * 0.876) - (BF$11 * $N79)) * 0.25,
    0
)</f>
        <v>0</v>
      </c>
      <c r="BG79" s="8">
        <f>AVERAGE(TabellaMar2026[[#This Row],[Colonna55]:[Colonna53]])</f>
        <v>0</v>
      </c>
      <c r="BH79" s="8">
        <f>MAX(TabellaMar2026[[#This Row],[Colonna55]:[Colonna53]])</f>
        <v>0</v>
      </c>
      <c r="BI79" s="35">
        <f>MIN(TabellaMar2026[[#This Row],[Colonna55]:[Colonna53]])</f>
        <v>0</v>
      </c>
      <c r="BJ79" s="48">
        <f>SUM(TabellaMar2026[[#This Row],[Colonna54]:[Colonna53]])</f>
        <v>0</v>
      </c>
      <c r="BK79" s="54">
        <f>(SUM(Tabella01MarzoInverter[[Active power TX1-INV-1]:[Active power TX3-INV-12]]) * 0.25) / (12625 * (SUM($G$15:$H$110) * 0.25 / 1000))</f>
        <v>1.014229628761051</v>
      </c>
      <c r="BL79" s="5"/>
      <c r="BM79" s="5"/>
      <c r="BN79" s="5"/>
      <c r="BO79" s="8"/>
      <c r="BP79" s="19"/>
    </row>
    <row r="80" spans="1:68" x14ac:dyDescent="0.25">
      <c r="A80" s="18">
        <v>46147</v>
      </c>
      <c r="B80" t="s">
        <v>80</v>
      </c>
      <c r="C80" s="5">
        <v>942.8</v>
      </c>
      <c r="D80" s="6">
        <v>0.23569999999999999</v>
      </c>
      <c r="E80" s="6">
        <v>919.9</v>
      </c>
      <c r="F80" s="6">
        <v>0.22997499999999998</v>
      </c>
      <c r="G80" s="6">
        <f>IFERROR((D80+F80)/2, 0)</f>
        <v>0.23283749999999998</v>
      </c>
      <c r="H80" s="7">
        <f>IFERROR(IF(AVERAGE(C80,E80)&gt;$BN$7,AVERAGE(C80,E80),0), 0)</f>
        <v>931.34999999999991</v>
      </c>
      <c r="I80" s="7">
        <f>IFERROR(IF(AND(D80=0,F80=0),0,IF(H80&gt;$BN$6,MAX(D80,F80),G80)), 0)</f>
        <v>0.23569999999999999</v>
      </c>
      <c r="J80" s="6">
        <f>IFERROR(IF(AND(D80&gt;0,F80&gt;0),ABS(D80-F80)/AVERAGE(D80,F80),0), 0)</f>
        <v>2.4587963708595086E-2</v>
      </c>
      <c r="K80" s="6">
        <v>30451.8</v>
      </c>
      <c r="L80" s="6">
        <v>30454.2</v>
      </c>
      <c r="M80" s="8">
        <f>IFERROR((L80-K80)*1000, 0)</f>
        <v>2400.0000000014552</v>
      </c>
      <c r="N80" s="6">
        <v>0.87599999999999989</v>
      </c>
      <c r="O80" s="8" cm="1">
        <f t="array" ref="O80">IF(
    AND($H80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($H80 / 1000) * O$10 * $BN$4 * 0.25
    ),
    0
)
+
IF(
    $N80 &lt; 0.875,
    MAX(0, MIN(($H80 / 1000) * O$10 * $BN$4, O$11 * 0.876) - (O$11 * $N80)) * 0.25,
    0
)</f>
        <v>0</v>
      </c>
      <c r="P80" s="8" cm="1">
        <f t="array" ref="P80">IF(
    AND($H80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($H80 / 1000) * P$10 * $BN$4 * 0.25
    ),
    0
)
+
IF(
    $N80 &lt; 0.875,
    MAX(0, MIN(($H80 / 1000) * P$10 * $BN$4, P$11 * 0.876) - (P$11 * $N80)) * 0.25,
    0
)</f>
        <v>0</v>
      </c>
      <c r="Q80" s="8" cm="1">
        <f t="array" ref="Q80">IF(
    AND($H80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($H80 / 1000) * Q$10 * $BN$4 * 0.25
    ),
    0
)
+
IF(
    $N80 &lt; 0.875,
    MAX(0, MIN(($H80 / 1000) * Q$10 * $BN$4, Q$11 * 0.876) - (Q$11 * $N80)) * 0.25,
    0
)</f>
        <v>0</v>
      </c>
      <c r="R80" s="8" cm="1">
        <f t="array" ref="R80">IF(
    AND($H80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($H80 / 1000) * R$10 * $BN$4 * 0.25
    ),
    0
)
+
IF(
    $N80 &lt; 0.875,
    MAX(0, MIN(($H80 / 1000) * R$10 * $BN$4, R$11 * 0.876) - (R$11 * $N80)) * 0.25,
    0
)</f>
        <v>0</v>
      </c>
      <c r="S80" s="8" cm="1">
        <f t="array" ref="S80">IF(
    AND($H80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($H80 / 1000) * S$10 * $BN$4 * 0.25
    ),
    0
)
+
IF(
    $N80 &lt; 0.875,
    MAX(0, MIN(($H80 / 1000) * S$10 * $BN$4, S$11 * 0.876) - (S$11 * $N80)) * 0.25,
    0
)</f>
        <v>0</v>
      </c>
      <c r="T80" s="8" cm="1">
        <f t="array" ref="T80">IF(
    AND($H80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($H80 / 1000) * T$10 * $BN$4 * 0.25
    ),
    0
)
+
IF(
    $N80 &lt; 0.875,
    MAX(0, MIN(($H80 / 1000) * T$10 * $BN$4, T$11 * 0.876) - (T$11 * $N80)) * 0.25,
    0
)</f>
        <v>0</v>
      </c>
      <c r="U80" s="8" cm="1">
        <f t="array" ref="U80">IF(
    AND($H80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($H80 / 1000) * U$10 * $BN$4 * 0.25
    ),
    0
)
+
IF(
    $N80 &lt; 0.875,
    MAX(0, MIN(($H80 / 1000) * U$10 * $BN$4, U$11 * 0.876) - (U$11 * $N80)) * 0.25,
    0
)</f>
        <v>0</v>
      </c>
      <c r="V80" s="8" cm="1">
        <f t="array" ref="V80">IF(
    AND($H80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($H80 / 1000) * V$10 * $BN$4 * 0.25
    ),
    0
)
+
IF(
    $N80 &lt; 0.875,
    MAX(0, MIN(($H80 / 1000) * V$10 * $BN$4, V$11 * 0.876) - (V$11 * $N80)) * 0.25,
    0
)</f>
        <v>0</v>
      </c>
      <c r="W80" s="8" cm="1">
        <f t="array" ref="W80">IF(
    AND($H80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($H80 / 1000) * W$10 * $BN$4 * 0.25
    ),
    0
)
+
IF(
    $N80 &lt; 0.875,
    MAX(0, MIN(($H80 / 1000) * W$10 * $BN$4, W$11 * 0.876) - (W$11 * $N80)) * 0.25,
    0
)</f>
        <v>0</v>
      </c>
      <c r="X80" s="8" cm="1">
        <f t="array" ref="X80">IF(
    AND($H80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($H80 / 1000) * X$10 * $BN$4 * 0.25
    ),
    0
)
+
IF(
    $N80 &lt; 0.875,
    MAX(0, MIN(($H80 / 1000) * X$10 * $BN$4, X$11 * 0.876) - (X$11 * $N80)) * 0.25,
    0
)</f>
        <v>0</v>
      </c>
      <c r="Y80" s="8" cm="1">
        <f t="array" ref="Y80">IF(
    AND($H80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($H80 / 1000) * Y$10 * $BN$4 * 0.25
    ),
    0
)
+
IF(
    $N80 &lt; 0.875,
    MAX(0, MIN(($H80 / 1000) * Y$10 * $BN$4, Y$11 * 0.876) - (Y$11 * $N80)) * 0.25,
    0
)</f>
        <v>0</v>
      </c>
      <c r="Z80" s="8" cm="1">
        <f t="array" ref="Z80">IF(
    AND($H80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($H80 / 1000) * Z$10 * $BN$4 * 0.25
    ),
    0
)
+
IF(
    $N80 &lt; 0.875,
    MAX(0, MIN(($H80 / 1000) * Z$10 * $BN$4, Z$11 * 0.876) - (Z$11 * $N80)) * 0.25,
    0
)</f>
        <v>0</v>
      </c>
      <c r="AA80" s="8">
        <f>AVERAGE(TabellaMar2026[[#This Row],[Colonna24]:[Colonna20]])</f>
        <v>0</v>
      </c>
      <c r="AB80" s="8">
        <f>MAX(TabellaMar2026[[#This Row],[Colonna24]:[Colonna20]])</f>
        <v>0</v>
      </c>
      <c r="AC80" s="35">
        <f>MIN(TabellaMar2026[[#This Row],[Colonna24]:[Colonna20]])</f>
        <v>0</v>
      </c>
      <c r="AD80" s="44">
        <f>SUM(TabellaMar2026[[#This Row],[Colonna24]:[Colonna20]])</f>
        <v>0</v>
      </c>
      <c r="AE80" s="36">
        <f>IF(
    AND($H80 &gt; $BN$7, Tabella01MarzoInverter[[#This Row],[Active power TX2-INV-1]] &lt;= 0, Tabella01MarzoInverter[[#This Row],[TX2 - Average Power]] &lt;= 0),
    MIN(($H80 / 1000) * AE$10 * $BN$4, AE$11 * 0.876) * 0.25,
    IF(
        AND($H80 &gt; $BN$7, Tabella01MarzoInverter[[#This Row],[Active power TX2-INV-1]] &lt;= 0),
        Tabella01MarzoInverter[[#This Row],[TX2 - Average Power]] * 0.25,
        0
    )
    +
    IF(
        $N80 &lt; 0.875,
        MAX(0, MIN(($H80 / 1000) * AE$10 * $BN$4, AE$11 * 0.876) - (AE$11 * $N80)) * 0.25,
        0
    )
)</f>
        <v>0</v>
      </c>
      <c r="AF80" s="36">
        <f>IF(
    AND($H80 &gt; $BN$7, Tabella01MarzoInverter[[#This Row],[Active power TX2-INV-2]] &lt;= 0, Tabella01MarzoInverter[[#This Row],[TX2 - Max Power]] &lt;= 0),
    MIN(($H80 / 1000) * AF$10 * $BN$4, AF$11 * 0.876) * 0.25,
    IF(
        AND($H80 &gt; $BN$7, Tabella01MarzoInverter[[#This Row],[Active power TX2-INV-2]] &lt;= 0),
        Tabella01MarzoInverter[[#This Row],[TX2 - Max Power]] * 0.25,
        0
    )
    +
    IF(
        $N80 &lt; 0.875,
        MAX(0, MIN(($H80 / 1000) * AF$10 * $BN$4, AF$11 * 0.876) - (AF$11 * $N80)) * 0.25,
        0
    )
)</f>
        <v>0</v>
      </c>
      <c r="AG80" s="36">
        <f>IF(
    AND($H80 &gt; $BN$7, Tabella01MarzoInverter[[#This Row],[Active power TX2-INV-3]] &lt;= 0, Tabella01MarzoInverter[[#This Row],[TX2 - Min Power]] &lt;= 0),
    MIN(($H80 / 1000) * AG$10 * $BN$4, AG$11 * 0.876) * 0.25,
    IF(
        AND($H80 &gt; $BN$7, Tabella01MarzoInverter[[#This Row],[Active power TX2-INV-3]] &lt;= 0),
        Tabella01MarzoInverter[[#This Row],[TX2 - Min Power]] * 0.25,
        0
    )
    +
    IF(
        $N80 &lt; 0.875,
        MAX(0, MIN(($H80 / 1000) * AG$10 * $BN$4, AG$11 * 0.876) - (AG$11 * $N80)) * 0.25,
        0
    )
)</f>
        <v>0</v>
      </c>
      <c r="AH80" s="36">
        <f>IF(
    AND($H80 &gt; $BN$7, Tabella01MarzoInverter[[#This Row],[Active power TX2-INV-4]] &lt;= 0, Tabella01MarzoInverter[[#This Row],[Active power TX3-INV-1]] &lt;= 0),
    MIN(($H80 / 1000) * AH$10 * $BN$4, AH$11 * 0.876) * 0.25,
    IF(
        AND($H80 &gt; $BN$7, Tabella01MarzoInverter[[#This Row],[Active power TX2-INV-4]] &lt;= 0),
        Tabella01MarzoInverter[[#This Row],[Active power TX3-INV-1]] * 0.25,
        0
    )
    +
    IF(
        $N80 &lt; 0.875,
        MAX(0, MIN(($H80 / 1000) * AH$10 * $BN$4, AH$11 * 0.876) - (AH$11 * $N80)) * 0.25,
        0
    )
)</f>
        <v>0</v>
      </c>
      <c r="AI80" s="36">
        <f>IF(
    AND($H80 &gt; $BN$7, Tabella01MarzoInverter[[#This Row],[Active power TX2-INV-5]] &lt;= 0, Tabella01MarzoInverter[[#This Row],[Active power TX3-INV-2]] &lt;= 0),
    MIN(($H80 / 1000) * AI$10 * $BN$4, AI$11 * 0.876) * 0.25,
    IF(
        AND($H80 &gt; $BN$7, Tabella01MarzoInverter[[#This Row],[Active power TX2-INV-5]] &lt;= 0),
        Tabella01MarzoInverter[[#This Row],[Active power TX3-INV-2]] * 0.25,
        0
    )
    +
    IF(
        $N80 &lt; 0.875,
        MAX(0, MIN(($H80 / 1000) * AI$10 * $BN$4, AI$11 * 0.876) - (AI$11 * $N80)) * 0.25,
        0
    )
)</f>
        <v>0</v>
      </c>
      <c r="AJ80" s="36">
        <f>IF(
    AND($H80 &gt; $BN$7, Tabella01MarzoInverter[[#This Row],[Active power TX2-INV-6]] &lt;= 0, Tabella01MarzoInverter[[#This Row],[Active power TX3-INV-3]] &lt;= 0),
    MIN(($H80 / 1000) * AJ$10 * $BN$4, AJ$11 * 0.876) * 0.25,
    IF(
        AND($H80 &gt; $BN$7, Tabella01MarzoInverter[[#This Row],[Active power TX2-INV-6]] &lt;= 0),
        Tabella01MarzoInverter[[#This Row],[Active power TX3-INV-3]] * 0.25,
        0
    )
    +
    IF(
        $N80 &lt; 0.875,
        MAX(0, MIN(($H80 / 1000) * AJ$10 * $BN$4, AJ$11 * 0.876) - (AJ$11 * $N80)) * 0.25,
        0
    )
)</f>
        <v>0</v>
      </c>
      <c r="AK80" s="36">
        <f>IF(
    AND($H80 &gt; $BN$7, Tabella01MarzoInverter[[#This Row],[Active power TX2-INV-7]] &lt;= 0, Tabella01MarzoInverter[[#This Row],[Active power TX3-INV-4]] &lt;= 0),
    MIN(($H80 / 1000) * AK$10 * $BN$4, AK$11 * 0.876) * 0.25,
    IF(
        AND($H80 &gt; $BN$7, Tabella01MarzoInverter[[#This Row],[Active power TX2-INV-7]] &lt;= 0),
        Tabella01MarzoInverter[[#This Row],[Active power TX3-INV-4]] * 0.25,
        0
    )
    +
    IF(
        $N80 &lt; 0.875,
        MAX(0, MIN(($H80 / 1000) * AK$10 * $BN$4, AK$11 * 0.876) - (AK$11 * $N80)) * 0.25,
        0
    )
)</f>
        <v>0</v>
      </c>
      <c r="AL80" s="36">
        <f>IF(
    AND($H80 &gt; $BN$7, Tabella01MarzoInverter[[#This Row],[Active power TX2-INV-8]] &lt;= 0, Tabella01MarzoInverter[[#This Row],[Active power TX3-INV-5]] &lt;= 0),
    MIN(($H80 / 1000) * AL$10 * $BN$4, AL$11 * 0.876) * 0.25,
    IF(
        AND($H80 &gt; $BN$7, Tabella01MarzoInverter[[#This Row],[Active power TX2-INV-8]] &lt;= 0),
        Tabella01MarzoInverter[[#This Row],[Active power TX3-INV-5]] * 0.25,
        0
    )
    +
    IF(
        $N80 &lt; 0.875,
        MAX(0, MIN(($H80 / 1000) * AL$10 * $BN$4, AL$11 * 0.876) - (AL$11 * $N80)) * 0.25,
        0
    )
)</f>
        <v>0</v>
      </c>
      <c r="AM80" s="36">
        <f>IF(
    AND($H80 &gt; $BN$7, Tabella01MarzoInverter[[#This Row],[Active power TX2-INV-9]] &lt;= 0, Tabella01MarzoInverter[[#This Row],[Active power TX3-INV-6]] &lt;= 0),
    MIN(($H80 / 1000) * AM$10 * $BN$4, AM$11 * 0.876) * 0.25,
    IF(
        AND($H80 &gt; $BN$7, Tabella01MarzoInverter[[#This Row],[Active power TX2-INV-9]] &lt;= 0),
        Tabella01MarzoInverter[[#This Row],[Active power TX3-INV-6]] * 0.25,
        0
    )
    +
    IF(
        $N80 &lt; 0.875,
        MAX(0, MIN(($H80 / 1000) * AM$10 * $BN$4, AM$11 * 0.876) - (AM$11 * $N80)) * 0.25,
        0
    )
)</f>
        <v>0</v>
      </c>
      <c r="AN80" s="36">
        <f>IF(
    AND($H80 &gt; $BN$7, Tabella01MarzoInverter[[#This Row],[Active power TX2-INV-10]] &lt;= 0, Tabella01MarzoInverter[[#This Row],[Active power TX3-INV-7]] &lt;= 0),
    MIN(($H80 / 1000) * AN$10 * $BN$4, AN$11 * 0.876) * 0.25,
    IF(
        AND($H80 &gt; $BN$7, Tabella01MarzoInverter[[#This Row],[Active power TX2-INV-10]] &lt;= 0),
        Tabella01MarzoInverter[[#This Row],[Active power TX3-INV-7]] * 0.25,
        0
    )
    +
    IF(
        $N80 &lt; 0.875,
        MAX(0, MIN(($H80 / 1000) * AN$10 * $BN$4, AN$11 * 0.876) - (AN$11 * $N80)) * 0.25,
        0
    )
)</f>
        <v>0</v>
      </c>
      <c r="AO80" s="36">
        <f>IF(
    AND($H80 &gt; $BN$7, Tabella01MarzoInverter[[#This Row],[Active power TX2-INV-11]] &lt;= 0, Tabella01MarzoInverter[[#This Row],[Active power TX3-INV-8]] &lt;= 0),
    MIN(($H80 / 1000) * AO$10 * $BN$4, AO$11 * 0.876) * 0.25,
    IF(
        AND($H80 &gt; $BN$7, Tabella01MarzoInverter[[#This Row],[Active power TX2-INV-11]] &lt;= 0),
        Tabella01MarzoInverter[[#This Row],[Active power TX3-INV-8]] * 0.25,
        0
    )
    +
    IF(
        $N80 &lt; 0.875,
        MAX(0, MIN(($H80 / 1000) * AO$10 * $BN$4, AO$11 * 0.876) - (AO$11 * $N80)) * 0.25,
        0
    )
)</f>
        <v>0</v>
      </c>
      <c r="AP80" s="36">
        <f>IF(
    AND($H80 &gt; $BN$7, Tabella01MarzoInverter[[#This Row],[Active power TX2-INV-12]] &lt;= 0, Tabella01MarzoInverter[[#This Row],[Active power TX3-INV-9]] &lt;= 0),
    MIN(($H80 / 1000) * AP$10 * $BN$4, AP$11 * 0.876) * 0.25,
    IF(
        AND($H80 &gt; $BN$7, Tabella01MarzoInverter[[#This Row],[Active power TX2-INV-12]] &lt;= 0),
        Tabella01MarzoInverter[[#This Row],[Active power TX3-INV-9]] * 0.25,
        0
    )
    +
    IF(
        $N80 &lt; 0.875,
        MAX(0, MIN(($H80 / 1000) * AP$10 * $BN$4, AP$11 * 0.876) - (AP$11 * $N80)) * 0.25,
        0
    )
)</f>
        <v>0</v>
      </c>
      <c r="AQ80" s="8">
        <f>AVERAGE(TabellaMar2026[[#This Row],[Colonna39]:[Colonna6]])</f>
        <v>0</v>
      </c>
      <c r="AR80" s="8">
        <f>MAX(TabellaMar2026[[#This Row],[Colonna39]:[Colonna6]])</f>
        <v>0</v>
      </c>
      <c r="AS80" s="35">
        <f>MIN(TabellaMar2026[[#This Row],[Colonna39]:[Colonna6]])</f>
        <v>0</v>
      </c>
      <c r="AT80" s="48">
        <f>SUM(TabellaMar2026[[#This Row],[Colonna39]:[Colonna6]])</f>
        <v>0</v>
      </c>
      <c r="AU80" s="36" cm="1">
        <f t="array" ref="AU80">IF(
    AND($H80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($H80 / 1000) * AU$10 * $BN$4 * 0.25
    ),
    0
)
+
IF(
    $N80 &lt; 0.875,
    MAX(0, MIN(($H80 / 1000) * AU$10 * $BN$4, AU$11 * 0.876) - (AU$11 * $N80)) * 0.25,
    0
)</f>
        <v>0</v>
      </c>
      <c r="AV80" s="36" cm="1">
        <f t="array" ref="AV80">IF(
    AND($H80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($H80 / 1000) * AV$10 * $BN$4 * 0.25
    ),
    0
)
+
IF(
    $N80 &lt; 0.875,
    MAX(0, MIN(($H80 / 1000) * AV$10 * $BN$4, AV$11 * 0.876) - (AV$11 * $N80)) * 0.25,
    0
)</f>
        <v>0</v>
      </c>
      <c r="AW80" s="36" cm="1">
        <f t="array" ref="AW80">IF(
    AND($H80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($H80 / 1000) * AW$10 * $BN$4 * 0.25
    ),
    0
)
+
IF(
    $N80 &lt; 0.875,
    MAX(0, MIN(($H80 / 1000) * AW$10 * $BN$4, AW$11 * 0.876) - (AW$11 * $N80)) * 0.25,
    0
)</f>
        <v>0</v>
      </c>
      <c r="AX80" s="36" cm="1">
        <f t="array" ref="AX80">IF(
    AND($H80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($H80 / 1000) * AX$10 * $BN$4 * 0.25
    ),
    0
)
+
IF(
    $N80 &lt; 0.875,
    MAX(0, MIN(($H80 / 1000) * AX$10 * $BN$4, AX$11 * 0.876) - (AX$11 * $N80)) * 0.25,
    0
)</f>
        <v>0</v>
      </c>
      <c r="AY80" s="36" cm="1">
        <f t="array" ref="AY80">IF(
    AND($H80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($H80 / 1000) * AY$10 * $BN$4 * 0.25
    ),
    0
)
+
IF(
    $N80 &lt; 0.875,
    MAX(0, MIN(($H80 / 1000) * AY$10 * $BN$4, AY$11 * 0.876) - (AY$11 * $N80)) * 0.25,
    0
)</f>
        <v>0</v>
      </c>
      <c r="AZ80" s="36" cm="1">
        <f t="array" ref="AZ80">IF(
    AND($H80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($H80 / 1000) * AZ$10 * $BN$4 * 0.25
    ),
    0
)
+
IF(
    $N80 &lt; 0.875,
    MAX(0, MIN(($H80 / 1000) * AZ$10 * $BN$4, AZ$11 * 0.876) - (AZ$11 * $N80)) * 0.25,
    0
)</f>
        <v>0</v>
      </c>
      <c r="BA80" s="36" cm="1">
        <f t="array" ref="BA80">IF(
    AND($H80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($H80 / 1000) * BA$10 * $BN$4 * 0.25
    ),
    0
)
+
IF(
    $N80 &lt; 0.875,
    MAX(0, MIN(($H80 / 1000) * BA$10 * $BN$4, BA$11 * 0.876) - (BA$11 * $N80)) * 0.25,
    0
)</f>
        <v>0</v>
      </c>
      <c r="BB80" s="36" cm="1">
        <f t="array" ref="BB80">IF(
    AND($H80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($H80 / 1000) * BB$10 * $BN$4 * 0.25
    ),
    0
)
+
IF(
    $N80 &lt; 0.875,
    MAX(0, MIN(($H80 / 1000) * BB$10 * $BN$4, BB$11 * 0.876) - (BB$11 * $N80)) * 0.25,
    0
)</f>
        <v>0</v>
      </c>
      <c r="BC80" s="36" cm="1">
        <f t="array" ref="BC80">IF(
    AND($H80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($H80 / 1000) * BC$10 * $BN$4 * 0.25
    ),
    0
)
+
IF(
    $N80 &lt; 0.875,
    MAX(0, MIN(($H80 / 1000) * BC$10 * $BN$4, BC$11 * 0.876) - (BC$11 * $N80)) * 0.25,
    0
)</f>
        <v>0</v>
      </c>
      <c r="BD80" s="36" cm="1">
        <f t="array" ref="BD80">IF(
    AND($H80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($H80 / 1000) * BD$10 * $BN$4 * 0.25
    ),
    0
)
+
IF(
    $N80 &lt; 0.875,
    MAX(0, MIN(($H80 / 1000) * BD$10 * $BN$4, BD$11 * 0.876) - (BD$11 * $N80)) * 0.25,
    0
)</f>
        <v>0</v>
      </c>
      <c r="BE80" s="36" cm="1">
        <f t="array" ref="BE80">IF(
    AND($H80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($H80 / 1000) * BE$10 * $BN$4 * 0.25
    ),
    0
)
+
IF(
    $N80 &lt; 0.875,
    MAX(0, MIN(($H80 / 1000) * BE$10 * $BN$4, BE$11 * 0.876) - (BE$11 * $N80)) * 0.25,
    0
)</f>
        <v>0</v>
      </c>
      <c r="BF80" s="36" cm="1">
        <f t="array" ref="BF80">IF(
    AND($H80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($H80 / 1000) * BF$10 * $BN$4 * 0.25
    ),
    0
)
+
IF(
    $N80 &lt; 0.875,
    MAX(0, MIN(($H80 / 1000) * BF$10 * $BN$4, BF$11 * 0.876) - (BF$11 * $N80)) * 0.25,
    0
)</f>
        <v>0</v>
      </c>
      <c r="BG80" s="8">
        <f>AVERAGE(TabellaMar2026[[#This Row],[Colonna55]:[Colonna53]])</f>
        <v>0</v>
      </c>
      <c r="BH80" s="8">
        <f>MAX(TabellaMar2026[[#This Row],[Colonna55]:[Colonna53]])</f>
        <v>0</v>
      </c>
      <c r="BI80" s="35">
        <f>MIN(TabellaMar2026[[#This Row],[Colonna55]:[Colonna53]])</f>
        <v>0</v>
      </c>
      <c r="BJ80" s="48">
        <f>SUM(TabellaMar2026[[#This Row],[Colonna54]:[Colonna53]])</f>
        <v>0</v>
      </c>
      <c r="BK80" s="54">
        <f>(SUM(Tabella01MarzoInverter[[Active power TX1-INV-1]:[Active power TX3-INV-12]]) * 0.25) / (12625 * (SUM($G$15:$H$110) * 0.25 / 1000))</f>
        <v>1.014229628761051</v>
      </c>
      <c r="BL80" s="5"/>
      <c r="BM80" s="5"/>
      <c r="BN80" s="5"/>
      <c r="BO80" s="8"/>
      <c r="BP80" s="19"/>
    </row>
    <row r="81" spans="1:68" x14ac:dyDescent="0.25">
      <c r="A81" s="18">
        <v>46147</v>
      </c>
      <c r="B81" t="s">
        <v>81</v>
      </c>
      <c r="C81" s="5">
        <v>684.3</v>
      </c>
      <c r="D81" s="6">
        <v>0.17107499999999998</v>
      </c>
      <c r="E81" s="6">
        <v>677.9</v>
      </c>
      <c r="F81" s="6">
        <v>0.16947499999999999</v>
      </c>
      <c r="G81" s="6">
        <f>IFERROR((D81+F81)/2, 0)</f>
        <v>0.17027499999999998</v>
      </c>
      <c r="H81" s="7">
        <f>IFERROR(IF(AVERAGE(C81,E81)&gt;$BN$7,AVERAGE(C81,E81),0), 0)</f>
        <v>681.09999999999991</v>
      </c>
      <c r="I81" s="7">
        <f>IFERROR(IF(AND(D81=0,F81=0),0,IF(H81&gt;$BN$6,MAX(D81,F81),G81)), 0)</f>
        <v>0.17107499999999998</v>
      </c>
      <c r="J81" s="6">
        <f>IFERROR(IF(AND(D81&gt;0,F81&gt;0),ABS(D81-F81)/AVERAGE(D81,F81),0), 0)</f>
        <v>9.3965643811480867E-3</v>
      </c>
      <c r="K81" s="6">
        <v>30454.2</v>
      </c>
      <c r="L81" s="6">
        <v>30456.5</v>
      </c>
      <c r="M81" s="8">
        <f>IFERROR((L81-K81)*1000, 0)</f>
        <v>2299.9999999992724</v>
      </c>
      <c r="N81" s="6">
        <v>0.87599999999999989</v>
      </c>
      <c r="O81" s="8" cm="1">
        <f t="array" ref="O81">IF(
    AND($H81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($H81 / 1000) * O$10 * $BN$4 * 0.25
    ),
    0
)
+
IF(
    $N81 &lt; 0.875,
    MAX(0, MIN(($H81 / 1000) * O$10 * $BN$4, O$11 * 0.876) - (O$11 * $N81)) * 0.25,
    0
)</f>
        <v>0</v>
      </c>
      <c r="P81" s="8" cm="1">
        <f t="array" ref="P81">IF(
    AND($H81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($H81 / 1000) * P$10 * $BN$4 * 0.25
    ),
    0
)
+
IF(
    $N81 &lt; 0.875,
    MAX(0, MIN(($H81 / 1000) * P$10 * $BN$4, P$11 * 0.876) - (P$11 * $N81)) * 0.25,
    0
)</f>
        <v>0</v>
      </c>
      <c r="Q81" s="8" cm="1">
        <f t="array" ref="Q81">IF(
    AND($H81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($H81 / 1000) * Q$10 * $BN$4 * 0.25
    ),
    0
)
+
IF(
    $N81 &lt; 0.875,
    MAX(0, MIN(($H81 / 1000) * Q$10 * $BN$4, Q$11 * 0.876) - (Q$11 * $N81)) * 0.25,
    0
)</f>
        <v>0</v>
      </c>
      <c r="R81" s="8" cm="1">
        <f t="array" ref="R81">IF(
    AND($H81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($H81 / 1000) * R$10 * $BN$4 * 0.25
    ),
    0
)
+
IF(
    $N81 &lt; 0.875,
    MAX(0, MIN(($H81 / 1000) * R$10 * $BN$4, R$11 * 0.876) - (R$11 * $N81)) * 0.25,
    0
)</f>
        <v>0</v>
      </c>
      <c r="S81" s="8" cm="1">
        <f t="array" ref="S81">IF(
    AND($H81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($H81 / 1000) * S$10 * $BN$4 * 0.25
    ),
    0
)
+
IF(
    $N81 &lt; 0.875,
    MAX(0, MIN(($H81 / 1000) * S$10 * $BN$4, S$11 * 0.876) - (S$11 * $N81)) * 0.25,
    0
)</f>
        <v>0</v>
      </c>
      <c r="T81" s="8" cm="1">
        <f t="array" ref="T81">IF(
    AND($H81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($H81 / 1000) * T$10 * $BN$4 * 0.25
    ),
    0
)
+
IF(
    $N81 &lt; 0.875,
    MAX(0, MIN(($H81 / 1000) * T$10 * $BN$4, T$11 * 0.876) - (T$11 * $N81)) * 0.25,
    0
)</f>
        <v>0</v>
      </c>
      <c r="U81" s="8" cm="1">
        <f t="array" ref="U81">IF(
    AND($H81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($H81 / 1000) * U$10 * $BN$4 * 0.25
    ),
    0
)
+
IF(
    $N81 &lt; 0.875,
    MAX(0, MIN(($H81 / 1000) * U$10 * $BN$4, U$11 * 0.876) - (U$11 * $N81)) * 0.25,
    0
)</f>
        <v>0</v>
      </c>
      <c r="V81" s="8" cm="1">
        <f t="array" ref="V81">IF(
    AND($H81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($H81 / 1000) * V$10 * $BN$4 * 0.25
    ),
    0
)
+
IF(
    $N81 &lt; 0.875,
    MAX(0, MIN(($H81 / 1000) * V$10 * $BN$4, V$11 * 0.876) - (V$11 * $N81)) * 0.25,
    0
)</f>
        <v>0</v>
      </c>
      <c r="W81" s="8" cm="1">
        <f t="array" ref="W81">IF(
    AND($H81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($H81 / 1000) * W$10 * $BN$4 * 0.25
    ),
    0
)
+
IF(
    $N81 &lt; 0.875,
    MAX(0, MIN(($H81 / 1000) * W$10 * $BN$4, W$11 * 0.876) - (W$11 * $N81)) * 0.25,
    0
)</f>
        <v>0</v>
      </c>
      <c r="X81" s="8" cm="1">
        <f t="array" ref="X81">IF(
    AND($H81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($H81 / 1000) * X$10 * $BN$4 * 0.25
    ),
    0
)
+
IF(
    $N81 &lt; 0.875,
    MAX(0, MIN(($H81 / 1000) * X$10 * $BN$4, X$11 * 0.876) - (X$11 * $N81)) * 0.25,
    0
)</f>
        <v>0</v>
      </c>
      <c r="Y81" s="8" cm="1">
        <f t="array" ref="Y81">IF(
    AND($H81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($H81 / 1000) * Y$10 * $BN$4 * 0.25
    ),
    0
)
+
IF(
    $N81 &lt; 0.875,
    MAX(0, MIN(($H81 / 1000) * Y$10 * $BN$4, Y$11 * 0.876) - (Y$11 * $N81)) * 0.25,
    0
)</f>
        <v>0</v>
      </c>
      <c r="Z81" s="8" cm="1">
        <f t="array" ref="Z81">IF(
    AND($H81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($H81 / 1000) * Z$10 * $BN$4 * 0.25
    ),
    0
)
+
IF(
    $N81 &lt; 0.875,
    MAX(0, MIN(($H81 / 1000) * Z$10 * $BN$4, Z$11 * 0.876) - (Z$11 * $N81)) * 0.25,
    0
)</f>
        <v>0</v>
      </c>
      <c r="AA81" s="8">
        <f>AVERAGE(TabellaMar2026[[#This Row],[Colonna24]:[Colonna20]])</f>
        <v>0</v>
      </c>
      <c r="AB81" s="8">
        <f>MAX(TabellaMar2026[[#This Row],[Colonna24]:[Colonna20]])</f>
        <v>0</v>
      </c>
      <c r="AC81" s="35">
        <f>MIN(TabellaMar2026[[#This Row],[Colonna24]:[Colonna20]])</f>
        <v>0</v>
      </c>
      <c r="AD81" s="44">
        <f>SUM(TabellaMar2026[[#This Row],[Colonna24]:[Colonna20]])</f>
        <v>0</v>
      </c>
      <c r="AE81" s="36">
        <f>IF(
    AND($H81 &gt; $BN$7, Tabella01MarzoInverter[[#This Row],[Active power TX2-INV-1]] &lt;= 0, Tabella01MarzoInverter[[#This Row],[TX2 - Average Power]] &lt;= 0),
    MIN(($H81 / 1000) * AE$10 * $BN$4, AE$11 * 0.876) * 0.25,
    IF(
        AND($H81 &gt; $BN$7, Tabella01MarzoInverter[[#This Row],[Active power TX2-INV-1]] &lt;= 0),
        Tabella01MarzoInverter[[#This Row],[TX2 - Average Power]] * 0.25,
        0
    )
    +
    IF(
        $N81 &lt; 0.875,
        MAX(0, MIN(($H81 / 1000) * AE$10 * $BN$4, AE$11 * 0.876) - (AE$11 * $N81)) * 0.25,
        0
    )
)</f>
        <v>0</v>
      </c>
      <c r="AF81" s="36">
        <f>IF(
    AND($H81 &gt; $BN$7, Tabella01MarzoInverter[[#This Row],[Active power TX2-INV-2]] &lt;= 0, Tabella01MarzoInverter[[#This Row],[TX2 - Max Power]] &lt;= 0),
    MIN(($H81 / 1000) * AF$10 * $BN$4, AF$11 * 0.876) * 0.25,
    IF(
        AND($H81 &gt; $BN$7, Tabella01MarzoInverter[[#This Row],[Active power TX2-INV-2]] &lt;= 0),
        Tabella01MarzoInverter[[#This Row],[TX2 - Max Power]] * 0.25,
        0
    )
    +
    IF(
        $N81 &lt; 0.875,
        MAX(0, MIN(($H81 / 1000) * AF$10 * $BN$4, AF$11 * 0.876) - (AF$11 * $N81)) * 0.25,
        0
    )
)</f>
        <v>0</v>
      </c>
      <c r="AG81" s="36">
        <f>IF(
    AND($H81 &gt; $BN$7, Tabella01MarzoInverter[[#This Row],[Active power TX2-INV-3]] &lt;= 0, Tabella01MarzoInverter[[#This Row],[TX2 - Min Power]] &lt;= 0),
    MIN(($H81 / 1000) * AG$10 * $BN$4, AG$11 * 0.876) * 0.25,
    IF(
        AND($H81 &gt; $BN$7, Tabella01MarzoInverter[[#This Row],[Active power TX2-INV-3]] &lt;= 0),
        Tabella01MarzoInverter[[#This Row],[TX2 - Min Power]] * 0.25,
        0
    )
    +
    IF(
        $N81 &lt; 0.875,
        MAX(0, MIN(($H81 / 1000) * AG$10 * $BN$4, AG$11 * 0.876) - (AG$11 * $N81)) * 0.25,
        0
    )
)</f>
        <v>0</v>
      </c>
      <c r="AH81" s="36">
        <f>IF(
    AND($H81 &gt; $BN$7, Tabella01MarzoInverter[[#This Row],[Active power TX2-INV-4]] &lt;= 0, Tabella01MarzoInverter[[#This Row],[Active power TX3-INV-1]] &lt;= 0),
    MIN(($H81 / 1000) * AH$10 * $BN$4, AH$11 * 0.876) * 0.25,
    IF(
        AND($H81 &gt; $BN$7, Tabella01MarzoInverter[[#This Row],[Active power TX2-INV-4]] &lt;= 0),
        Tabella01MarzoInverter[[#This Row],[Active power TX3-INV-1]] * 0.25,
        0
    )
    +
    IF(
        $N81 &lt; 0.875,
        MAX(0, MIN(($H81 / 1000) * AH$10 * $BN$4, AH$11 * 0.876) - (AH$11 * $N81)) * 0.25,
        0
    )
)</f>
        <v>0</v>
      </c>
      <c r="AI81" s="36">
        <f>IF(
    AND($H81 &gt; $BN$7, Tabella01MarzoInverter[[#This Row],[Active power TX2-INV-5]] &lt;= 0, Tabella01MarzoInverter[[#This Row],[Active power TX3-INV-2]] &lt;= 0),
    MIN(($H81 / 1000) * AI$10 * $BN$4, AI$11 * 0.876) * 0.25,
    IF(
        AND($H81 &gt; $BN$7, Tabella01MarzoInverter[[#This Row],[Active power TX2-INV-5]] &lt;= 0),
        Tabella01MarzoInverter[[#This Row],[Active power TX3-INV-2]] * 0.25,
        0
    )
    +
    IF(
        $N81 &lt; 0.875,
        MAX(0, MIN(($H81 / 1000) * AI$10 * $BN$4, AI$11 * 0.876) - (AI$11 * $N81)) * 0.25,
        0
    )
)</f>
        <v>0</v>
      </c>
      <c r="AJ81" s="36">
        <f>IF(
    AND($H81 &gt; $BN$7, Tabella01MarzoInverter[[#This Row],[Active power TX2-INV-6]] &lt;= 0, Tabella01MarzoInverter[[#This Row],[Active power TX3-INV-3]] &lt;= 0),
    MIN(($H81 / 1000) * AJ$10 * $BN$4, AJ$11 * 0.876) * 0.25,
    IF(
        AND($H81 &gt; $BN$7, Tabella01MarzoInverter[[#This Row],[Active power TX2-INV-6]] &lt;= 0),
        Tabella01MarzoInverter[[#This Row],[Active power TX3-INV-3]] * 0.25,
        0
    )
    +
    IF(
        $N81 &lt; 0.875,
        MAX(0, MIN(($H81 / 1000) * AJ$10 * $BN$4, AJ$11 * 0.876) - (AJ$11 * $N81)) * 0.25,
        0
    )
)</f>
        <v>0</v>
      </c>
      <c r="AK81" s="36">
        <f>IF(
    AND($H81 &gt; $BN$7, Tabella01MarzoInverter[[#This Row],[Active power TX2-INV-7]] &lt;= 0, Tabella01MarzoInverter[[#This Row],[Active power TX3-INV-4]] &lt;= 0),
    MIN(($H81 / 1000) * AK$10 * $BN$4, AK$11 * 0.876) * 0.25,
    IF(
        AND($H81 &gt; $BN$7, Tabella01MarzoInverter[[#This Row],[Active power TX2-INV-7]] &lt;= 0),
        Tabella01MarzoInverter[[#This Row],[Active power TX3-INV-4]] * 0.25,
        0
    )
    +
    IF(
        $N81 &lt; 0.875,
        MAX(0, MIN(($H81 / 1000) * AK$10 * $BN$4, AK$11 * 0.876) - (AK$11 * $N81)) * 0.25,
        0
    )
)</f>
        <v>0</v>
      </c>
      <c r="AL81" s="36">
        <f>IF(
    AND($H81 &gt; $BN$7, Tabella01MarzoInverter[[#This Row],[Active power TX2-INV-8]] &lt;= 0, Tabella01MarzoInverter[[#This Row],[Active power TX3-INV-5]] &lt;= 0),
    MIN(($H81 / 1000) * AL$10 * $BN$4, AL$11 * 0.876) * 0.25,
    IF(
        AND($H81 &gt; $BN$7, Tabella01MarzoInverter[[#This Row],[Active power TX2-INV-8]] &lt;= 0),
        Tabella01MarzoInverter[[#This Row],[Active power TX3-INV-5]] * 0.25,
        0
    )
    +
    IF(
        $N81 &lt; 0.875,
        MAX(0, MIN(($H81 / 1000) * AL$10 * $BN$4, AL$11 * 0.876) - (AL$11 * $N81)) * 0.25,
        0
    )
)</f>
        <v>0</v>
      </c>
      <c r="AM81" s="36">
        <f>IF(
    AND($H81 &gt; $BN$7, Tabella01MarzoInverter[[#This Row],[Active power TX2-INV-9]] &lt;= 0, Tabella01MarzoInverter[[#This Row],[Active power TX3-INV-6]] &lt;= 0),
    MIN(($H81 / 1000) * AM$10 * $BN$4, AM$11 * 0.876) * 0.25,
    IF(
        AND($H81 &gt; $BN$7, Tabella01MarzoInverter[[#This Row],[Active power TX2-INV-9]] &lt;= 0),
        Tabella01MarzoInverter[[#This Row],[Active power TX3-INV-6]] * 0.25,
        0
    )
    +
    IF(
        $N81 &lt; 0.875,
        MAX(0, MIN(($H81 / 1000) * AM$10 * $BN$4, AM$11 * 0.876) - (AM$11 * $N81)) * 0.25,
        0
    )
)</f>
        <v>0</v>
      </c>
      <c r="AN81" s="36">
        <f>IF(
    AND($H81 &gt; $BN$7, Tabella01MarzoInverter[[#This Row],[Active power TX2-INV-10]] &lt;= 0, Tabella01MarzoInverter[[#This Row],[Active power TX3-INV-7]] &lt;= 0),
    MIN(($H81 / 1000) * AN$10 * $BN$4, AN$11 * 0.876) * 0.25,
    IF(
        AND($H81 &gt; $BN$7, Tabella01MarzoInverter[[#This Row],[Active power TX2-INV-10]] &lt;= 0),
        Tabella01MarzoInverter[[#This Row],[Active power TX3-INV-7]] * 0.25,
        0
    )
    +
    IF(
        $N81 &lt; 0.875,
        MAX(0, MIN(($H81 / 1000) * AN$10 * $BN$4, AN$11 * 0.876) - (AN$11 * $N81)) * 0.25,
        0
    )
)</f>
        <v>0</v>
      </c>
      <c r="AO81" s="36">
        <f>IF(
    AND($H81 &gt; $BN$7, Tabella01MarzoInverter[[#This Row],[Active power TX2-INV-11]] &lt;= 0, Tabella01MarzoInverter[[#This Row],[Active power TX3-INV-8]] &lt;= 0),
    MIN(($H81 / 1000) * AO$10 * $BN$4, AO$11 * 0.876) * 0.25,
    IF(
        AND($H81 &gt; $BN$7, Tabella01MarzoInverter[[#This Row],[Active power TX2-INV-11]] &lt;= 0),
        Tabella01MarzoInverter[[#This Row],[Active power TX3-INV-8]] * 0.25,
        0
    )
    +
    IF(
        $N81 &lt; 0.875,
        MAX(0, MIN(($H81 / 1000) * AO$10 * $BN$4, AO$11 * 0.876) - (AO$11 * $N81)) * 0.25,
        0
    )
)</f>
        <v>0</v>
      </c>
      <c r="AP81" s="36">
        <f>IF(
    AND($H81 &gt; $BN$7, Tabella01MarzoInverter[[#This Row],[Active power TX2-INV-12]] &lt;= 0, Tabella01MarzoInverter[[#This Row],[Active power TX3-INV-9]] &lt;= 0),
    MIN(($H81 / 1000) * AP$10 * $BN$4, AP$11 * 0.876) * 0.25,
    IF(
        AND($H81 &gt; $BN$7, Tabella01MarzoInverter[[#This Row],[Active power TX2-INV-12]] &lt;= 0),
        Tabella01MarzoInverter[[#This Row],[Active power TX3-INV-9]] * 0.25,
        0
    )
    +
    IF(
        $N81 &lt; 0.875,
        MAX(0, MIN(($H81 / 1000) * AP$10 * $BN$4, AP$11 * 0.876) - (AP$11 * $N81)) * 0.25,
        0
    )
)</f>
        <v>0</v>
      </c>
      <c r="AQ81" s="8">
        <f>AVERAGE(TabellaMar2026[[#This Row],[Colonna39]:[Colonna6]])</f>
        <v>0</v>
      </c>
      <c r="AR81" s="8">
        <f>MAX(TabellaMar2026[[#This Row],[Colonna39]:[Colonna6]])</f>
        <v>0</v>
      </c>
      <c r="AS81" s="35">
        <f>MIN(TabellaMar2026[[#This Row],[Colonna39]:[Colonna6]])</f>
        <v>0</v>
      </c>
      <c r="AT81" s="48">
        <f>SUM(TabellaMar2026[[#This Row],[Colonna39]:[Colonna6]])</f>
        <v>0</v>
      </c>
      <c r="AU81" s="36" cm="1">
        <f t="array" ref="AU81">IF(
    AND($H81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($H81 / 1000) * AU$10 * $BN$4 * 0.25
    ),
    0
)
+
IF(
    $N81 &lt; 0.875,
    MAX(0, MIN(($H81 / 1000) * AU$10 * $BN$4, AU$11 * 0.876) - (AU$11 * $N81)) * 0.25,
    0
)</f>
        <v>0</v>
      </c>
      <c r="AV81" s="36" cm="1">
        <f t="array" ref="AV81">IF(
    AND($H81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($H81 / 1000) * AV$10 * $BN$4 * 0.25
    ),
    0
)
+
IF(
    $N81 &lt; 0.875,
    MAX(0, MIN(($H81 / 1000) * AV$10 * $BN$4, AV$11 * 0.876) - (AV$11 * $N81)) * 0.25,
    0
)</f>
        <v>0</v>
      </c>
      <c r="AW81" s="36" cm="1">
        <f t="array" ref="AW81">IF(
    AND($H81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($H81 / 1000) * AW$10 * $BN$4 * 0.25
    ),
    0
)
+
IF(
    $N81 &lt; 0.875,
    MAX(0, MIN(($H81 / 1000) * AW$10 * $BN$4, AW$11 * 0.876) - (AW$11 * $N81)) * 0.25,
    0
)</f>
        <v>0</v>
      </c>
      <c r="AX81" s="36" cm="1">
        <f t="array" ref="AX81">IF(
    AND($H81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($H81 / 1000) * AX$10 * $BN$4 * 0.25
    ),
    0
)
+
IF(
    $N81 &lt; 0.875,
    MAX(0, MIN(($H81 / 1000) * AX$10 * $BN$4, AX$11 * 0.876) - (AX$11 * $N81)) * 0.25,
    0
)</f>
        <v>0</v>
      </c>
      <c r="AY81" s="36" cm="1">
        <f t="array" ref="AY81">IF(
    AND($H81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($H81 / 1000) * AY$10 * $BN$4 * 0.25
    ),
    0
)
+
IF(
    $N81 &lt; 0.875,
    MAX(0, MIN(($H81 / 1000) * AY$10 * $BN$4, AY$11 * 0.876) - (AY$11 * $N81)) * 0.25,
    0
)</f>
        <v>0</v>
      </c>
      <c r="AZ81" s="36" cm="1">
        <f t="array" ref="AZ81">IF(
    AND($H81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($H81 / 1000) * AZ$10 * $BN$4 * 0.25
    ),
    0
)
+
IF(
    $N81 &lt; 0.875,
    MAX(0, MIN(($H81 / 1000) * AZ$10 * $BN$4, AZ$11 * 0.876) - (AZ$11 * $N81)) * 0.25,
    0
)</f>
        <v>0</v>
      </c>
      <c r="BA81" s="36" cm="1">
        <f t="array" ref="BA81">IF(
    AND($H81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($H81 / 1000) * BA$10 * $BN$4 * 0.25
    ),
    0
)
+
IF(
    $N81 &lt; 0.875,
    MAX(0, MIN(($H81 / 1000) * BA$10 * $BN$4, BA$11 * 0.876) - (BA$11 * $N81)) * 0.25,
    0
)</f>
        <v>0</v>
      </c>
      <c r="BB81" s="36" cm="1">
        <f t="array" ref="BB81">IF(
    AND($H81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($H81 / 1000) * BB$10 * $BN$4 * 0.25
    ),
    0
)
+
IF(
    $N81 &lt; 0.875,
    MAX(0, MIN(($H81 / 1000) * BB$10 * $BN$4, BB$11 * 0.876) - (BB$11 * $N81)) * 0.25,
    0
)</f>
        <v>0</v>
      </c>
      <c r="BC81" s="36" cm="1">
        <f t="array" ref="BC81">IF(
    AND($H81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($H81 / 1000) * BC$10 * $BN$4 * 0.25
    ),
    0
)
+
IF(
    $N81 &lt; 0.875,
    MAX(0, MIN(($H81 / 1000) * BC$10 * $BN$4, BC$11 * 0.876) - (BC$11 * $N81)) * 0.25,
    0
)</f>
        <v>0</v>
      </c>
      <c r="BD81" s="36" cm="1">
        <f t="array" ref="BD81">IF(
    AND($H81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($H81 / 1000) * BD$10 * $BN$4 * 0.25
    ),
    0
)
+
IF(
    $N81 &lt; 0.875,
    MAX(0, MIN(($H81 / 1000) * BD$10 * $BN$4, BD$11 * 0.876) - (BD$11 * $N81)) * 0.25,
    0
)</f>
        <v>0</v>
      </c>
      <c r="BE81" s="36" cm="1">
        <f t="array" ref="BE81">IF(
    AND($H81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($H81 / 1000) * BE$10 * $BN$4 * 0.25
    ),
    0
)
+
IF(
    $N81 &lt; 0.875,
    MAX(0, MIN(($H81 / 1000) * BE$10 * $BN$4, BE$11 * 0.876) - (BE$11 * $N81)) * 0.25,
    0
)</f>
        <v>0</v>
      </c>
      <c r="BF81" s="36" cm="1">
        <f t="array" ref="BF81">IF(
    AND($H81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($H81 / 1000) * BF$10 * $BN$4 * 0.25
    ),
    0
)
+
IF(
    $N81 &lt; 0.875,
    MAX(0, MIN(($H81 / 1000) * BF$10 * $BN$4, BF$11 * 0.876) - (BF$11 * $N81)) * 0.25,
    0
)</f>
        <v>0</v>
      </c>
      <c r="BG81" s="8">
        <f>AVERAGE(TabellaMar2026[[#This Row],[Colonna55]:[Colonna53]])</f>
        <v>0</v>
      </c>
      <c r="BH81" s="8">
        <f>MAX(TabellaMar2026[[#This Row],[Colonna55]:[Colonna53]])</f>
        <v>0</v>
      </c>
      <c r="BI81" s="35">
        <f>MIN(TabellaMar2026[[#This Row],[Colonna55]:[Colonna53]])</f>
        <v>0</v>
      </c>
      <c r="BJ81" s="48">
        <f>SUM(TabellaMar2026[[#This Row],[Colonna54]:[Colonna53]])</f>
        <v>0</v>
      </c>
      <c r="BK81" s="54">
        <f>(SUM(Tabella01MarzoInverter[[Active power TX1-INV-1]:[Active power TX3-INV-12]]) * 0.25) / (12625 * (SUM($G$15:$H$110) * 0.25 / 1000))</f>
        <v>1.014229628761051</v>
      </c>
      <c r="BL81" s="5"/>
      <c r="BM81" s="5"/>
      <c r="BN81" s="5"/>
      <c r="BO81" s="8"/>
      <c r="BP81" s="19"/>
    </row>
    <row r="82" spans="1:68" x14ac:dyDescent="0.25">
      <c r="A82" s="18">
        <v>46147</v>
      </c>
      <c r="B82" t="s">
        <v>82</v>
      </c>
      <c r="C82" s="5">
        <v>655</v>
      </c>
      <c r="D82" s="6">
        <v>0.16375000000000001</v>
      </c>
      <c r="E82" s="6">
        <v>635.9</v>
      </c>
      <c r="F82" s="6">
        <v>0.15897500000000001</v>
      </c>
      <c r="G82" s="6">
        <f>IFERROR((D82+F82)/2, 0)</f>
        <v>0.16136250000000002</v>
      </c>
      <c r="H82" s="7">
        <f>IFERROR(IF(AVERAGE(C82,E82)&gt;$BN$7,AVERAGE(C82,E82),0), 0)</f>
        <v>645.45000000000005</v>
      </c>
      <c r="I82" s="7">
        <f>IFERROR(IF(AND(D82=0,F82=0),0,IF(H82&gt;$BN$6,MAX(D82,F82),G82)), 0)</f>
        <v>0.16375000000000001</v>
      </c>
      <c r="J82" s="6">
        <f>IFERROR(IF(AND(D82&gt;0,F82&gt;0),ABS(D82-F82)/AVERAGE(D82,F82),0), 0)</f>
        <v>2.9591757688434431E-2</v>
      </c>
      <c r="K82" s="6">
        <v>30456.5</v>
      </c>
      <c r="L82" s="6">
        <v>30458</v>
      </c>
      <c r="M82" s="8">
        <f>IFERROR((L82-K82)*1000, 0)</f>
        <v>1500</v>
      </c>
      <c r="N82" s="6">
        <v>0.87599999999999989</v>
      </c>
      <c r="O82" s="8" cm="1">
        <f t="array" ref="O82">IF(
    AND($H82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($H82 / 1000) * O$10 * $BN$4 * 0.25
    ),
    0
)
+
IF(
    $N82 &lt; 0.875,
    MAX(0, MIN(($H82 / 1000) * O$10 * $BN$4, O$11 * 0.876) - (O$11 * $N82)) * 0.25,
    0
)</f>
        <v>0</v>
      </c>
      <c r="P82" s="8" cm="1">
        <f t="array" ref="P82">IF(
    AND($H82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($H82 / 1000) * P$10 * $BN$4 * 0.25
    ),
    0
)
+
IF(
    $N82 &lt; 0.875,
    MAX(0, MIN(($H82 / 1000) * P$10 * $BN$4, P$11 * 0.876) - (P$11 * $N82)) * 0.25,
    0
)</f>
        <v>0</v>
      </c>
      <c r="Q82" s="8" cm="1">
        <f t="array" ref="Q82">IF(
    AND($H82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($H82 / 1000) * Q$10 * $BN$4 * 0.25
    ),
    0
)
+
IF(
    $N82 &lt; 0.875,
    MAX(0, MIN(($H82 / 1000) * Q$10 * $BN$4, Q$11 * 0.876) - (Q$11 * $N82)) * 0.25,
    0
)</f>
        <v>0</v>
      </c>
      <c r="R82" s="8" cm="1">
        <f t="array" ref="R82">IF(
    AND($H82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($H82 / 1000) * R$10 * $BN$4 * 0.25
    ),
    0
)
+
IF(
    $N82 &lt; 0.875,
    MAX(0, MIN(($H82 / 1000) * R$10 * $BN$4, R$11 * 0.876) - (R$11 * $N82)) * 0.25,
    0
)</f>
        <v>0</v>
      </c>
      <c r="S82" s="8" cm="1">
        <f t="array" ref="S82">IF(
    AND($H82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($H82 / 1000) * S$10 * $BN$4 * 0.25
    ),
    0
)
+
IF(
    $N82 &lt; 0.875,
    MAX(0, MIN(($H82 / 1000) * S$10 * $BN$4, S$11 * 0.876) - (S$11 * $N82)) * 0.25,
    0
)</f>
        <v>0</v>
      </c>
      <c r="T82" s="8" cm="1">
        <f t="array" ref="T82">IF(
    AND($H82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($H82 / 1000) * T$10 * $BN$4 * 0.25
    ),
    0
)
+
IF(
    $N82 &lt; 0.875,
    MAX(0, MIN(($H82 / 1000) * T$10 * $BN$4, T$11 * 0.876) - (T$11 * $N82)) * 0.25,
    0
)</f>
        <v>0</v>
      </c>
      <c r="U82" s="8" cm="1">
        <f t="array" ref="U82">IF(
    AND($H82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($H82 / 1000) * U$10 * $BN$4 * 0.25
    ),
    0
)
+
IF(
    $N82 &lt; 0.875,
    MAX(0, MIN(($H82 / 1000) * U$10 * $BN$4, U$11 * 0.876) - (U$11 * $N82)) * 0.25,
    0
)</f>
        <v>0</v>
      </c>
      <c r="V82" s="8" cm="1">
        <f t="array" ref="V82">IF(
    AND($H82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($H82 / 1000) * V$10 * $BN$4 * 0.25
    ),
    0
)
+
IF(
    $N82 &lt; 0.875,
    MAX(0, MIN(($H82 / 1000) * V$10 * $BN$4, V$11 * 0.876) - (V$11 * $N82)) * 0.25,
    0
)</f>
        <v>0</v>
      </c>
      <c r="W82" s="8" cm="1">
        <f t="array" ref="W82">IF(
    AND($H82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($H82 / 1000) * W$10 * $BN$4 * 0.25
    ),
    0
)
+
IF(
    $N82 &lt; 0.875,
    MAX(0, MIN(($H82 / 1000) * W$10 * $BN$4, W$11 * 0.876) - (W$11 * $N82)) * 0.25,
    0
)</f>
        <v>0</v>
      </c>
      <c r="X82" s="8" cm="1">
        <f t="array" ref="X82">IF(
    AND($H82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($H82 / 1000) * X$10 * $BN$4 * 0.25
    ),
    0
)
+
IF(
    $N82 &lt; 0.875,
    MAX(0, MIN(($H82 / 1000) * X$10 * $BN$4, X$11 * 0.876) - (X$11 * $N82)) * 0.25,
    0
)</f>
        <v>0</v>
      </c>
      <c r="Y82" s="8" cm="1">
        <f t="array" ref="Y82">IF(
    AND($H82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($H82 / 1000) * Y$10 * $BN$4 * 0.25
    ),
    0
)
+
IF(
    $N82 &lt; 0.875,
    MAX(0, MIN(($H82 / 1000) * Y$10 * $BN$4, Y$11 * 0.876) - (Y$11 * $N82)) * 0.25,
    0
)</f>
        <v>0</v>
      </c>
      <c r="Z82" s="8" cm="1">
        <f t="array" ref="Z82">IF(
    AND($H82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($H82 / 1000) * Z$10 * $BN$4 * 0.25
    ),
    0
)
+
IF(
    $N82 &lt; 0.875,
    MAX(0, MIN(($H82 / 1000) * Z$10 * $BN$4, Z$11 * 0.876) - (Z$11 * $N82)) * 0.25,
    0
)</f>
        <v>0</v>
      </c>
      <c r="AA82" s="8">
        <f>AVERAGE(TabellaMar2026[[#This Row],[Colonna24]:[Colonna20]])</f>
        <v>0</v>
      </c>
      <c r="AB82" s="8">
        <f>MAX(TabellaMar2026[[#This Row],[Colonna24]:[Colonna20]])</f>
        <v>0</v>
      </c>
      <c r="AC82" s="35">
        <f>MIN(TabellaMar2026[[#This Row],[Colonna24]:[Colonna20]])</f>
        <v>0</v>
      </c>
      <c r="AD82" s="44">
        <f>SUM(TabellaMar2026[[#This Row],[Colonna24]:[Colonna20]])</f>
        <v>0</v>
      </c>
      <c r="AE82" s="36">
        <f>IF(
    AND($H82 &gt; $BN$7, Tabella01MarzoInverter[[#This Row],[Active power TX2-INV-1]] &lt;= 0, Tabella01MarzoInverter[[#This Row],[TX2 - Average Power]] &lt;= 0),
    MIN(($H82 / 1000) * AE$10 * $BN$4, AE$11 * 0.876) * 0.25,
    IF(
        AND($H82 &gt; $BN$7, Tabella01MarzoInverter[[#This Row],[Active power TX2-INV-1]] &lt;= 0),
        Tabella01MarzoInverter[[#This Row],[TX2 - Average Power]] * 0.25,
        0
    )
    +
    IF(
        $N82 &lt; 0.875,
        MAX(0, MIN(($H82 / 1000) * AE$10 * $BN$4, AE$11 * 0.876) - (AE$11 * $N82)) * 0.25,
        0
    )
)</f>
        <v>0</v>
      </c>
      <c r="AF82" s="36">
        <f>IF(
    AND($H82 &gt; $BN$7, Tabella01MarzoInverter[[#This Row],[Active power TX2-INV-2]] &lt;= 0, Tabella01MarzoInverter[[#This Row],[TX2 - Max Power]] &lt;= 0),
    MIN(($H82 / 1000) * AF$10 * $BN$4, AF$11 * 0.876) * 0.25,
    IF(
        AND($H82 &gt; $BN$7, Tabella01MarzoInverter[[#This Row],[Active power TX2-INV-2]] &lt;= 0),
        Tabella01MarzoInverter[[#This Row],[TX2 - Max Power]] * 0.25,
        0
    )
    +
    IF(
        $N82 &lt; 0.875,
        MAX(0, MIN(($H82 / 1000) * AF$10 * $BN$4, AF$11 * 0.876) - (AF$11 * $N82)) * 0.25,
        0
    )
)</f>
        <v>0</v>
      </c>
      <c r="AG82" s="36">
        <f>IF(
    AND($H82 &gt; $BN$7, Tabella01MarzoInverter[[#This Row],[Active power TX2-INV-3]] &lt;= 0, Tabella01MarzoInverter[[#This Row],[TX2 - Min Power]] &lt;= 0),
    MIN(($H82 / 1000) * AG$10 * $BN$4, AG$11 * 0.876) * 0.25,
    IF(
        AND($H82 &gt; $BN$7, Tabella01MarzoInverter[[#This Row],[Active power TX2-INV-3]] &lt;= 0),
        Tabella01MarzoInverter[[#This Row],[TX2 - Min Power]] * 0.25,
        0
    )
    +
    IF(
        $N82 &lt; 0.875,
        MAX(0, MIN(($H82 / 1000) * AG$10 * $BN$4, AG$11 * 0.876) - (AG$11 * $N82)) * 0.25,
        0
    )
)</f>
        <v>0</v>
      </c>
      <c r="AH82" s="36">
        <f>IF(
    AND($H82 &gt; $BN$7, Tabella01MarzoInverter[[#This Row],[Active power TX2-INV-4]] &lt;= 0, Tabella01MarzoInverter[[#This Row],[Active power TX3-INV-1]] &lt;= 0),
    MIN(($H82 / 1000) * AH$10 * $BN$4, AH$11 * 0.876) * 0.25,
    IF(
        AND($H82 &gt; $BN$7, Tabella01MarzoInverter[[#This Row],[Active power TX2-INV-4]] &lt;= 0),
        Tabella01MarzoInverter[[#This Row],[Active power TX3-INV-1]] * 0.25,
        0
    )
    +
    IF(
        $N82 &lt; 0.875,
        MAX(0, MIN(($H82 / 1000) * AH$10 * $BN$4, AH$11 * 0.876) - (AH$11 * $N82)) * 0.25,
        0
    )
)</f>
        <v>0</v>
      </c>
      <c r="AI82" s="36">
        <f>IF(
    AND($H82 &gt; $BN$7, Tabella01MarzoInverter[[#This Row],[Active power TX2-INV-5]] &lt;= 0, Tabella01MarzoInverter[[#This Row],[Active power TX3-INV-2]] &lt;= 0),
    MIN(($H82 / 1000) * AI$10 * $BN$4, AI$11 * 0.876) * 0.25,
    IF(
        AND($H82 &gt; $BN$7, Tabella01MarzoInverter[[#This Row],[Active power TX2-INV-5]] &lt;= 0),
        Tabella01MarzoInverter[[#This Row],[Active power TX3-INV-2]] * 0.25,
        0
    )
    +
    IF(
        $N82 &lt; 0.875,
        MAX(0, MIN(($H82 / 1000) * AI$10 * $BN$4, AI$11 * 0.876) - (AI$11 * $N82)) * 0.25,
        0
    )
)</f>
        <v>0</v>
      </c>
      <c r="AJ82" s="36">
        <f>IF(
    AND($H82 &gt; $BN$7, Tabella01MarzoInverter[[#This Row],[Active power TX2-INV-6]] &lt;= 0, Tabella01MarzoInverter[[#This Row],[Active power TX3-INV-3]] &lt;= 0),
    MIN(($H82 / 1000) * AJ$10 * $BN$4, AJ$11 * 0.876) * 0.25,
    IF(
        AND($H82 &gt; $BN$7, Tabella01MarzoInverter[[#This Row],[Active power TX2-INV-6]] &lt;= 0),
        Tabella01MarzoInverter[[#This Row],[Active power TX3-INV-3]] * 0.25,
        0
    )
    +
    IF(
        $N82 &lt; 0.875,
        MAX(0, MIN(($H82 / 1000) * AJ$10 * $BN$4, AJ$11 * 0.876) - (AJ$11 * $N82)) * 0.25,
        0
    )
)</f>
        <v>0</v>
      </c>
      <c r="AK82" s="36">
        <f>IF(
    AND($H82 &gt; $BN$7, Tabella01MarzoInverter[[#This Row],[Active power TX2-INV-7]] &lt;= 0, Tabella01MarzoInverter[[#This Row],[Active power TX3-INV-4]] &lt;= 0),
    MIN(($H82 / 1000) * AK$10 * $BN$4, AK$11 * 0.876) * 0.25,
    IF(
        AND($H82 &gt; $BN$7, Tabella01MarzoInverter[[#This Row],[Active power TX2-INV-7]] &lt;= 0),
        Tabella01MarzoInverter[[#This Row],[Active power TX3-INV-4]] * 0.25,
        0
    )
    +
    IF(
        $N82 &lt; 0.875,
        MAX(0, MIN(($H82 / 1000) * AK$10 * $BN$4, AK$11 * 0.876) - (AK$11 * $N82)) * 0.25,
        0
    )
)</f>
        <v>0</v>
      </c>
      <c r="AL82" s="36">
        <f>IF(
    AND($H82 &gt; $BN$7, Tabella01MarzoInverter[[#This Row],[Active power TX2-INV-8]] &lt;= 0, Tabella01MarzoInverter[[#This Row],[Active power TX3-INV-5]] &lt;= 0),
    MIN(($H82 / 1000) * AL$10 * $BN$4, AL$11 * 0.876) * 0.25,
    IF(
        AND($H82 &gt; $BN$7, Tabella01MarzoInverter[[#This Row],[Active power TX2-INV-8]] &lt;= 0),
        Tabella01MarzoInverter[[#This Row],[Active power TX3-INV-5]] * 0.25,
        0
    )
    +
    IF(
        $N82 &lt; 0.875,
        MAX(0, MIN(($H82 / 1000) * AL$10 * $BN$4, AL$11 * 0.876) - (AL$11 * $N82)) * 0.25,
        0
    )
)</f>
        <v>0</v>
      </c>
      <c r="AM82" s="36">
        <f>IF(
    AND($H82 &gt; $BN$7, Tabella01MarzoInverter[[#This Row],[Active power TX2-INV-9]] &lt;= 0, Tabella01MarzoInverter[[#This Row],[Active power TX3-INV-6]] &lt;= 0),
    MIN(($H82 / 1000) * AM$10 * $BN$4, AM$11 * 0.876) * 0.25,
    IF(
        AND($H82 &gt; $BN$7, Tabella01MarzoInverter[[#This Row],[Active power TX2-INV-9]] &lt;= 0),
        Tabella01MarzoInverter[[#This Row],[Active power TX3-INV-6]] * 0.25,
        0
    )
    +
    IF(
        $N82 &lt; 0.875,
        MAX(0, MIN(($H82 / 1000) * AM$10 * $BN$4, AM$11 * 0.876) - (AM$11 * $N82)) * 0.25,
        0
    )
)</f>
        <v>0</v>
      </c>
      <c r="AN82" s="36">
        <f>IF(
    AND($H82 &gt; $BN$7, Tabella01MarzoInverter[[#This Row],[Active power TX2-INV-10]] &lt;= 0, Tabella01MarzoInverter[[#This Row],[Active power TX3-INV-7]] &lt;= 0),
    MIN(($H82 / 1000) * AN$10 * $BN$4, AN$11 * 0.876) * 0.25,
    IF(
        AND($H82 &gt; $BN$7, Tabella01MarzoInverter[[#This Row],[Active power TX2-INV-10]] &lt;= 0),
        Tabella01MarzoInverter[[#This Row],[Active power TX3-INV-7]] * 0.25,
        0
    )
    +
    IF(
        $N82 &lt; 0.875,
        MAX(0, MIN(($H82 / 1000) * AN$10 * $BN$4, AN$11 * 0.876) - (AN$11 * $N82)) * 0.25,
        0
    )
)</f>
        <v>0</v>
      </c>
      <c r="AO82" s="36">
        <f>IF(
    AND($H82 &gt; $BN$7, Tabella01MarzoInverter[[#This Row],[Active power TX2-INV-11]] &lt;= 0, Tabella01MarzoInverter[[#This Row],[Active power TX3-INV-8]] &lt;= 0),
    MIN(($H82 / 1000) * AO$10 * $BN$4, AO$11 * 0.876) * 0.25,
    IF(
        AND($H82 &gt; $BN$7, Tabella01MarzoInverter[[#This Row],[Active power TX2-INV-11]] &lt;= 0),
        Tabella01MarzoInverter[[#This Row],[Active power TX3-INV-8]] * 0.25,
        0
    )
    +
    IF(
        $N82 &lt; 0.875,
        MAX(0, MIN(($H82 / 1000) * AO$10 * $BN$4, AO$11 * 0.876) - (AO$11 * $N82)) * 0.25,
        0
    )
)</f>
        <v>0</v>
      </c>
      <c r="AP82" s="36">
        <f>IF(
    AND($H82 &gt; $BN$7, Tabella01MarzoInverter[[#This Row],[Active power TX2-INV-12]] &lt;= 0, Tabella01MarzoInverter[[#This Row],[Active power TX3-INV-9]] &lt;= 0),
    MIN(($H82 / 1000) * AP$10 * $BN$4, AP$11 * 0.876) * 0.25,
    IF(
        AND($H82 &gt; $BN$7, Tabella01MarzoInverter[[#This Row],[Active power TX2-INV-12]] &lt;= 0),
        Tabella01MarzoInverter[[#This Row],[Active power TX3-INV-9]] * 0.25,
        0
    )
    +
    IF(
        $N82 &lt; 0.875,
        MAX(0, MIN(($H82 / 1000) * AP$10 * $BN$4, AP$11 * 0.876) - (AP$11 * $N82)) * 0.25,
        0
    )
)</f>
        <v>0</v>
      </c>
      <c r="AQ82" s="8">
        <f>AVERAGE(TabellaMar2026[[#This Row],[Colonna39]:[Colonna6]])</f>
        <v>0</v>
      </c>
      <c r="AR82" s="8">
        <f>MAX(TabellaMar2026[[#This Row],[Colonna39]:[Colonna6]])</f>
        <v>0</v>
      </c>
      <c r="AS82" s="35">
        <f>MIN(TabellaMar2026[[#This Row],[Colonna39]:[Colonna6]])</f>
        <v>0</v>
      </c>
      <c r="AT82" s="48">
        <f>SUM(TabellaMar2026[[#This Row],[Colonna39]:[Colonna6]])</f>
        <v>0</v>
      </c>
      <c r="AU82" s="36" cm="1">
        <f t="array" ref="AU82">IF(
    AND($H82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($H82 / 1000) * AU$10 * $BN$4 * 0.25
    ),
    0
)
+
IF(
    $N82 &lt; 0.875,
    MAX(0, MIN(($H82 / 1000) * AU$10 * $BN$4, AU$11 * 0.876) - (AU$11 * $N82)) * 0.25,
    0
)</f>
        <v>0</v>
      </c>
      <c r="AV82" s="36" cm="1">
        <f t="array" ref="AV82">IF(
    AND($H82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($H82 / 1000) * AV$10 * $BN$4 * 0.25
    ),
    0
)
+
IF(
    $N82 &lt; 0.875,
    MAX(0, MIN(($H82 / 1000) * AV$10 * $BN$4, AV$11 * 0.876) - (AV$11 * $N82)) * 0.25,
    0
)</f>
        <v>0</v>
      </c>
      <c r="AW82" s="36" cm="1">
        <f t="array" ref="AW82">IF(
    AND($H82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($H82 / 1000) * AW$10 * $BN$4 * 0.25
    ),
    0
)
+
IF(
    $N82 &lt; 0.875,
    MAX(0, MIN(($H82 / 1000) * AW$10 * $BN$4, AW$11 * 0.876) - (AW$11 * $N82)) * 0.25,
    0
)</f>
        <v>0</v>
      </c>
      <c r="AX82" s="36" cm="1">
        <f t="array" ref="AX82">IF(
    AND($H82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($H82 / 1000) * AX$10 * $BN$4 * 0.25
    ),
    0
)
+
IF(
    $N82 &lt; 0.875,
    MAX(0, MIN(($H82 / 1000) * AX$10 * $BN$4, AX$11 * 0.876) - (AX$11 * $N82)) * 0.25,
    0
)</f>
        <v>0</v>
      </c>
      <c r="AY82" s="36" cm="1">
        <f t="array" ref="AY82">IF(
    AND($H82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($H82 / 1000) * AY$10 * $BN$4 * 0.25
    ),
    0
)
+
IF(
    $N82 &lt; 0.875,
    MAX(0, MIN(($H82 / 1000) * AY$10 * $BN$4, AY$11 * 0.876) - (AY$11 * $N82)) * 0.25,
    0
)</f>
        <v>0</v>
      </c>
      <c r="AZ82" s="36" cm="1">
        <f t="array" ref="AZ82">IF(
    AND($H82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($H82 / 1000) * AZ$10 * $BN$4 * 0.25
    ),
    0
)
+
IF(
    $N82 &lt; 0.875,
    MAX(0, MIN(($H82 / 1000) * AZ$10 * $BN$4, AZ$11 * 0.876) - (AZ$11 * $N82)) * 0.25,
    0
)</f>
        <v>0</v>
      </c>
      <c r="BA82" s="36" cm="1">
        <f t="array" ref="BA82">IF(
    AND($H82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($H82 / 1000) * BA$10 * $BN$4 * 0.25
    ),
    0
)
+
IF(
    $N82 &lt; 0.875,
    MAX(0, MIN(($H82 / 1000) * BA$10 * $BN$4, BA$11 * 0.876) - (BA$11 * $N82)) * 0.25,
    0
)</f>
        <v>0</v>
      </c>
      <c r="BB82" s="36" cm="1">
        <f t="array" ref="BB82">IF(
    AND($H82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($H82 / 1000) * BB$10 * $BN$4 * 0.25
    ),
    0
)
+
IF(
    $N82 &lt; 0.875,
    MAX(0, MIN(($H82 / 1000) * BB$10 * $BN$4, BB$11 * 0.876) - (BB$11 * $N82)) * 0.25,
    0
)</f>
        <v>0</v>
      </c>
      <c r="BC82" s="36" cm="1">
        <f t="array" ref="BC82">IF(
    AND($H82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($H82 / 1000) * BC$10 * $BN$4 * 0.25
    ),
    0
)
+
IF(
    $N82 &lt; 0.875,
    MAX(0, MIN(($H82 / 1000) * BC$10 * $BN$4, BC$11 * 0.876) - (BC$11 * $N82)) * 0.25,
    0
)</f>
        <v>0</v>
      </c>
      <c r="BD82" s="36" cm="1">
        <f t="array" ref="BD82">IF(
    AND($H82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($H82 / 1000) * BD$10 * $BN$4 * 0.25
    ),
    0
)
+
IF(
    $N82 &lt; 0.875,
    MAX(0, MIN(($H82 / 1000) * BD$10 * $BN$4, BD$11 * 0.876) - (BD$11 * $N82)) * 0.25,
    0
)</f>
        <v>0</v>
      </c>
      <c r="BE82" s="36" cm="1">
        <f t="array" ref="BE82">IF(
    AND($H82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($H82 / 1000) * BE$10 * $BN$4 * 0.25
    ),
    0
)
+
IF(
    $N82 &lt; 0.875,
    MAX(0, MIN(($H82 / 1000) * BE$10 * $BN$4, BE$11 * 0.876) - (BE$11 * $N82)) * 0.25,
    0
)</f>
        <v>0</v>
      </c>
      <c r="BF82" s="36" cm="1">
        <f t="array" ref="BF82">IF(
    AND($H82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($H82 / 1000) * BF$10 * $BN$4 * 0.25
    ),
    0
)
+
IF(
    $N82 &lt; 0.875,
    MAX(0, MIN(($H82 / 1000) * BF$10 * $BN$4, BF$11 * 0.876) - (BF$11 * $N82)) * 0.25,
    0
)</f>
        <v>0</v>
      </c>
      <c r="BG82" s="8">
        <f>AVERAGE(TabellaMar2026[[#This Row],[Colonna55]:[Colonna53]])</f>
        <v>0</v>
      </c>
      <c r="BH82" s="8">
        <f>MAX(TabellaMar2026[[#This Row],[Colonna55]:[Colonna53]])</f>
        <v>0</v>
      </c>
      <c r="BI82" s="35">
        <f>MIN(TabellaMar2026[[#This Row],[Colonna55]:[Colonna53]])</f>
        <v>0</v>
      </c>
      <c r="BJ82" s="48">
        <f>SUM(TabellaMar2026[[#This Row],[Colonna54]:[Colonna53]])</f>
        <v>0</v>
      </c>
      <c r="BK82" s="54">
        <f>(SUM(Tabella01MarzoInverter[[Active power TX1-INV-1]:[Active power TX3-INV-12]]) * 0.25) / (12625 * (SUM($G$15:$H$110) * 0.25 / 1000))</f>
        <v>1.014229628761051</v>
      </c>
      <c r="BL82" s="5"/>
      <c r="BM82" s="5"/>
      <c r="BN82" s="5"/>
      <c r="BO82" s="8"/>
      <c r="BP82" s="19"/>
    </row>
    <row r="83" spans="1:68" x14ac:dyDescent="0.25">
      <c r="A83" s="18">
        <v>46147</v>
      </c>
      <c r="B83" t="s">
        <v>83</v>
      </c>
      <c r="C83" s="5">
        <v>751.4</v>
      </c>
      <c r="D83" s="6">
        <v>0.18784999999999999</v>
      </c>
      <c r="E83" s="6">
        <v>719.6</v>
      </c>
      <c r="F83" s="6">
        <v>0.1799</v>
      </c>
      <c r="G83" s="6">
        <f>IFERROR((D83+F83)/2, 0)</f>
        <v>0.18387500000000001</v>
      </c>
      <c r="H83" s="7">
        <f>IFERROR(IF(AVERAGE(C83,E83)&gt;$BN$7,AVERAGE(C83,E83),0), 0)</f>
        <v>735.5</v>
      </c>
      <c r="I83" s="7">
        <f>IFERROR(IF(AND(D83=0,F83=0),0,IF(H83&gt;$BN$6,MAX(D83,F83),G83)), 0)</f>
        <v>0.18784999999999999</v>
      </c>
      <c r="J83" s="6">
        <f>IFERROR(IF(AND(D83&gt;0,F83&gt;0),ABS(D83-F83)/AVERAGE(D83,F83),0), 0)</f>
        <v>4.3235893949694001E-2</v>
      </c>
      <c r="K83" s="6">
        <v>30458</v>
      </c>
      <c r="L83" s="6">
        <v>30460</v>
      </c>
      <c r="M83" s="8">
        <f>IFERROR((L83-K83)*1000, 0)</f>
        <v>2000</v>
      </c>
      <c r="N83" s="6">
        <v>0.87599999999999989</v>
      </c>
      <c r="O83" s="8" cm="1">
        <f t="array" ref="O83">IF(
    AND($H83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($H83 / 1000) * O$10 * $BN$4 * 0.25
    ),
    0
)
+
IF(
    $N83 &lt; 0.875,
    MAX(0, MIN(($H83 / 1000) * O$10 * $BN$4, O$11 * 0.876) - (O$11 * $N83)) * 0.25,
    0
)</f>
        <v>0</v>
      </c>
      <c r="P83" s="8" cm="1">
        <f t="array" ref="P83">IF(
    AND($H83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($H83 / 1000) * P$10 * $BN$4 * 0.25
    ),
    0
)
+
IF(
    $N83 &lt; 0.875,
    MAX(0, MIN(($H83 / 1000) * P$10 * $BN$4, P$11 * 0.876) - (P$11 * $N83)) * 0.25,
    0
)</f>
        <v>0</v>
      </c>
      <c r="Q83" s="8" cm="1">
        <f t="array" ref="Q83">IF(
    AND($H83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($H83 / 1000) * Q$10 * $BN$4 * 0.25
    ),
    0
)
+
IF(
    $N83 &lt; 0.875,
    MAX(0, MIN(($H83 / 1000) * Q$10 * $BN$4, Q$11 * 0.876) - (Q$11 * $N83)) * 0.25,
    0
)</f>
        <v>0</v>
      </c>
      <c r="R83" s="8" cm="1">
        <f t="array" ref="R83">IF(
    AND($H83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($H83 / 1000) * R$10 * $BN$4 * 0.25
    ),
    0
)
+
IF(
    $N83 &lt; 0.875,
    MAX(0, MIN(($H83 / 1000) * R$10 * $BN$4, R$11 * 0.876) - (R$11 * $N83)) * 0.25,
    0
)</f>
        <v>0</v>
      </c>
      <c r="S83" s="8" cm="1">
        <f t="array" ref="S83">IF(
    AND($H83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($H83 / 1000) * S$10 * $BN$4 * 0.25
    ),
    0
)
+
IF(
    $N83 &lt; 0.875,
    MAX(0, MIN(($H83 / 1000) * S$10 * $BN$4, S$11 * 0.876) - (S$11 * $N83)) * 0.25,
    0
)</f>
        <v>0</v>
      </c>
      <c r="T83" s="8" cm="1">
        <f t="array" ref="T83">IF(
    AND($H83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($H83 / 1000) * T$10 * $BN$4 * 0.25
    ),
    0
)
+
IF(
    $N83 &lt; 0.875,
    MAX(0, MIN(($H83 / 1000) * T$10 * $BN$4, T$11 * 0.876) - (T$11 * $N83)) * 0.25,
    0
)</f>
        <v>0</v>
      </c>
      <c r="U83" s="8" cm="1">
        <f t="array" ref="U83">IF(
    AND($H83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($H83 / 1000) * U$10 * $BN$4 * 0.25
    ),
    0
)
+
IF(
    $N83 &lt; 0.875,
    MAX(0, MIN(($H83 / 1000) * U$10 * $BN$4, U$11 * 0.876) - (U$11 * $N83)) * 0.25,
    0
)</f>
        <v>0</v>
      </c>
      <c r="V83" s="8" cm="1">
        <f t="array" ref="V83">IF(
    AND($H83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($H83 / 1000) * V$10 * $BN$4 * 0.25
    ),
    0
)
+
IF(
    $N83 &lt; 0.875,
    MAX(0, MIN(($H83 / 1000) * V$10 * $BN$4, V$11 * 0.876) - (V$11 * $N83)) * 0.25,
    0
)</f>
        <v>0</v>
      </c>
      <c r="W83" s="8" cm="1">
        <f t="array" ref="W83">IF(
    AND($H83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($H83 / 1000) * W$10 * $BN$4 * 0.25
    ),
    0
)
+
IF(
    $N83 &lt; 0.875,
    MAX(0, MIN(($H83 / 1000) * W$10 * $BN$4, W$11 * 0.876) - (W$11 * $N83)) * 0.25,
    0
)</f>
        <v>0</v>
      </c>
      <c r="X83" s="8" cm="1">
        <f t="array" ref="X83">IF(
    AND($H83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($H83 / 1000) * X$10 * $BN$4 * 0.25
    ),
    0
)
+
IF(
    $N83 &lt; 0.875,
    MAX(0, MIN(($H83 / 1000) * X$10 * $BN$4, X$11 * 0.876) - (X$11 * $N83)) * 0.25,
    0
)</f>
        <v>0</v>
      </c>
      <c r="Y83" s="8" cm="1">
        <f t="array" ref="Y83">IF(
    AND($H83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($H83 / 1000) * Y$10 * $BN$4 * 0.25
    ),
    0
)
+
IF(
    $N83 &lt; 0.875,
    MAX(0, MIN(($H83 / 1000) * Y$10 * $BN$4, Y$11 * 0.876) - (Y$11 * $N83)) * 0.25,
    0
)</f>
        <v>0</v>
      </c>
      <c r="Z83" s="8" cm="1">
        <f t="array" ref="Z83">IF(
    AND($H83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($H83 / 1000) * Z$10 * $BN$4 * 0.25
    ),
    0
)
+
IF(
    $N83 &lt; 0.875,
    MAX(0, MIN(($H83 / 1000) * Z$10 * $BN$4, Z$11 * 0.876) - (Z$11 * $N83)) * 0.25,
    0
)</f>
        <v>0</v>
      </c>
      <c r="AA83" s="8">
        <f>AVERAGE(TabellaMar2026[[#This Row],[Colonna24]:[Colonna20]])</f>
        <v>0</v>
      </c>
      <c r="AB83" s="8">
        <f>MAX(TabellaMar2026[[#This Row],[Colonna24]:[Colonna20]])</f>
        <v>0</v>
      </c>
      <c r="AC83" s="35">
        <f>MIN(TabellaMar2026[[#This Row],[Colonna24]:[Colonna20]])</f>
        <v>0</v>
      </c>
      <c r="AD83" s="44">
        <f>SUM(TabellaMar2026[[#This Row],[Colonna24]:[Colonna20]])</f>
        <v>0</v>
      </c>
      <c r="AE83" s="36">
        <f>IF(
    AND($H83 &gt; $BN$7, Tabella01MarzoInverter[[#This Row],[Active power TX2-INV-1]] &lt;= 0, Tabella01MarzoInverter[[#This Row],[TX2 - Average Power]] &lt;= 0),
    MIN(($H83 / 1000) * AE$10 * $BN$4, AE$11 * 0.876) * 0.25,
    IF(
        AND($H83 &gt; $BN$7, Tabella01MarzoInverter[[#This Row],[Active power TX2-INV-1]] &lt;= 0),
        Tabella01MarzoInverter[[#This Row],[TX2 - Average Power]] * 0.25,
        0
    )
    +
    IF(
        $N83 &lt; 0.875,
        MAX(0, MIN(($H83 / 1000) * AE$10 * $BN$4, AE$11 * 0.876) - (AE$11 * $N83)) * 0.25,
        0
    )
)</f>
        <v>0</v>
      </c>
      <c r="AF83" s="36">
        <f>IF(
    AND($H83 &gt; $BN$7, Tabella01MarzoInverter[[#This Row],[Active power TX2-INV-2]] &lt;= 0, Tabella01MarzoInverter[[#This Row],[TX2 - Max Power]] &lt;= 0),
    MIN(($H83 / 1000) * AF$10 * $BN$4, AF$11 * 0.876) * 0.25,
    IF(
        AND($H83 &gt; $BN$7, Tabella01MarzoInverter[[#This Row],[Active power TX2-INV-2]] &lt;= 0),
        Tabella01MarzoInverter[[#This Row],[TX2 - Max Power]] * 0.25,
        0
    )
    +
    IF(
        $N83 &lt; 0.875,
        MAX(0, MIN(($H83 / 1000) * AF$10 * $BN$4, AF$11 * 0.876) - (AF$11 * $N83)) * 0.25,
        0
    )
)</f>
        <v>0</v>
      </c>
      <c r="AG83" s="36">
        <f>IF(
    AND($H83 &gt; $BN$7, Tabella01MarzoInverter[[#This Row],[Active power TX2-INV-3]] &lt;= 0, Tabella01MarzoInverter[[#This Row],[TX2 - Min Power]] &lt;= 0),
    MIN(($H83 / 1000) * AG$10 * $BN$4, AG$11 * 0.876) * 0.25,
    IF(
        AND($H83 &gt; $BN$7, Tabella01MarzoInverter[[#This Row],[Active power TX2-INV-3]] &lt;= 0),
        Tabella01MarzoInverter[[#This Row],[TX2 - Min Power]] * 0.25,
        0
    )
    +
    IF(
        $N83 &lt; 0.875,
        MAX(0, MIN(($H83 / 1000) * AG$10 * $BN$4, AG$11 * 0.876) - (AG$11 * $N83)) * 0.25,
        0
    )
)</f>
        <v>0</v>
      </c>
      <c r="AH83" s="36">
        <f>IF(
    AND($H83 &gt; $BN$7, Tabella01MarzoInverter[[#This Row],[Active power TX2-INV-4]] &lt;= 0, Tabella01MarzoInverter[[#This Row],[Active power TX3-INV-1]] &lt;= 0),
    MIN(($H83 / 1000) * AH$10 * $BN$4, AH$11 * 0.876) * 0.25,
    IF(
        AND($H83 &gt; $BN$7, Tabella01MarzoInverter[[#This Row],[Active power TX2-INV-4]] &lt;= 0),
        Tabella01MarzoInverter[[#This Row],[Active power TX3-INV-1]] * 0.25,
        0
    )
    +
    IF(
        $N83 &lt; 0.875,
        MAX(0, MIN(($H83 / 1000) * AH$10 * $BN$4, AH$11 * 0.876) - (AH$11 * $N83)) * 0.25,
        0
    )
)</f>
        <v>0</v>
      </c>
      <c r="AI83" s="36">
        <f>IF(
    AND($H83 &gt; $BN$7, Tabella01MarzoInverter[[#This Row],[Active power TX2-INV-5]] &lt;= 0, Tabella01MarzoInverter[[#This Row],[Active power TX3-INV-2]] &lt;= 0),
    MIN(($H83 / 1000) * AI$10 * $BN$4, AI$11 * 0.876) * 0.25,
    IF(
        AND($H83 &gt; $BN$7, Tabella01MarzoInverter[[#This Row],[Active power TX2-INV-5]] &lt;= 0),
        Tabella01MarzoInverter[[#This Row],[Active power TX3-INV-2]] * 0.25,
        0
    )
    +
    IF(
        $N83 &lt; 0.875,
        MAX(0, MIN(($H83 / 1000) * AI$10 * $BN$4, AI$11 * 0.876) - (AI$11 * $N83)) * 0.25,
        0
    )
)</f>
        <v>0</v>
      </c>
      <c r="AJ83" s="36">
        <f>IF(
    AND($H83 &gt; $BN$7, Tabella01MarzoInverter[[#This Row],[Active power TX2-INV-6]] &lt;= 0, Tabella01MarzoInverter[[#This Row],[Active power TX3-INV-3]] &lt;= 0),
    MIN(($H83 / 1000) * AJ$10 * $BN$4, AJ$11 * 0.876) * 0.25,
    IF(
        AND($H83 &gt; $BN$7, Tabella01MarzoInverter[[#This Row],[Active power TX2-INV-6]] &lt;= 0),
        Tabella01MarzoInverter[[#This Row],[Active power TX3-INV-3]] * 0.25,
        0
    )
    +
    IF(
        $N83 &lt; 0.875,
        MAX(0, MIN(($H83 / 1000) * AJ$10 * $BN$4, AJ$11 * 0.876) - (AJ$11 * $N83)) * 0.25,
        0
    )
)</f>
        <v>0</v>
      </c>
      <c r="AK83" s="36">
        <f>IF(
    AND($H83 &gt; $BN$7, Tabella01MarzoInverter[[#This Row],[Active power TX2-INV-7]] &lt;= 0, Tabella01MarzoInverter[[#This Row],[Active power TX3-INV-4]] &lt;= 0),
    MIN(($H83 / 1000) * AK$10 * $BN$4, AK$11 * 0.876) * 0.25,
    IF(
        AND($H83 &gt; $BN$7, Tabella01MarzoInverter[[#This Row],[Active power TX2-INV-7]] &lt;= 0),
        Tabella01MarzoInverter[[#This Row],[Active power TX3-INV-4]] * 0.25,
        0
    )
    +
    IF(
        $N83 &lt; 0.875,
        MAX(0, MIN(($H83 / 1000) * AK$10 * $BN$4, AK$11 * 0.876) - (AK$11 * $N83)) * 0.25,
        0
    )
)</f>
        <v>0</v>
      </c>
      <c r="AL83" s="36">
        <f>IF(
    AND($H83 &gt; $BN$7, Tabella01MarzoInverter[[#This Row],[Active power TX2-INV-8]] &lt;= 0, Tabella01MarzoInverter[[#This Row],[Active power TX3-INV-5]] &lt;= 0),
    MIN(($H83 / 1000) * AL$10 * $BN$4, AL$11 * 0.876) * 0.25,
    IF(
        AND($H83 &gt; $BN$7, Tabella01MarzoInverter[[#This Row],[Active power TX2-INV-8]] &lt;= 0),
        Tabella01MarzoInverter[[#This Row],[Active power TX3-INV-5]] * 0.25,
        0
    )
    +
    IF(
        $N83 &lt; 0.875,
        MAX(0, MIN(($H83 / 1000) * AL$10 * $BN$4, AL$11 * 0.876) - (AL$11 * $N83)) * 0.25,
        0
    )
)</f>
        <v>0</v>
      </c>
      <c r="AM83" s="36">
        <f>IF(
    AND($H83 &gt; $BN$7, Tabella01MarzoInverter[[#This Row],[Active power TX2-INV-9]] &lt;= 0, Tabella01MarzoInverter[[#This Row],[Active power TX3-INV-6]] &lt;= 0),
    MIN(($H83 / 1000) * AM$10 * $BN$4, AM$11 * 0.876) * 0.25,
    IF(
        AND($H83 &gt; $BN$7, Tabella01MarzoInverter[[#This Row],[Active power TX2-INV-9]] &lt;= 0),
        Tabella01MarzoInverter[[#This Row],[Active power TX3-INV-6]] * 0.25,
        0
    )
    +
    IF(
        $N83 &lt; 0.875,
        MAX(0, MIN(($H83 / 1000) * AM$10 * $BN$4, AM$11 * 0.876) - (AM$11 * $N83)) * 0.25,
        0
    )
)</f>
        <v>0</v>
      </c>
      <c r="AN83" s="36">
        <f>IF(
    AND($H83 &gt; $BN$7, Tabella01MarzoInverter[[#This Row],[Active power TX2-INV-10]] &lt;= 0, Tabella01MarzoInverter[[#This Row],[Active power TX3-INV-7]] &lt;= 0),
    MIN(($H83 / 1000) * AN$10 * $BN$4, AN$11 * 0.876) * 0.25,
    IF(
        AND($H83 &gt; $BN$7, Tabella01MarzoInverter[[#This Row],[Active power TX2-INV-10]] &lt;= 0),
        Tabella01MarzoInverter[[#This Row],[Active power TX3-INV-7]] * 0.25,
        0
    )
    +
    IF(
        $N83 &lt; 0.875,
        MAX(0, MIN(($H83 / 1000) * AN$10 * $BN$4, AN$11 * 0.876) - (AN$11 * $N83)) * 0.25,
        0
    )
)</f>
        <v>0</v>
      </c>
      <c r="AO83" s="36">
        <f>IF(
    AND($H83 &gt; $BN$7, Tabella01MarzoInverter[[#This Row],[Active power TX2-INV-11]] &lt;= 0, Tabella01MarzoInverter[[#This Row],[Active power TX3-INV-8]] &lt;= 0),
    MIN(($H83 / 1000) * AO$10 * $BN$4, AO$11 * 0.876) * 0.25,
    IF(
        AND($H83 &gt; $BN$7, Tabella01MarzoInverter[[#This Row],[Active power TX2-INV-11]] &lt;= 0),
        Tabella01MarzoInverter[[#This Row],[Active power TX3-INV-8]] * 0.25,
        0
    )
    +
    IF(
        $N83 &lt; 0.875,
        MAX(0, MIN(($H83 / 1000) * AO$10 * $BN$4, AO$11 * 0.876) - (AO$11 * $N83)) * 0.25,
        0
    )
)</f>
        <v>0</v>
      </c>
      <c r="AP83" s="36">
        <f>IF(
    AND($H83 &gt; $BN$7, Tabella01MarzoInverter[[#This Row],[Active power TX2-INV-12]] &lt;= 0, Tabella01MarzoInverter[[#This Row],[Active power TX3-INV-9]] &lt;= 0),
    MIN(($H83 / 1000) * AP$10 * $BN$4, AP$11 * 0.876) * 0.25,
    IF(
        AND($H83 &gt; $BN$7, Tabella01MarzoInverter[[#This Row],[Active power TX2-INV-12]] &lt;= 0),
        Tabella01MarzoInverter[[#This Row],[Active power TX3-INV-9]] * 0.25,
        0
    )
    +
    IF(
        $N83 &lt; 0.875,
        MAX(0, MIN(($H83 / 1000) * AP$10 * $BN$4, AP$11 * 0.876) - (AP$11 * $N83)) * 0.25,
        0
    )
)</f>
        <v>0</v>
      </c>
      <c r="AQ83" s="8">
        <f>AVERAGE(TabellaMar2026[[#This Row],[Colonna39]:[Colonna6]])</f>
        <v>0</v>
      </c>
      <c r="AR83" s="8">
        <f>MAX(TabellaMar2026[[#This Row],[Colonna39]:[Colonna6]])</f>
        <v>0</v>
      </c>
      <c r="AS83" s="35">
        <f>MIN(TabellaMar2026[[#This Row],[Colonna39]:[Colonna6]])</f>
        <v>0</v>
      </c>
      <c r="AT83" s="48">
        <f>SUM(TabellaMar2026[[#This Row],[Colonna39]:[Colonna6]])</f>
        <v>0</v>
      </c>
      <c r="AU83" s="36" cm="1">
        <f t="array" ref="AU83">IF(
    AND($H83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($H83 / 1000) * AU$10 * $BN$4 * 0.25
    ),
    0
)
+
IF(
    $N83 &lt; 0.875,
    MAX(0, MIN(($H83 / 1000) * AU$10 * $BN$4, AU$11 * 0.876) - (AU$11 * $N83)) * 0.25,
    0
)</f>
        <v>0</v>
      </c>
      <c r="AV83" s="36" cm="1">
        <f t="array" ref="AV83">IF(
    AND($H83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($H83 / 1000) * AV$10 * $BN$4 * 0.25
    ),
    0
)
+
IF(
    $N83 &lt; 0.875,
    MAX(0, MIN(($H83 / 1000) * AV$10 * $BN$4, AV$11 * 0.876) - (AV$11 * $N83)) * 0.25,
    0
)</f>
        <v>0</v>
      </c>
      <c r="AW83" s="36" cm="1">
        <f t="array" ref="AW83">IF(
    AND($H83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($H83 / 1000) * AW$10 * $BN$4 * 0.25
    ),
    0
)
+
IF(
    $N83 &lt; 0.875,
    MAX(0, MIN(($H83 / 1000) * AW$10 * $BN$4, AW$11 * 0.876) - (AW$11 * $N83)) * 0.25,
    0
)</f>
        <v>0</v>
      </c>
      <c r="AX83" s="36" cm="1">
        <f t="array" ref="AX83">IF(
    AND($H83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($H83 / 1000) * AX$10 * $BN$4 * 0.25
    ),
    0
)
+
IF(
    $N83 &lt; 0.875,
    MAX(0, MIN(($H83 / 1000) * AX$10 * $BN$4, AX$11 * 0.876) - (AX$11 * $N83)) * 0.25,
    0
)</f>
        <v>0</v>
      </c>
      <c r="AY83" s="36" cm="1">
        <f t="array" ref="AY83">IF(
    AND($H83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($H83 / 1000) * AY$10 * $BN$4 * 0.25
    ),
    0
)
+
IF(
    $N83 &lt; 0.875,
    MAX(0, MIN(($H83 / 1000) * AY$10 * $BN$4, AY$11 * 0.876) - (AY$11 * $N83)) * 0.25,
    0
)</f>
        <v>0</v>
      </c>
      <c r="AZ83" s="36" cm="1">
        <f t="array" ref="AZ83">IF(
    AND($H83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($H83 / 1000) * AZ$10 * $BN$4 * 0.25
    ),
    0
)
+
IF(
    $N83 &lt; 0.875,
    MAX(0, MIN(($H83 / 1000) * AZ$10 * $BN$4, AZ$11 * 0.876) - (AZ$11 * $N83)) * 0.25,
    0
)</f>
        <v>0</v>
      </c>
      <c r="BA83" s="36" cm="1">
        <f t="array" ref="BA83">IF(
    AND($H83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($H83 / 1000) * BA$10 * $BN$4 * 0.25
    ),
    0
)
+
IF(
    $N83 &lt; 0.875,
    MAX(0, MIN(($H83 / 1000) * BA$10 * $BN$4, BA$11 * 0.876) - (BA$11 * $N83)) * 0.25,
    0
)</f>
        <v>0</v>
      </c>
      <c r="BB83" s="36" cm="1">
        <f t="array" ref="BB83">IF(
    AND($H83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($H83 / 1000) * BB$10 * $BN$4 * 0.25
    ),
    0
)
+
IF(
    $N83 &lt; 0.875,
    MAX(0, MIN(($H83 / 1000) * BB$10 * $BN$4, BB$11 * 0.876) - (BB$11 * $N83)) * 0.25,
    0
)</f>
        <v>0</v>
      </c>
      <c r="BC83" s="36" cm="1">
        <f t="array" ref="BC83">IF(
    AND($H83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($H83 / 1000) * BC$10 * $BN$4 * 0.25
    ),
    0
)
+
IF(
    $N83 &lt; 0.875,
    MAX(0, MIN(($H83 / 1000) * BC$10 * $BN$4, BC$11 * 0.876) - (BC$11 * $N83)) * 0.25,
    0
)</f>
        <v>0</v>
      </c>
      <c r="BD83" s="36" cm="1">
        <f t="array" ref="BD83">IF(
    AND($H83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($H83 / 1000) * BD$10 * $BN$4 * 0.25
    ),
    0
)
+
IF(
    $N83 &lt; 0.875,
    MAX(0, MIN(($H83 / 1000) * BD$10 * $BN$4, BD$11 * 0.876) - (BD$11 * $N83)) * 0.25,
    0
)</f>
        <v>0</v>
      </c>
      <c r="BE83" s="36" cm="1">
        <f t="array" ref="BE83">IF(
    AND($H83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($H83 / 1000) * BE$10 * $BN$4 * 0.25
    ),
    0
)
+
IF(
    $N83 &lt; 0.875,
    MAX(0, MIN(($H83 / 1000) * BE$10 * $BN$4, BE$11 * 0.876) - (BE$11 * $N83)) * 0.25,
    0
)</f>
        <v>0</v>
      </c>
      <c r="BF83" s="36" cm="1">
        <f t="array" ref="BF83">IF(
    AND($H83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($H83 / 1000) * BF$10 * $BN$4 * 0.25
    ),
    0
)
+
IF(
    $N83 &lt; 0.875,
    MAX(0, MIN(($H83 / 1000) * BF$10 * $BN$4, BF$11 * 0.876) - (BF$11 * $N83)) * 0.25,
    0
)</f>
        <v>0</v>
      </c>
      <c r="BG83" s="8">
        <f>AVERAGE(TabellaMar2026[[#This Row],[Colonna55]:[Colonna53]])</f>
        <v>0</v>
      </c>
      <c r="BH83" s="8">
        <f>MAX(TabellaMar2026[[#This Row],[Colonna55]:[Colonna53]])</f>
        <v>0</v>
      </c>
      <c r="BI83" s="35">
        <f>MIN(TabellaMar2026[[#This Row],[Colonna55]:[Colonna53]])</f>
        <v>0</v>
      </c>
      <c r="BJ83" s="48">
        <f>SUM(TabellaMar2026[[#This Row],[Colonna54]:[Colonna53]])</f>
        <v>0</v>
      </c>
      <c r="BK83" s="54">
        <f>(SUM(Tabella01MarzoInverter[[Active power TX1-INV-1]:[Active power TX3-INV-12]]) * 0.25) / (12625 * (SUM($G$15:$H$110) * 0.25 / 1000))</f>
        <v>1.014229628761051</v>
      </c>
      <c r="BL83" s="5"/>
      <c r="BM83" s="5"/>
      <c r="BN83" s="5"/>
      <c r="BO83" s="8"/>
      <c r="BP83" s="19"/>
    </row>
    <row r="84" spans="1:68" x14ac:dyDescent="0.25">
      <c r="A84" s="18">
        <v>46147</v>
      </c>
      <c r="B84" t="s">
        <v>84</v>
      </c>
      <c r="C84" s="5">
        <v>797.6</v>
      </c>
      <c r="D84" s="6">
        <v>0.19939999999999999</v>
      </c>
      <c r="E84" s="6">
        <v>798.5</v>
      </c>
      <c r="F84" s="6">
        <v>0.199625</v>
      </c>
      <c r="G84" s="6">
        <f>IFERROR((D84+F84)/2, 0)</f>
        <v>0.19951249999999998</v>
      </c>
      <c r="H84" s="7">
        <f>IFERROR(IF(AVERAGE(C84,E84)&gt;$BN$7,AVERAGE(C84,E84),0), 0)</f>
        <v>798.05</v>
      </c>
      <c r="I84" s="7">
        <f>IFERROR(IF(AND(D84=0,F84=0),0,IF(H84&gt;$BN$6,MAX(D84,F84),G84)), 0)</f>
        <v>0.199625</v>
      </c>
      <c r="J84" s="6">
        <f>IFERROR(IF(AND(D84&gt;0,F84&gt;0),ABS(D84-F84)/AVERAGE(D84,F84),0), 0)</f>
        <v>1.1277488879143061E-3</v>
      </c>
      <c r="K84" s="6">
        <v>30460</v>
      </c>
      <c r="L84" s="6">
        <v>30462.1</v>
      </c>
      <c r="M84" s="8">
        <f>IFERROR((L84-K84)*1000, 0)</f>
        <v>2099.9999999985448</v>
      </c>
      <c r="N84" s="6">
        <v>0.87599999999999989</v>
      </c>
      <c r="O84" s="8" cm="1">
        <f t="array" ref="O84">IF(
    AND($H84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($H84 / 1000) * O$10 * $BN$4 * 0.25
    ),
    0
)
+
IF(
    $N84 &lt; 0.875,
    MAX(0, MIN(($H84 / 1000) * O$10 * $BN$4, O$11 * 0.876) - (O$11 * $N84)) * 0.25,
    0
)</f>
        <v>0</v>
      </c>
      <c r="P84" s="8" cm="1">
        <f t="array" ref="P84">IF(
    AND($H84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($H84 / 1000) * P$10 * $BN$4 * 0.25
    ),
    0
)
+
IF(
    $N84 &lt; 0.875,
    MAX(0, MIN(($H84 / 1000) * P$10 * $BN$4, P$11 * 0.876) - (P$11 * $N84)) * 0.25,
    0
)</f>
        <v>0</v>
      </c>
      <c r="Q84" s="8" cm="1">
        <f t="array" ref="Q84">IF(
    AND($H84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($H84 / 1000) * Q$10 * $BN$4 * 0.25
    ),
    0
)
+
IF(
    $N84 &lt; 0.875,
    MAX(0, MIN(($H84 / 1000) * Q$10 * $BN$4, Q$11 * 0.876) - (Q$11 * $N84)) * 0.25,
    0
)</f>
        <v>0</v>
      </c>
      <c r="R84" s="8" cm="1">
        <f t="array" ref="R84">IF(
    AND($H84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($H84 / 1000) * R$10 * $BN$4 * 0.25
    ),
    0
)
+
IF(
    $N84 &lt; 0.875,
    MAX(0, MIN(($H84 / 1000) * R$10 * $BN$4, R$11 * 0.876) - (R$11 * $N84)) * 0.25,
    0
)</f>
        <v>0</v>
      </c>
      <c r="S84" s="8" cm="1">
        <f t="array" ref="S84">IF(
    AND($H84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($H84 / 1000) * S$10 * $BN$4 * 0.25
    ),
    0
)
+
IF(
    $N84 &lt; 0.875,
    MAX(0, MIN(($H84 / 1000) * S$10 * $BN$4, S$11 * 0.876) - (S$11 * $N84)) * 0.25,
    0
)</f>
        <v>0</v>
      </c>
      <c r="T84" s="8" cm="1">
        <f t="array" ref="T84">IF(
    AND($H84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($H84 / 1000) * T$10 * $BN$4 * 0.25
    ),
    0
)
+
IF(
    $N84 &lt; 0.875,
    MAX(0, MIN(($H84 / 1000) * T$10 * $BN$4, T$11 * 0.876) - (T$11 * $N84)) * 0.25,
    0
)</f>
        <v>0</v>
      </c>
      <c r="U84" s="8" cm="1">
        <f t="array" ref="U84">IF(
    AND($H84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($H84 / 1000) * U$10 * $BN$4 * 0.25
    ),
    0
)
+
IF(
    $N84 &lt; 0.875,
    MAX(0, MIN(($H84 / 1000) * U$10 * $BN$4, U$11 * 0.876) - (U$11 * $N84)) * 0.25,
    0
)</f>
        <v>0</v>
      </c>
      <c r="V84" s="8" cm="1">
        <f t="array" ref="V84">IF(
    AND($H84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($H84 / 1000) * V$10 * $BN$4 * 0.25
    ),
    0
)
+
IF(
    $N84 &lt; 0.875,
    MAX(0, MIN(($H84 / 1000) * V$10 * $BN$4, V$11 * 0.876) - (V$11 * $N84)) * 0.25,
    0
)</f>
        <v>0</v>
      </c>
      <c r="W84" s="8" cm="1">
        <f t="array" ref="W84">IF(
    AND($H84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($H84 / 1000) * W$10 * $BN$4 * 0.25
    ),
    0
)
+
IF(
    $N84 &lt; 0.875,
    MAX(0, MIN(($H84 / 1000) * W$10 * $BN$4, W$11 * 0.876) - (W$11 * $N84)) * 0.25,
    0
)</f>
        <v>0</v>
      </c>
      <c r="X84" s="8" cm="1">
        <f t="array" ref="X84">IF(
    AND($H84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($H84 / 1000) * X$10 * $BN$4 * 0.25
    ),
    0
)
+
IF(
    $N84 &lt; 0.875,
    MAX(0, MIN(($H84 / 1000) * X$10 * $BN$4, X$11 * 0.876) - (X$11 * $N84)) * 0.25,
    0
)</f>
        <v>0</v>
      </c>
      <c r="Y84" s="8" cm="1">
        <f t="array" ref="Y84">IF(
    AND($H84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($H84 / 1000) * Y$10 * $BN$4 * 0.25
    ),
    0
)
+
IF(
    $N84 &lt; 0.875,
    MAX(0, MIN(($H84 / 1000) * Y$10 * $BN$4, Y$11 * 0.876) - (Y$11 * $N84)) * 0.25,
    0
)</f>
        <v>0</v>
      </c>
      <c r="Z84" s="8" cm="1">
        <f t="array" ref="Z84">IF(
    AND($H84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($H84 / 1000) * Z$10 * $BN$4 * 0.25
    ),
    0
)
+
IF(
    $N84 &lt; 0.875,
    MAX(0, MIN(($H84 / 1000) * Z$10 * $BN$4, Z$11 * 0.876) - (Z$11 * $N84)) * 0.25,
    0
)</f>
        <v>0</v>
      </c>
      <c r="AA84" s="8">
        <f>AVERAGE(TabellaMar2026[[#This Row],[Colonna24]:[Colonna20]])</f>
        <v>0</v>
      </c>
      <c r="AB84" s="8">
        <f>MAX(TabellaMar2026[[#This Row],[Colonna24]:[Colonna20]])</f>
        <v>0</v>
      </c>
      <c r="AC84" s="35">
        <f>MIN(TabellaMar2026[[#This Row],[Colonna24]:[Colonna20]])</f>
        <v>0</v>
      </c>
      <c r="AD84" s="44">
        <f>SUM(TabellaMar2026[[#This Row],[Colonna24]:[Colonna20]])</f>
        <v>0</v>
      </c>
      <c r="AE84" s="36">
        <f>IF(
    AND($H84 &gt; $BN$7, Tabella01MarzoInverter[[#This Row],[Active power TX2-INV-1]] &lt;= 0, Tabella01MarzoInverter[[#This Row],[TX2 - Average Power]] &lt;= 0),
    MIN(($H84 / 1000) * AE$10 * $BN$4, AE$11 * 0.876) * 0.25,
    IF(
        AND($H84 &gt; $BN$7, Tabella01MarzoInverter[[#This Row],[Active power TX2-INV-1]] &lt;= 0),
        Tabella01MarzoInverter[[#This Row],[TX2 - Average Power]] * 0.25,
        0
    )
    +
    IF(
        $N84 &lt; 0.875,
        MAX(0, MIN(($H84 / 1000) * AE$10 * $BN$4, AE$11 * 0.876) - (AE$11 * $N84)) * 0.25,
        0
    )
)</f>
        <v>0</v>
      </c>
      <c r="AF84" s="36">
        <f>IF(
    AND($H84 &gt; $BN$7, Tabella01MarzoInverter[[#This Row],[Active power TX2-INV-2]] &lt;= 0, Tabella01MarzoInverter[[#This Row],[TX2 - Max Power]] &lt;= 0),
    MIN(($H84 / 1000) * AF$10 * $BN$4, AF$11 * 0.876) * 0.25,
    IF(
        AND($H84 &gt; $BN$7, Tabella01MarzoInverter[[#This Row],[Active power TX2-INV-2]] &lt;= 0),
        Tabella01MarzoInverter[[#This Row],[TX2 - Max Power]] * 0.25,
        0
    )
    +
    IF(
        $N84 &lt; 0.875,
        MAX(0, MIN(($H84 / 1000) * AF$10 * $BN$4, AF$11 * 0.876) - (AF$11 * $N84)) * 0.25,
        0
    )
)</f>
        <v>0</v>
      </c>
      <c r="AG84" s="36">
        <f>IF(
    AND($H84 &gt; $BN$7, Tabella01MarzoInverter[[#This Row],[Active power TX2-INV-3]] &lt;= 0, Tabella01MarzoInverter[[#This Row],[TX2 - Min Power]] &lt;= 0),
    MIN(($H84 / 1000) * AG$10 * $BN$4, AG$11 * 0.876) * 0.25,
    IF(
        AND($H84 &gt; $BN$7, Tabella01MarzoInverter[[#This Row],[Active power TX2-INV-3]] &lt;= 0),
        Tabella01MarzoInverter[[#This Row],[TX2 - Min Power]] * 0.25,
        0
    )
    +
    IF(
        $N84 &lt; 0.875,
        MAX(0, MIN(($H84 / 1000) * AG$10 * $BN$4, AG$11 * 0.876) - (AG$11 * $N84)) * 0.25,
        0
    )
)</f>
        <v>0</v>
      </c>
      <c r="AH84" s="36">
        <f>IF(
    AND($H84 &gt; $BN$7, Tabella01MarzoInverter[[#This Row],[Active power TX2-INV-4]] &lt;= 0, Tabella01MarzoInverter[[#This Row],[Active power TX3-INV-1]] &lt;= 0),
    MIN(($H84 / 1000) * AH$10 * $BN$4, AH$11 * 0.876) * 0.25,
    IF(
        AND($H84 &gt; $BN$7, Tabella01MarzoInverter[[#This Row],[Active power TX2-INV-4]] &lt;= 0),
        Tabella01MarzoInverter[[#This Row],[Active power TX3-INV-1]] * 0.25,
        0
    )
    +
    IF(
        $N84 &lt; 0.875,
        MAX(0, MIN(($H84 / 1000) * AH$10 * $BN$4, AH$11 * 0.876) - (AH$11 * $N84)) * 0.25,
        0
    )
)</f>
        <v>0</v>
      </c>
      <c r="AI84" s="36">
        <f>IF(
    AND($H84 &gt; $BN$7, Tabella01MarzoInverter[[#This Row],[Active power TX2-INV-5]] &lt;= 0, Tabella01MarzoInverter[[#This Row],[Active power TX3-INV-2]] &lt;= 0),
    MIN(($H84 / 1000) * AI$10 * $BN$4, AI$11 * 0.876) * 0.25,
    IF(
        AND($H84 &gt; $BN$7, Tabella01MarzoInverter[[#This Row],[Active power TX2-INV-5]] &lt;= 0),
        Tabella01MarzoInverter[[#This Row],[Active power TX3-INV-2]] * 0.25,
        0
    )
    +
    IF(
        $N84 &lt; 0.875,
        MAX(0, MIN(($H84 / 1000) * AI$10 * $BN$4, AI$11 * 0.876) - (AI$11 * $N84)) * 0.25,
        0
    )
)</f>
        <v>0</v>
      </c>
      <c r="AJ84" s="36">
        <f>IF(
    AND($H84 &gt; $BN$7, Tabella01MarzoInverter[[#This Row],[Active power TX2-INV-6]] &lt;= 0, Tabella01MarzoInverter[[#This Row],[Active power TX3-INV-3]] &lt;= 0),
    MIN(($H84 / 1000) * AJ$10 * $BN$4, AJ$11 * 0.876) * 0.25,
    IF(
        AND($H84 &gt; $BN$7, Tabella01MarzoInverter[[#This Row],[Active power TX2-INV-6]] &lt;= 0),
        Tabella01MarzoInverter[[#This Row],[Active power TX3-INV-3]] * 0.25,
        0
    )
    +
    IF(
        $N84 &lt; 0.875,
        MAX(0, MIN(($H84 / 1000) * AJ$10 * $BN$4, AJ$11 * 0.876) - (AJ$11 * $N84)) * 0.25,
        0
    )
)</f>
        <v>0</v>
      </c>
      <c r="AK84" s="36">
        <f>IF(
    AND($H84 &gt; $BN$7, Tabella01MarzoInverter[[#This Row],[Active power TX2-INV-7]] &lt;= 0, Tabella01MarzoInverter[[#This Row],[Active power TX3-INV-4]] &lt;= 0),
    MIN(($H84 / 1000) * AK$10 * $BN$4, AK$11 * 0.876) * 0.25,
    IF(
        AND($H84 &gt; $BN$7, Tabella01MarzoInverter[[#This Row],[Active power TX2-INV-7]] &lt;= 0),
        Tabella01MarzoInverter[[#This Row],[Active power TX3-INV-4]] * 0.25,
        0
    )
    +
    IF(
        $N84 &lt; 0.875,
        MAX(0, MIN(($H84 / 1000) * AK$10 * $BN$4, AK$11 * 0.876) - (AK$11 * $N84)) * 0.25,
        0
    )
)</f>
        <v>0</v>
      </c>
      <c r="AL84" s="36">
        <f>IF(
    AND($H84 &gt; $BN$7, Tabella01MarzoInverter[[#This Row],[Active power TX2-INV-8]] &lt;= 0, Tabella01MarzoInverter[[#This Row],[Active power TX3-INV-5]] &lt;= 0),
    MIN(($H84 / 1000) * AL$10 * $BN$4, AL$11 * 0.876) * 0.25,
    IF(
        AND($H84 &gt; $BN$7, Tabella01MarzoInverter[[#This Row],[Active power TX2-INV-8]] &lt;= 0),
        Tabella01MarzoInverter[[#This Row],[Active power TX3-INV-5]] * 0.25,
        0
    )
    +
    IF(
        $N84 &lt; 0.875,
        MAX(0, MIN(($H84 / 1000) * AL$10 * $BN$4, AL$11 * 0.876) - (AL$11 * $N84)) * 0.25,
        0
    )
)</f>
        <v>0</v>
      </c>
      <c r="AM84" s="36">
        <f>IF(
    AND($H84 &gt; $BN$7, Tabella01MarzoInverter[[#This Row],[Active power TX2-INV-9]] &lt;= 0, Tabella01MarzoInverter[[#This Row],[Active power TX3-INV-6]] &lt;= 0),
    MIN(($H84 / 1000) * AM$10 * $BN$4, AM$11 * 0.876) * 0.25,
    IF(
        AND($H84 &gt; $BN$7, Tabella01MarzoInverter[[#This Row],[Active power TX2-INV-9]] &lt;= 0),
        Tabella01MarzoInverter[[#This Row],[Active power TX3-INV-6]] * 0.25,
        0
    )
    +
    IF(
        $N84 &lt; 0.875,
        MAX(0, MIN(($H84 / 1000) * AM$10 * $BN$4, AM$11 * 0.876) - (AM$11 * $N84)) * 0.25,
        0
    )
)</f>
        <v>0</v>
      </c>
      <c r="AN84" s="36">
        <f>IF(
    AND($H84 &gt; $BN$7, Tabella01MarzoInverter[[#This Row],[Active power TX2-INV-10]] &lt;= 0, Tabella01MarzoInverter[[#This Row],[Active power TX3-INV-7]] &lt;= 0),
    MIN(($H84 / 1000) * AN$10 * $BN$4, AN$11 * 0.876) * 0.25,
    IF(
        AND($H84 &gt; $BN$7, Tabella01MarzoInverter[[#This Row],[Active power TX2-INV-10]] &lt;= 0),
        Tabella01MarzoInverter[[#This Row],[Active power TX3-INV-7]] * 0.25,
        0
    )
    +
    IF(
        $N84 &lt; 0.875,
        MAX(0, MIN(($H84 / 1000) * AN$10 * $BN$4, AN$11 * 0.876) - (AN$11 * $N84)) * 0.25,
        0
    )
)</f>
        <v>0</v>
      </c>
      <c r="AO84" s="36">
        <f>IF(
    AND($H84 &gt; $BN$7, Tabella01MarzoInverter[[#This Row],[Active power TX2-INV-11]] &lt;= 0, Tabella01MarzoInverter[[#This Row],[Active power TX3-INV-8]] &lt;= 0),
    MIN(($H84 / 1000) * AO$10 * $BN$4, AO$11 * 0.876) * 0.25,
    IF(
        AND($H84 &gt; $BN$7, Tabella01MarzoInverter[[#This Row],[Active power TX2-INV-11]] &lt;= 0),
        Tabella01MarzoInverter[[#This Row],[Active power TX3-INV-8]] * 0.25,
        0
    )
    +
    IF(
        $N84 &lt; 0.875,
        MAX(0, MIN(($H84 / 1000) * AO$10 * $BN$4, AO$11 * 0.876) - (AO$11 * $N84)) * 0.25,
        0
    )
)</f>
        <v>0</v>
      </c>
      <c r="AP84" s="36">
        <f>IF(
    AND($H84 &gt; $BN$7, Tabella01MarzoInverter[[#This Row],[Active power TX2-INV-12]] &lt;= 0, Tabella01MarzoInverter[[#This Row],[Active power TX3-INV-9]] &lt;= 0),
    MIN(($H84 / 1000) * AP$10 * $BN$4, AP$11 * 0.876) * 0.25,
    IF(
        AND($H84 &gt; $BN$7, Tabella01MarzoInverter[[#This Row],[Active power TX2-INV-12]] &lt;= 0),
        Tabella01MarzoInverter[[#This Row],[Active power TX3-INV-9]] * 0.25,
        0
    )
    +
    IF(
        $N84 &lt; 0.875,
        MAX(0, MIN(($H84 / 1000) * AP$10 * $BN$4, AP$11 * 0.876) - (AP$11 * $N84)) * 0.25,
        0
    )
)</f>
        <v>0</v>
      </c>
      <c r="AQ84" s="8">
        <f>AVERAGE(TabellaMar2026[[#This Row],[Colonna39]:[Colonna6]])</f>
        <v>0</v>
      </c>
      <c r="AR84" s="8">
        <f>MAX(TabellaMar2026[[#This Row],[Colonna39]:[Colonna6]])</f>
        <v>0</v>
      </c>
      <c r="AS84" s="35">
        <f>MIN(TabellaMar2026[[#This Row],[Colonna39]:[Colonna6]])</f>
        <v>0</v>
      </c>
      <c r="AT84" s="48">
        <f>SUM(TabellaMar2026[[#This Row],[Colonna39]:[Colonna6]])</f>
        <v>0</v>
      </c>
      <c r="AU84" s="36" cm="1">
        <f t="array" ref="AU84">IF(
    AND($H84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($H84 / 1000) * AU$10 * $BN$4 * 0.25
    ),
    0
)
+
IF(
    $N84 &lt; 0.875,
    MAX(0, MIN(($H84 / 1000) * AU$10 * $BN$4, AU$11 * 0.876) - (AU$11 * $N84)) * 0.25,
    0
)</f>
        <v>0</v>
      </c>
      <c r="AV84" s="36" cm="1">
        <f t="array" ref="AV84">IF(
    AND($H84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($H84 / 1000) * AV$10 * $BN$4 * 0.25
    ),
    0
)
+
IF(
    $N84 &lt; 0.875,
    MAX(0, MIN(($H84 / 1000) * AV$10 * $BN$4, AV$11 * 0.876) - (AV$11 * $N84)) * 0.25,
    0
)</f>
        <v>0</v>
      </c>
      <c r="AW84" s="36" cm="1">
        <f t="array" ref="AW84">IF(
    AND($H84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($H84 / 1000) * AW$10 * $BN$4 * 0.25
    ),
    0
)
+
IF(
    $N84 &lt; 0.875,
    MAX(0, MIN(($H84 / 1000) * AW$10 * $BN$4, AW$11 * 0.876) - (AW$11 * $N84)) * 0.25,
    0
)</f>
        <v>0</v>
      </c>
      <c r="AX84" s="36" cm="1">
        <f t="array" ref="AX84">IF(
    AND($H84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($H84 / 1000) * AX$10 * $BN$4 * 0.25
    ),
    0
)
+
IF(
    $N84 &lt; 0.875,
    MAX(0, MIN(($H84 / 1000) * AX$10 * $BN$4, AX$11 * 0.876) - (AX$11 * $N84)) * 0.25,
    0
)</f>
        <v>0</v>
      </c>
      <c r="AY84" s="36" cm="1">
        <f t="array" ref="AY84">IF(
    AND($H84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($H84 / 1000) * AY$10 * $BN$4 * 0.25
    ),
    0
)
+
IF(
    $N84 &lt; 0.875,
    MAX(0, MIN(($H84 / 1000) * AY$10 * $BN$4, AY$11 * 0.876) - (AY$11 * $N84)) * 0.25,
    0
)</f>
        <v>0</v>
      </c>
      <c r="AZ84" s="36" cm="1">
        <f t="array" ref="AZ84">IF(
    AND($H84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($H84 / 1000) * AZ$10 * $BN$4 * 0.25
    ),
    0
)
+
IF(
    $N84 &lt; 0.875,
    MAX(0, MIN(($H84 / 1000) * AZ$10 * $BN$4, AZ$11 * 0.876) - (AZ$11 * $N84)) * 0.25,
    0
)</f>
        <v>0</v>
      </c>
      <c r="BA84" s="36" cm="1">
        <f t="array" ref="BA84">IF(
    AND($H84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($H84 / 1000) * BA$10 * $BN$4 * 0.25
    ),
    0
)
+
IF(
    $N84 &lt; 0.875,
    MAX(0, MIN(($H84 / 1000) * BA$10 * $BN$4, BA$11 * 0.876) - (BA$11 * $N84)) * 0.25,
    0
)</f>
        <v>0</v>
      </c>
      <c r="BB84" s="36" cm="1">
        <f t="array" ref="BB84">IF(
    AND($H84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($H84 / 1000) * BB$10 * $BN$4 * 0.25
    ),
    0
)
+
IF(
    $N84 &lt; 0.875,
    MAX(0, MIN(($H84 / 1000) * BB$10 * $BN$4, BB$11 * 0.876) - (BB$11 * $N84)) * 0.25,
    0
)</f>
        <v>0</v>
      </c>
      <c r="BC84" s="36" cm="1">
        <f t="array" ref="BC84">IF(
    AND($H84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($H84 / 1000) * BC$10 * $BN$4 * 0.25
    ),
    0
)
+
IF(
    $N84 &lt; 0.875,
    MAX(0, MIN(($H84 / 1000) * BC$10 * $BN$4, BC$11 * 0.876) - (BC$11 * $N84)) * 0.25,
    0
)</f>
        <v>0</v>
      </c>
      <c r="BD84" s="36" cm="1">
        <f t="array" ref="BD84">IF(
    AND($H84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($H84 / 1000) * BD$10 * $BN$4 * 0.25
    ),
    0
)
+
IF(
    $N84 &lt; 0.875,
    MAX(0, MIN(($H84 / 1000) * BD$10 * $BN$4, BD$11 * 0.876) - (BD$11 * $N84)) * 0.25,
    0
)</f>
        <v>0</v>
      </c>
      <c r="BE84" s="36" cm="1">
        <f t="array" ref="BE84">IF(
    AND($H84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($H84 / 1000) * BE$10 * $BN$4 * 0.25
    ),
    0
)
+
IF(
    $N84 &lt; 0.875,
    MAX(0, MIN(($H84 / 1000) * BE$10 * $BN$4, BE$11 * 0.876) - (BE$11 * $N84)) * 0.25,
    0
)</f>
        <v>0</v>
      </c>
      <c r="BF84" s="36" cm="1">
        <f t="array" ref="BF84">IF(
    AND($H84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($H84 / 1000) * BF$10 * $BN$4 * 0.25
    ),
    0
)
+
IF(
    $N84 &lt; 0.875,
    MAX(0, MIN(($H84 / 1000) * BF$10 * $BN$4, BF$11 * 0.876) - (BF$11 * $N84)) * 0.25,
    0
)</f>
        <v>0</v>
      </c>
      <c r="BG84" s="8">
        <f>AVERAGE(TabellaMar2026[[#This Row],[Colonna55]:[Colonna53]])</f>
        <v>0</v>
      </c>
      <c r="BH84" s="8">
        <f>MAX(TabellaMar2026[[#This Row],[Colonna55]:[Colonna53]])</f>
        <v>0</v>
      </c>
      <c r="BI84" s="35">
        <f>MIN(TabellaMar2026[[#This Row],[Colonna55]:[Colonna53]])</f>
        <v>0</v>
      </c>
      <c r="BJ84" s="48">
        <f>SUM(TabellaMar2026[[#This Row],[Colonna54]:[Colonna53]])</f>
        <v>0</v>
      </c>
      <c r="BK84" s="54">
        <f>(SUM(Tabella01MarzoInverter[[Active power TX1-INV-1]:[Active power TX3-INV-12]]) * 0.25) / (12625 * (SUM($G$15:$H$110) * 0.25 / 1000))</f>
        <v>1.014229628761051</v>
      </c>
      <c r="BL84" s="5"/>
      <c r="BM84" s="5"/>
      <c r="BN84" s="5"/>
      <c r="BO84" s="8"/>
      <c r="BP84" s="19"/>
    </row>
    <row r="85" spans="1:68" x14ac:dyDescent="0.25">
      <c r="A85" s="18">
        <v>46147</v>
      </c>
      <c r="B85" t="s">
        <v>85</v>
      </c>
      <c r="C85" s="5">
        <v>580.20000000000005</v>
      </c>
      <c r="D85" s="6">
        <v>0.14505000000000001</v>
      </c>
      <c r="E85" s="6">
        <v>596.9</v>
      </c>
      <c r="F85" s="6">
        <v>0.149225</v>
      </c>
      <c r="G85" s="6">
        <f>IFERROR((D85+F85)/2, 0)</f>
        <v>0.1471375</v>
      </c>
      <c r="H85" s="7">
        <f>IFERROR(IF(AVERAGE(C85,E85)&gt;$BN$7,AVERAGE(C85,E85),0), 0)</f>
        <v>588.54999999999995</v>
      </c>
      <c r="I85" s="7">
        <f>IFERROR(IF(AND(D85=0,F85=0),0,IF(H85&gt;$BN$6,MAX(D85,F85),G85)), 0)</f>
        <v>0.149225</v>
      </c>
      <c r="J85" s="6">
        <f>IFERROR(IF(AND(D85&gt;0,F85&gt;0),ABS(D85-F85)/AVERAGE(D85,F85),0), 0)</f>
        <v>2.8374819471582595E-2</v>
      </c>
      <c r="K85" s="6">
        <v>30462.1</v>
      </c>
      <c r="L85" s="6">
        <v>30464.1</v>
      </c>
      <c r="M85" s="8">
        <f>IFERROR((L85-K85)*1000, 0)</f>
        <v>2000</v>
      </c>
      <c r="N85" s="6">
        <v>0.87599999999999989</v>
      </c>
      <c r="O85" s="8" cm="1">
        <f t="array" ref="O85">IF(
    AND($H85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($H85 / 1000) * O$10 * $BN$4 * 0.25
    ),
    0
)
+
IF(
    $N85 &lt; 0.875,
    MAX(0, MIN(($H85 / 1000) * O$10 * $BN$4, O$11 * 0.876) - (O$11 * $N85)) * 0.25,
    0
)</f>
        <v>0</v>
      </c>
      <c r="P85" s="8" cm="1">
        <f t="array" ref="P85">IF(
    AND($H85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($H85 / 1000) * P$10 * $BN$4 * 0.25
    ),
    0
)
+
IF(
    $N85 &lt; 0.875,
    MAX(0, MIN(($H85 / 1000) * P$10 * $BN$4, P$11 * 0.876) - (P$11 * $N85)) * 0.25,
    0
)</f>
        <v>0</v>
      </c>
      <c r="Q85" s="8" cm="1">
        <f t="array" ref="Q85">IF(
    AND($H85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($H85 / 1000) * Q$10 * $BN$4 * 0.25
    ),
    0
)
+
IF(
    $N85 &lt; 0.875,
    MAX(0, MIN(($H85 / 1000) * Q$10 * $BN$4, Q$11 * 0.876) - (Q$11 * $N85)) * 0.25,
    0
)</f>
        <v>0</v>
      </c>
      <c r="R85" s="8" cm="1">
        <f t="array" ref="R85">IF(
    AND($H85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($H85 / 1000) * R$10 * $BN$4 * 0.25
    ),
    0
)
+
IF(
    $N85 &lt; 0.875,
    MAX(0, MIN(($H85 / 1000) * R$10 * $BN$4, R$11 * 0.876) - (R$11 * $N85)) * 0.25,
    0
)</f>
        <v>0</v>
      </c>
      <c r="S85" s="8" cm="1">
        <f t="array" ref="S85">IF(
    AND($H85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($H85 / 1000) * S$10 * $BN$4 * 0.25
    ),
    0
)
+
IF(
    $N85 &lt; 0.875,
    MAX(0, MIN(($H85 / 1000) * S$10 * $BN$4, S$11 * 0.876) - (S$11 * $N85)) * 0.25,
    0
)</f>
        <v>0</v>
      </c>
      <c r="T85" s="8" cm="1">
        <f t="array" ref="T85">IF(
    AND($H85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($H85 / 1000) * T$10 * $BN$4 * 0.25
    ),
    0
)
+
IF(
    $N85 &lt; 0.875,
    MAX(0, MIN(($H85 / 1000) * T$10 * $BN$4, T$11 * 0.876) - (T$11 * $N85)) * 0.25,
    0
)</f>
        <v>0</v>
      </c>
      <c r="U85" s="8" cm="1">
        <f t="array" ref="U85">IF(
    AND($H85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($H85 / 1000) * U$10 * $BN$4 * 0.25
    ),
    0
)
+
IF(
    $N85 &lt; 0.875,
    MAX(0, MIN(($H85 / 1000) * U$10 * $BN$4, U$11 * 0.876) - (U$11 * $N85)) * 0.25,
    0
)</f>
        <v>0</v>
      </c>
      <c r="V85" s="8" cm="1">
        <f t="array" ref="V85">IF(
    AND($H85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($H85 / 1000) * V$10 * $BN$4 * 0.25
    ),
    0
)
+
IF(
    $N85 &lt; 0.875,
    MAX(0, MIN(($H85 / 1000) * V$10 * $BN$4, V$11 * 0.876) - (V$11 * $N85)) * 0.25,
    0
)</f>
        <v>0</v>
      </c>
      <c r="W85" s="8" cm="1">
        <f t="array" ref="W85">IF(
    AND($H85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($H85 / 1000) * W$10 * $BN$4 * 0.25
    ),
    0
)
+
IF(
    $N85 &lt; 0.875,
    MAX(0, MIN(($H85 / 1000) * W$10 * $BN$4, W$11 * 0.876) - (W$11 * $N85)) * 0.25,
    0
)</f>
        <v>0</v>
      </c>
      <c r="X85" s="8" cm="1">
        <f t="array" ref="X85">IF(
    AND($H85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($H85 / 1000) * X$10 * $BN$4 * 0.25
    ),
    0
)
+
IF(
    $N85 &lt; 0.875,
    MAX(0, MIN(($H85 / 1000) * X$10 * $BN$4, X$11 * 0.876) - (X$11 * $N85)) * 0.25,
    0
)</f>
        <v>0</v>
      </c>
      <c r="Y85" s="8" cm="1">
        <f t="array" ref="Y85">IF(
    AND($H85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($H85 / 1000) * Y$10 * $BN$4 * 0.25
    ),
    0
)
+
IF(
    $N85 &lt; 0.875,
    MAX(0, MIN(($H85 / 1000) * Y$10 * $BN$4, Y$11 * 0.876) - (Y$11 * $N85)) * 0.25,
    0
)</f>
        <v>0</v>
      </c>
      <c r="Z85" s="8" cm="1">
        <f t="array" ref="Z85">IF(
    AND($H85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($H85 / 1000) * Z$10 * $BN$4 * 0.25
    ),
    0
)
+
IF(
    $N85 &lt; 0.875,
    MAX(0, MIN(($H85 / 1000) * Z$10 * $BN$4, Z$11 * 0.876) - (Z$11 * $N85)) * 0.25,
    0
)</f>
        <v>0</v>
      </c>
      <c r="AA85" s="8">
        <f>AVERAGE(TabellaMar2026[[#This Row],[Colonna24]:[Colonna20]])</f>
        <v>0</v>
      </c>
      <c r="AB85" s="8">
        <f>MAX(TabellaMar2026[[#This Row],[Colonna24]:[Colonna20]])</f>
        <v>0</v>
      </c>
      <c r="AC85" s="35">
        <f>MIN(TabellaMar2026[[#This Row],[Colonna24]:[Colonna20]])</f>
        <v>0</v>
      </c>
      <c r="AD85" s="44">
        <f>SUM(TabellaMar2026[[#This Row],[Colonna24]:[Colonna20]])</f>
        <v>0</v>
      </c>
      <c r="AE85" s="36">
        <f>IF(
    AND($H85 &gt; $BN$7, Tabella01MarzoInverter[[#This Row],[Active power TX2-INV-1]] &lt;= 0, Tabella01MarzoInverter[[#This Row],[TX2 - Average Power]] &lt;= 0),
    MIN(($H85 / 1000) * AE$10 * $BN$4, AE$11 * 0.876) * 0.25,
    IF(
        AND($H85 &gt; $BN$7, Tabella01MarzoInverter[[#This Row],[Active power TX2-INV-1]] &lt;= 0),
        Tabella01MarzoInverter[[#This Row],[TX2 - Average Power]] * 0.25,
        0
    )
    +
    IF(
        $N85 &lt; 0.875,
        MAX(0, MIN(($H85 / 1000) * AE$10 * $BN$4, AE$11 * 0.876) - (AE$11 * $N85)) * 0.25,
        0
    )
)</f>
        <v>0</v>
      </c>
      <c r="AF85" s="36">
        <f>IF(
    AND($H85 &gt; $BN$7, Tabella01MarzoInverter[[#This Row],[Active power TX2-INV-2]] &lt;= 0, Tabella01MarzoInverter[[#This Row],[TX2 - Max Power]] &lt;= 0),
    MIN(($H85 / 1000) * AF$10 * $BN$4, AF$11 * 0.876) * 0.25,
    IF(
        AND($H85 &gt; $BN$7, Tabella01MarzoInverter[[#This Row],[Active power TX2-INV-2]] &lt;= 0),
        Tabella01MarzoInverter[[#This Row],[TX2 - Max Power]] * 0.25,
        0
    )
    +
    IF(
        $N85 &lt; 0.875,
        MAX(0, MIN(($H85 / 1000) * AF$10 * $BN$4, AF$11 * 0.876) - (AF$11 * $N85)) * 0.25,
        0
    )
)</f>
        <v>0</v>
      </c>
      <c r="AG85" s="36">
        <f>IF(
    AND($H85 &gt; $BN$7, Tabella01MarzoInverter[[#This Row],[Active power TX2-INV-3]] &lt;= 0, Tabella01MarzoInverter[[#This Row],[TX2 - Min Power]] &lt;= 0),
    MIN(($H85 / 1000) * AG$10 * $BN$4, AG$11 * 0.876) * 0.25,
    IF(
        AND($H85 &gt; $BN$7, Tabella01MarzoInverter[[#This Row],[Active power TX2-INV-3]] &lt;= 0),
        Tabella01MarzoInverter[[#This Row],[TX2 - Min Power]] * 0.25,
        0
    )
    +
    IF(
        $N85 &lt; 0.875,
        MAX(0, MIN(($H85 / 1000) * AG$10 * $BN$4, AG$11 * 0.876) - (AG$11 * $N85)) * 0.25,
        0
    )
)</f>
        <v>0</v>
      </c>
      <c r="AH85" s="36">
        <f>IF(
    AND($H85 &gt; $BN$7, Tabella01MarzoInverter[[#This Row],[Active power TX2-INV-4]] &lt;= 0, Tabella01MarzoInverter[[#This Row],[Active power TX3-INV-1]] &lt;= 0),
    MIN(($H85 / 1000) * AH$10 * $BN$4, AH$11 * 0.876) * 0.25,
    IF(
        AND($H85 &gt; $BN$7, Tabella01MarzoInverter[[#This Row],[Active power TX2-INV-4]] &lt;= 0),
        Tabella01MarzoInverter[[#This Row],[Active power TX3-INV-1]] * 0.25,
        0
    )
    +
    IF(
        $N85 &lt; 0.875,
        MAX(0, MIN(($H85 / 1000) * AH$10 * $BN$4, AH$11 * 0.876) - (AH$11 * $N85)) * 0.25,
        0
    )
)</f>
        <v>0</v>
      </c>
      <c r="AI85" s="36">
        <f>IF(
    AND($H85 &gt; $BN$7, Tabella01MarzoInverter[[#This Row],[Active power TX2-INV-5]] &lt;= 0, Tabella01MarzoInverter[[#This Row],[Active power TX3-INV-2]] &lt;= 0),
    MIN(($H85 / 1000) * AI$10 * $BN$4, AI$11 * 0.876) * 0.25,
    IF(
        AND($H85 &gt; $BN$7, Tabella01MarzoInverter[[#This Row],[Active power TX2-INV-5]] &lt;= 0),
        Tabella01MarzoInverter[[#This Row],[Active power TX3-INV-2]] * 0.25,
        0
    )
    +
    IF(
        $N85 &lt; 0.875,
        MAX(0, MIN(($H85 / 1000) * AI$10 * $BN$4, AI$11 * 0.876) - (AI$11 * $N85)) * 0.25,
        0
    )
)</f>
        <v>0</v>
      </c>
      <c r="AJ85" s="36">
        <f>IF(
    AND($H85 &gt; $BN$7, Tabella01MarzoInverter[[#This Row],[Active power TX2-INV-6]] &lt;= 0, Tabella01MarzoInverter[[#This Row],[Active power TX3-INV-3]] &lt;= 0),
    MIN(($H85 / 1000) * AJ$10 * $BN$4, AJ$11 * 0.876) * 0.25,
    IF(
        AND($H85 &gt; $BN$7, Tabella01MarzoInverter[[#This Row],[Active power TX2-INV-6]] &lt;= 0),
        Tabella01MarzoInverter[[#This Row],[Active power TX3-INV-3]] * 0.25,
        0
    )
    +
    IF(
        $N85 &lt; 0.875,
        MAX(0, MIN(($H85 / 1000) * AJ$10 * $BN$4, AJ$11 * 0.876) - (AJ$11 * $N85)) * 0.25,
        0
    )
)</f>
        <v>0</v>
      </c>
      <c r="AK85" s="36">
        <f>IF(
    AND($H85 &gt; $BN$7, Tabella01MarzoInverter[[#This Row],[Active power TX2-INV-7]] &lt;= 0, Tabella01MarzoInverter[[#This Row],[Active power TX3-INV-4]] &lt;= 0),
    MIN(($H85 / 1000) * AK$10 * $BN$4, AK$11 * 0.876) * 0.25,
    IF(
        AND($H85 &gt; $BN$7, Tabella01MarzoInverter[[#This Row],[Active power TX2-INV-7]] &lt;= 0),
        Tabella01MarzoInverter[[#This Row],[Active power TX3-INV-4]] * 0.25,
        0
    )
    +
    IF(
        $N85 &lt; 0.875,
        MAX(0, MIN(($H85 / 1000) * AK$10 * $BN$4, AK$11 * 0.876) - (AK$11 * $N85)) * 0.25,
        0
    )
)</f>
        <v>0</v>
      </c>
      <c r="AL85" s="36">
        <f>IF(
    AND($H85 &gt; $BN$7, Tabella01MarzoInverter[[#This Row],[Active power TX2-INV-8]] &lt;= 0, Tabella01MarzoInverter[[#This Row],[Active power TX3-INV-5]] &lt;= 0),
    MIN(($H85 / 1000) * AL$10 * $BN$4, AL$11 * 0.876) * 0.25,
    IF(
        AND($H85 &gt; $BN$7, Tabella01MarzoInverter[[#This Row],[Active power TX2-INV-8]] &lt;= 0),
        Tabella01MarzoInverter[[#This Row],[Active power TX3-INV-5]] * 0.25,
        0
    )
    +
    IF(
        $N85 &lt; 0.875,
        MAX(0, MIN(($H85 / 1000) * AL$10 * $BN$4, AL$11 * 0.876) - (AL$11 * $N85)) * 0.25,
        0
    )
)</f>
        <v>0</v>
      </c>
      <c r="AM85" s="36">
        <f>IF(
    AND($H85 &gt; $BN$7, Tabella01MarzoInverter[[#This Row],[Active power TX2-INV-9]] &lt;= 0, Tabella01MarzoInverter[[#This Row],[Active power TX3-INV-6]] &lt;= 0),
    MIN(($H85 / 1000) * AM$10 * $BN$4, AM$11 * 0.876) * 0.25,
    IF(
        AND($H85 &gt; $BN$7, Tabella01MarzoInverter[[#This Row],[Active power TX2-INV-9]] &lt;= 0),
        Tabella01MarzoInverter[[#This Row],[Active power TX3-INV-6]] * 0.25,
        0
    )
    +
    IF(
        $N85 &lt; 0.875,
        MAX(0, MIN(($H85 / 1000) * AM$10 * $BN$4, AM$11 * 0.876) - (AM$11 * $N85)) * 0.25,
        0
    )
)</f>
        <v>0</v>
      </c>
      <c r="AN85" s="36">
        <f>IF(
    AND($H85 &gt; $BN$7, Tabella01MarzoInverter[[#This Row],[Active power TX2-INV-10]] &lt;= 0, Tabella01MarzoInverter[[#This Row],[Active power TX3-INV-7]] &lt;= 0),
    MIN(($H85 / 1000) * AN$10 * $BN$4, AN$11 * 0.876) * 0.25,
    IF(
        AND($H85 &gt; $BN$7, Tabella01MarzoInverter[[#This Row],[Active power TX2-INV-10]] &lt;= 0),
        Tabella01MarzoInverter[[#This Row],[Active power TX3-INV-7]] * 0.25,
        0
    )
    +
    IF(
        $N85 &lt; 0.875,
        MAX(0, MIN(($H85 / 1000) * AN$10 * $BN$4, AN$11 * 0.876) - (AN$11 * $N85)) * 0.25,
        0
    )
)</f>
        <v>0</v>
      </c>
      <c r="AO85" s="36">
        <f>IF(
    AND($H85 &gt; $BN$7, Tabella01MarzoInverter[[#This Row],[Active power TX2-INV-11]] &lt;= 0, Tabella01MarzoInverter[[#This Row],[Active power TX3-INV-8]] &lt;= 0),
    MIN(($H85 / 1000) * AO$10 * $BN$4, AO$11 * 0.876) * 0.25,
    IF(
        AND($H85 &gt; $BN$7, Tabella01MarzoInverter[[#This Row],[Active power TX2-INV-11]] &lt;= 0),
        Tabella01MarzoInverter[[#This Row],[Active power TX3-INV-8]] * 0.25,
        0
    )
    +
    IF(
        $N85 &lt; 0.875,
        MAX(0, MIN(($H85 / 1000) * AO$10 * $BN$4, AO$11 * 0.876) - (AO$11 * $N85)) * 0.25,
        0
    )
)</f>
        <v>0</v>
      </c>
      <c r="AP85" s="36">
        <f>IF(
    AND($H85 &gt; $BN$7, Tabella01MarzoInverter[[#This Row],[Active power TX2-INV-12]] &lt;= 0, Tabella01MarzoInverter[[#This Row],[Active power TX3-INV-9]] &lt;= 0),
    MIN(($H85 / 1000) * AP$10 * $BN$4, AP$11 * 0.876) * 0.25,
    IF(
        AND($H85 &gt; $BN$7, Tabella01MarzoInverter[[#This Row],[Active power TX2-INV-12]] &lt;= 0),
        Tabella01MarzoInverter[[#This Row],[Active power TX3-INV-9]] * 0.25,
        0
    )
    +
    IF(
        $N85 &lt; 0.875,
        MAX(0, MIN(($H85 / 1000) * AP$10 * $BN$4, AP$11 * 0.876) - (AP$11 * $N85)) * 0.25,
        0
    )
)</f>
        <v>0</v>
      </c>
      <c r="AQ85" s="8">
        <f>AVERAGE(TabellaMar2026[[#This Row],[Colonna39]:[Colonna6]])</f>
        <v>0</v>
      </c>
      <c r="AR85" s="8">
        <f>MAX(TabellaMar2026[[#This Row],[Colonna39]:[Colonna6]])</f>
        <v>0</v>
      </c>
      <c r="AS85" s="35">
        <f>MIN(TabellaMar2026[[#This Row],[Colonna39]:[Colonna6]])</f>
        <v>0</v>
      </c>
      <c r="AT85" s="48">
        <f>SUM(TabellaMar2026[[#This Row],[Colonna39]:[Colonna6]])</f>
        <v>0</v>
      </c>
      <c r="AU85" s="36" cm="1">
        <f t="array" ref="AU85">IF(
    AND($H85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($H85 / 1000) * AU$10 * $BN$4 * 0.25
    ),
    0
)
+
IF(
    $N85 &lt; 0.875,
    MAX(0, MIN(($H85 / 1000) * AU$10 * $BN$4, AU$11 * 0.876) - (AU$11 * $N85)) * 0.25,
    0
)</f>
        <v>0</v>
      </c>
      <c r="AV85" s="36" cm="1">
        <f t="array" ref="AV85">IF(
    AND($H85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($H85 / 1000) * AV$10 * $BN$4 * 0.25
    ),
    0
)
+
IF(
    $N85 &lt; 0.875,
    MAX(0, MIN(($H85 / 1000) * AV$10 * $BN$4, AV$11 * 0.876) - (AV$11 * $N85)) * 0.25,
    0
)</f>
        <v>0</v>
      </c>
      <c r="AW85" s="36" cm="1">
        <f t="array" ref="AW85">IF(
    AND($H85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($H85 / 1000) * AW$10 * $BN$4 * 0.25
    ),
    0
)
+
IF(
    $N85 &lt; 0.875,
    MAX(0, MIN(($H85 / 1000) * AW$10 * $BN$4, AW$11 * 0.876) - (AW$11 * $N85)) * 0.25,
    0
)</f>
        <v>0</v>
      </c>
      <c r="AX85" s="36" cm="1">
        <f t="array" ref="AX85">IF(
    AND($H85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($H85 / 1000) * AX$10 * $BN$4 * 0.25
    ),
    0
)
+
IF(
    $N85 &lt; 0.875,
    MAX(0, MIN(($H85 / 1000) * AX$10 * $BN$4, AX$11 * 0.876) - (AX$11 * $N85)) * 0.25,
    0
)</f>
        <v>0</v>
      </c>
      <c r="AY85" s="36" cm="1">
        <f t="array" ref="AY85">IF(
    AND($H85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($H85 / 1000) * AY$10 * $BN$4 * 0.25
    ),
    0
)
+
IF(
    $N85 &lt; 0.875,
    MAX(0, MIN(($H85 / 1000) * AY$10 * $BN$4, AY$11 * 0.876) - (AY$11 * $N85)) * 0.25,
    0
)</f>
        <v>0</v>
      </c>
      <c r="AZ85" s="36" cm="1">
        <f t="array" ref="AZ85">IF(
    AND($H85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($H85 / 1000) * AZ$10 * $BN$4 * 0.25
    ),
    0
)
+
IF(
    $N85 &lt; 0.875,
    MAX(0, MIN(($H85 / 1000) * AZ$10 * $BN$4, AZ$11 * 0.876) - (AZ$11 * $N85)) * 0.25,
    0
)</f>
        <v>0</v>
      </c>
      <c r="BA85" s="36" cm="1">
        <f t="array" ref="BA85">IF(
    AND($H85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($H85 / 1000) * BA$10 * $BN$4 * 0.25
    ),
    0
)
+
IF(
    $N85 &lt; 0.875,
    MAX(0, MIN(($H85 / 1000) * BA$10 * $BN$4, BA$11 * 0.876) - (BA$11 * $N85)) * 0.25,
    0
)</f>
        <v>0</v>
      </c>
      <c r="BB85" s="36" cm="1">
        <f t="array" ref="BB85">IF(
    AND($H85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($H85 / 1000) * BB$10 * $BN$4 * 0.25
    ),
    0
)
+
IF(
    $N85 &lt; 0.875,
    MAX(0, MIN(($H85 / 1000) * BB$10 * $BN$4, BB$11 * 0.876) - (BB$11 * $N85)) * 0.25,
    0
)</f>
        <v>0</v>
      </c>
      <c r="BC85" s="36" cm="1">
        <f t="array" ref="BC85">IF(
    AND($H85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($H85 / 1000) * BC$10 * $BN$4 * 0.25
    ),
    0
)
+
IF(
    $N85 &lt; 0.875,
    MAX(0, MIN(($H85 / 1000) * BC$10 * $BN$4, BC$11 * 0.876) - (BC$11 * $N85)) * 0.25,
    0
)</f>
        <v>0</v>
      </c>
      <c r="BD85" s="36" cm="1">
        <f t="array" ref="BD85">IF(
    AND($H85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($H85 / 1000) * BD$10 * $BN$4 * 0.25
    ),
    0
)
+
IF(
    $N85 &lt; 0.875,
    MAX(0, MIN(($H85 / 1000) * BD$10 * $BN$4, BD$11 * 0.876) - (BD$11 * $N85)) * 0.25,
    0
)</f>
        <v>0</v>
      </c>
      <c r="BE85" s="36" cm="1">
        <f t="array" ref="BE85">IF(
    AND($H85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($H85 / 1000) * BE$10 * $BN$4 * 0.25
    ),
    0
)
+
IF(
    $N85 &lt; 0.875,
    MAX(0, MIN(($H85 / 1000) * BE$10 * $BN$4, BE$11 * 0.876) - (BE$11 * $N85)) * 0.25,
    0
)</f>
        <v>0</v>
      </c>
      <c r="BF85" s="36" cm="1">
        <f t="array" ref="BF85">IF(
    AND($H85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($H85 / 1000) * BF$10 * $BN$4 * 0.25
    ),
    0
)
+
IF(
    $N85 &lt; 0.875,
    MAX(0, MIN(($H85 / 1000) * BF$10 * $BN$4, BF$11 * 0.876) - (BF$11 * $N85)) * 0.25,
    0
)</f>
        <v>0</v>
      </c>
      <c r="BG85" s="8">
        <f>AVERAGE(TabellaMar2026[[#This Row],[Colonna55]:[Colonna53]])</f>
        <v>0</v>
      </c>
      <c r="BH85" s="8">
        <f>MAX(TabellaMar2026[[#This Row],[Colonna55]:[Colonna53]])</f>
        <v>0</v>
      </c>
      <c r="BI85" s="35">
        <f>MIN(TabellaMar2026[[#This Row],[Colonna55]:[Colonna53]])</f>
        <v>0</v>
      </c>
      <c r="BJ85" s="48">
        <f>SUM(TabellaMar2026[[#This Row],[Colonna54]:[Colonna53]])</f>
        <v>0</v>
      </c>
      <c r="BK85" s="54">
        <f>(SUM(Tabella01MarzoInverter[[Active power TX1-INV-1]:[Active power TX3-INV-12]]) * 0.25) / (12625 * (SUM($G$15:$H$110) * 0.25 / 1000))</f>
        <v>1.014229628761051</v>
      </c>
      <c r="BL85" s="5"/>
      <c r="BM85" s="5"/>
      <c r="BN85" s="5"/>
      <c r="BO85" s="8"/>
      <c r="BP85" s="19"/>
    </row>
    <row r="86" spans="1:68" x14ac:dyDescent="0.25">
      <c r="A86" s="18">
        <v>46147</v>
      </c>
      <c r="B86" t="s">
        <v>86</v>
      </c>
      <c r="C86" s="5">
        <v>227.9</v>
      </c>
      <c r="D86" s="6">
        <v>5.6975000000000005E-2</v>
      </c>
      <c r="E86" s="6">
        <v>223.6</v>
      </c>
      <c r="F86" s="6">
        <v>5.5899999999999998E-2</v>
      </c>
      <c r="G86" s="6">
        <f>IFERROR((D86+F86)/2, 0)</f>
        <v>5.6437500000000002E-2</v>
      </c>
      <c r="H86" s="7">
        <f>IFERROR(IF(AVERAGE(C86,E86)&gt;$BN$7,AVERAGE(C86,E86),0), 0)</f>
        <v>225.75</v>
      </c>
      <c r="I86" s="7">
        <f>IFERROR(IF(AND(D86=0,F86=0),0,IF(H86&gt;$BN$6,MAX(D86,F86),G86)), 0)</f>
        <v>5.6975000000000005E-2</v>
      </c>
      <c r="J86" s="6">
        <f>IFERROR(IF(AND(D86&gt;0,F86&gt;0),ABS(D86-F86)/AVERAGE(D86,F86),0), 0)</f>
        <v>1.9047619047619164E-2</v>
      </c>
      <c r="K86" s="6">
        <v>30464.1</v>
      </c>
      <c r="L86" s="6">
        <v>30465.200000000001</v>
      </c>
      <c r="M86" s="8">
        <f>IFERROR((L86-K86)*1000, 0)</f>
        <v>1100.0000000021828</v>
      </c>
      <c r="N86" s="6">
        <v>0.87599999999999989</v>
      </c>
      <c r="O86" s="8" cm="1">
        <f t="array" ref="O86">IF(
    AND($H86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($H86 / 1000) * O$10 * $BN$4 * 0.25
    ),
    0
)
+
IF(
    $N86 &lt; 0.875,
    MAX(0, MIN(($H86 / 1000) * O$10 * $BN$4, O$11 * 0.876) - (O$11 * $N86)) * 0.25,
    0
)</f>
        <v>0</v>
      </c>
      <c r="P86" s="8" cm="1">
        <f t="array" ref="P86">IF(
    AND($H86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($H86 / 1000) * P$10 * $BN$4 * 0.25
    ),
    0
)
+
IF(
    $N86 &lt; 0.875,
    MAX(0, MIN(($H86 / 1000) * P$10 * $BN$4, P$11 * 0.876) - (P$11 * $N86)) * 0.25,
    0
)</f>
        <v>0</v>
      </c>
      <c r="Q86" s="8" cm="1">
        <f t="array" ref="Q86">IF(
    AND($H86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($H86 / 1000) * Q$10 * $BN$4 * 0.25
    ),
    0
)
+
IF(
    $N86 &lt; 0.875,
    MAX(0, MIN(($H86 / 1000) * Q$10 * $BN$4, Q$11 * 0.876) - (Q$11 * $N86)) * 0.25,
    0
)</f>
        <v>0</v>
      </c>
      <c r="R86" s="8" cm="1">
        <f t="array" ref="R86">IF(
    AND($H86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($H86 / 1000) * R$10 * $BN$4 * 0.25
    ),
    0
)
+
IF(
    $N86 &lt; 0.875,
    MAX(0, MIN(($H86 / 1000) * R$10 * $BN$4, R$11 * 0.876) - (R$11 * $N86)) * 0.25,
    0
)</f>
        <v>0</v>
      </c>
      <c r="S86" s="8" cm="1">
        <f t="array" ref="S86">IF(
    AND($H86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($H86 / 1000) * S$10 * $BN$4 * 0.25
    ),
    0
)
+
IF(
    $N86 &lt; 0.875,
    MAX(0, MIN(($H86 / 1000) * S$10 * $BN$4, S$11 * 0.876) - (S$11 * $N86)) * 0.25,
    0
)</f>
        <v>0</v>
      </c>
      <c r="T86" s="8" cm="1">
        <f t="array" ref="T86">IF(
    AND($H86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($H86 / 1000) * T$10 * $BN$4 * 0.25
    ),
    0
)
+
IF(
    $N86 &lt; 0.875,
    MAX(0, MIN(($H86 / 1000) * T$10 * $BN$4, T$11 * 0.876) - (T$11 * $N86)) * 0.25,
    0
)</f>
        <v>0</v>
      </c>
      <c r="U86" s="8" cm="1">
        <f t="array" ref="U86">IF(
    AND($H86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($H86 / 1000) * U$10 * $BN$4 * 0.25
    ),
    0
)
+
IF(
    $N86 &lt; 0.875,
    MAX(0, MIN(($H86 / 1000) * U$10 * $BN$4, U$11 * 0.876) - (U$11 * $N86)) * 0.25,
    0
)</f>
        <v>0</v>
      </c>
      <c r="V86" s="8" cm="1">
        <f t="array" ref="V86">IF(
    AND($H86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($H86 / 1000) * V$10 * $BN$4 * 0.25
    ),
    0
)
+
IF(
    $N86 &lt; 0.875,
    MAX(0, MIN(($H86 / 1000) * V$10 * $BN$4, V$11 * 0.876) - (V$11 * $N86)) * 0.25,
    0
)</f>
        <v>0</v>
      </c>
      <c r="W86" s="8" cm="1">
        <f t="array" ref="W86">IF(
    AND($H86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($H86 / 1000) * W$10 * $BN$4 * 0.25
    ),
    0
)
+
IF(
    $N86 &lt; 0.875,
    MAX(0, MIN(($H86 / 1000) * W$10 * $BN$4, W$11 * 0.876) - (W$11 * $N86)) * 0.25,
    0
)</f>
        <v>0</v>
      </c>
      <c r="X86" s="8" cm="1">
        <f t="array" ref="X86">IF(
    AND($H86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($H86 / 1000) * X$10 * $BN$4 * 0.25
    ),
    0
)
+
IF(
    $N86 &lt; 0.875,
    MAX(0, MIN(($H86 / 1000) * X$10 * $BN$4, X$11 * 0.876) - (X$11 * $N86)) * 0.25,
    0
)</f>
        <v>0</v>
      </c>
      <c r="Y86" s="8" cm="1">
        <f t="array" ref="Y86">IF(
    AND($H86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($H86 / 1000) * Y$10 * $BN$4 * 0.25
    ),
    0
)
+
IF(
    $N86 &lt; 0.875,
    MAX(0, MIN(($H86 / 1000) * Y$10 * $BN$4, Y$11 * 0.876) - (Y$11 * $N86)) * 0.25,
    0
)</f>
        <v>0</v>
      </c>
      <c r="Z86" s="8" cm="1">
        <f t="array" ref="Z86">IF(
    AND($H86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($H86 / 1000) * Z$10 * $BN$4 * 0.25
    ),
    0
)
+
IF(
    $N86 &lt; 0.875,
    MAX(0, MIN(($H86 / 1000) * Z$10 * $BN$4, Z$11 * 0.876) - (Z$11 * $N86)) * 0.25,
    0
)</f>
        <v>0</v>
      </c>
      <c r="AA86" s="8">
        <f>AVERAGE(TabellaMar2026[[#This Row],[Colonna24]:[Colonna20]])</f>
        <v>0</v>
      </c>
      <c r="AB86" s="8">
        <f>MAX(TabellaMar2026[[#This Row],[Colonna24]:[Colonna20]])</f>
        <v>0</v>
      </c>
      <c r="AC86" s="35">
        <f>MIN(TabellaMar2026[[#This Row],[Colonna24]:[Colonna20]])</f>
        <v>0</v>
      </c>
      <c r="AD86" s="44">
        <f>SUM(TabellaMar2026[[#This Row],[Colonna24]:[Colonna20]])</f>
        <v>0</v>
      </c>
      <c r="AE86" s="36">
        <f>IF(
    AND($H86 &gt; $BN$7, Tabella01MarzoInverter[[#This Row],[Active power TX2-INV-1]] &lt;= 0, Tabella01MarzoInverter[[#This Row],[TX2 - Average Power]] &lt;= 0),
    MIN(($H86 / 1000) * AE$10 * $BN$4, AE$11 * 0.876) * 0.25,
    IF(
        AND($H86 &gt; $BN$7, Tabella01MarzoInverter[[#This Row],[Active power TX2-INV-1]] &lt;= 0),
        Tabella01MarzoInverter[[#This Row],[TX2 - Average Power]] * 0.25,
        0
    )
    +
    IF(
        $N86 &lt; 0.875,
        MAX(0, MIN(($H86 / 1000) * AE$10 * $BN$4, AE$11 * 0.876) - (AE$11 * $N86)) * 0.25,
        0
    )
)</f>
        <v>0</v>
      </c>
      <c r="AF86" s="36">
        <f>IF(
    AND($H86 &gt; $BN$7, Tabella01MarzoInverter[[#This Row],[Active power TX2-INV-2]] &lt;= 0, Tabella01MarzoInverter[[#This Row],[TX2 - Max Power]] &lt;= 0),
    MIN(($H86 / 1000) * AF$10 * $BN$4, AF$11 * 0.876) * 0.25,
    IF(
        AND($H86 &gt; $BN$7, Tabella01MarzoInverter[[#This Row],[Active power TX2-INV-2]] &lt;= 0),
        Tabella01MarzoInverter[[#This Row],[TX2 - Max Power]] * 0.25,
        0
    )
    +
    IF(
        $N86 &lt; 0.875,
        MAX(0, MIN(($H86 / 1000) * AF$10 * $BN$4, AF$11 * 0.876) - (AF$11 * $N86)) * 0.25,
        0
    )
)</f>
        <v>0</v>
      </c>
      <c r="AG86" s="36">
        <f>IF(
    AND($H86 &gt; $BN$7, Tabella01MarzoInverter[[#This Row],[Active power TX2-INV-3]] &lt;= 0, Tabella01MarzoInverter[[#This Row],[TX2 - Min Power]] &lt;= 0),
    MIN(($H86 / 1000) * AG$10 * $BN$4, AG$11 * 0.876) * 0.25,
    IF(
        AND($H86 &gt; $BN$7, Tabella01MarzoInverter[[#This Row],[Active power TX2-INV-3]] &lt;= 0),
        Tabella01MarzoInverter[[#This Row],[TX2 - Min Power]] * 0.25,
        0
    )
    +
    IF(
        $N86 &lt; 0.875,
        MAX(0, MIN(($H86 / 1000) * AG$10 * $BN$4, AG$11 * 0.876) - (AG$11 * $N86)) * 0.25,
        0
    )
)</f>
        <v>0</v>
      </c>
      <c r="AH86" s="36">
        <f>IF(
    AND($H86 &gt; $BN$7, Tabella01MarzoInverter[[#This Row],[Active power TX2-INV-4]] &lt;= 0, Tabella01MarzoInverter[[#This Row],[Active power TX3-INV-1]] &lt;= 0),
    MIN(($H86 / 1000) * AH$10 * $BN$4, AH$11 * 0.876) * 0.25,
    IF(
        AND($H86 &gt; $BN$7, Tabella01MarzoInverter[[#This Row],[Active power TX2-INV-4]] &lt;= 0),
        Tabella01MarzoInverter[[#This Row],[Active power TX3-INV-1]] * 0.25,
        0
    )
    +
    IF(
        $N86 &lt; 0.875,
        MAX(0, MIN(($H86 / 1000) * AH$10 * $BN$4, AH$11 * 0.876) - (AH$11 * $N86)) * 0.25,
        0
    )
)</f>
        <v>0</v>
      </c>
      <c r="AI86" s="36">
        <f>IF(
    AND($H86 &gt; $BN$7, Tabella01MarzoInverter[[#This Row],[Active power TX2-INV-5]] &lt;= 0, Tabella01MarzoInverter[[#This Row],[Active power TX3-INV-2]] &lt;= 0),
    MIN(($H86 / 1000) * AI$10 * $BN$4, AI$11 * 0.876) * 0.25,
    IF(
        AND($H86 &gt; $BN$7, Tabella01MarzoInverter[[#This Row],[Active power TX2-INV-5]] &lt;= 0),
        Tabella01MarzoInverter[[#This Row],[Active power TX3-INV-2]] * 0.25,
        0
    )
    +
    IF(
        $N86 &lt; 0.875,
        MAX(0, MIN(($H86 / 1000) * AI$10 * $BN$4, AI$11 * 0.876) - (AI$11 * $N86)) * 0.25,
        0
    )
)</f>
        <v>0</v>
      </c>
      <c r="AJ86" s="36">
        <f>IF(
    AND($H86 &gt; $BN$7, Tabella01MarzoInverter[[#This Row],[Active power TX2-INV-6]] &lt;= 0, Tabella01MarzoInverter[[#This Row],[Active power TX3-INV-3]] &lt;= 0),
    MIN(($H86 / 1000) * AJ$10 * $BN$4, AJ$11 * 0.876) * 0.25,
    IF(
        AND($H86 &gt; $BN$7, Tabella01MarzoInverter[[#This Row],[Active power TX2-INV-6]] &lt;= 0),
        Tabella01MarzoInverter[[#This Row],[Active power TX3-INV-3]] * 0.25,
        0
    )
    +
    IF(
        $N86 &lt; 0.875,
        MAX(0, MIN(($H86 / 1000) * AJ$10 * $BN$4, AJ$11 * 0.876) - (AJ$11 * $N86)) * 0.25,
        0
    )
)</f>
        <v>0</v>
      </c>
      <c r="AK86" s="36">
        <f>IF(
    AND($H86 &gt; $BN$7, Tabella01MarzoInverter[[#This Row],[Active power TX2-INV-7]] &lt;= 0, Tabella01MarzoInverter[[#This Row],[Active power TX3-INV-4]] &lt;= 0),
    MIN(($H86 / 1000) * AK$10 * $BN$4, AK$11 * 0.876) * 0.25,
    IF(
        AND($H86 &gt; $BN$7, Tabella01MarzoInverter[[#This Row],[Active power TX2-INV-7]] &lt;= 0),
        Tabella01MarzoInverter[[#This Row],[Active power TX3-INV-4]] * 0.25,
        0
    )
    +
    IF(
        $N86 &lt; 0.875,
        MAX(0, MIN(($H86 / 1000) * AK$10 * $BN$4, AK$11 * 0.876) - (AK$11 * $N86)) * 0.25,
        0
    )
)</f>
        <v>0</v>
      </c>
      <c r="AL86" s="36">
        <f>IF(
    AND($H86 &gt; $BN$7, Tabella01MarzoInverter[[#This Row],[Active power TX2-INV-8]] &lt;= 0, Tabella01MarzoInverter[[#This Row],[Active power TX3-INV-5]] &lt;= 0),
    MIN(($H86 / 1000) * AL$10 * $BN$4, AL$11 * 0.876) * 0.25,
    IF(
        AND($H86 &gt; $BN$7, Tabella01MarzoInverter[[#This Row],[Active power TX2-INV-8]] &lt;= 0),
        Tabella01MarzoInverter[[#This Row],[Active power TX3-INV-5]] * 0.25,
        0
    )
    +
    IF(
        $N86 &lt; 0.875,
        MAX(0, MIN(($H86 / 1000) * AL$10 * $BN$4, AL$11 * 0.876) - (AL$11 * $N86)) * 0.25,
        0
    )
)</f>
        <v>0</v>
      </c>
      <c r="AM86" s="36">
        <f>IF(
    AND($H86 &gt; $BN$7, Tabella01MarzoInverter[[#This Row],[Active power TX2-INV-9]] &lt;= 0, Tabella01MarzoInverter[[#This Row],[Active power TX3-INV-6]] &lt;= 0),
    MIN(($H86 / 1000) * AM$10 * $BN$4, AM$11 * 0.876) * 0.25,
    IF(
        AND($H86 &gt; $BN$7, Tabella01MarzoInverter[[#This Row],[Active power TX2-INV-9]] &lt;= 0),
        Tabella01MarzoInverter[[#This Row],[Active power TX3-INV-6]] * 0.25,
        0
    )
    +
    IF(
        $N86 &lt; 0.875,
        MAX(0, MIN(($H86 / 1000) * AM$10 * $BN$4, AM$11 * 0.876) - (AM$11 * $N86)) * 0.25,
        0
    )
)</f>
        <v>0</v>
      </c>
      <c r="AN86" s="36">
        <f>IF(
    AND($H86 &gt; $BN$7, Tabella01MarzoInverter[[#This Row],[Active power TX2-INV-10]] &lt;= 0, Tabella01MarzoInverter[[#This Row],[Active power TX3-INV-7]] &lt;= 0),
    MIN(($H86 / 1000) * AN$10 * $BN$4, AN$11 * 0.876) * 0.25,
    IF(
        AND($H86 &gt; $BN$7, Tabella01MarzoInverter[[#This Row],[Active power TX2-INV-10]] &lt;= 0),
        Tabella01MarzoInverter[[#This Row],[Active power TX3-INV-7]] * 0.25,
        0
    )
    +
    IF(
        $N86 &lt; 0.875,
        MAX(0, MIN(($H86 / 1000) * AN$10 * $BN$4, AN$11 * 0.876) - (AN$11 * $N86)) * 0.25,
        0
    )
)</f>
        <v>0</v>
      </c>
      <c r="AO86" s="36">
        <f>IF(
    AND($H86 &gt; $BN$7, Tabella01MarzoInverter[[#This Row],[Active power TX2-INV-11]] &lt;= 0, Tabella01MarzoInverter[[#This Row],[Active power TX3-INV-8]] &lt;= 0),
    MIN(($H86 / 1000) * AO$10 * $BN$4, AO$11 * 0.876) * 0.25,
    IF(
        AND($H86 &gt; $BN$7, Tabella01MarzoInverter[[#This Row],[Active power TX2-INV-11]] &lt;= 0),
        Tabella01MarzoInverter[[#This Row],[Active power TX3-INV-8]] * 0.25,
        0
    )
    +
    IF(
        $N86 &lt; 0.875,
        MAX(0, MIN(($H86 / 1000) * AO$10 * $BN$4, AO$11 * 0.876) - (AO$11 * $N86)) * 0.25,
        0
    )
)</f>
        <v>0</v>
      </c>
      <c r="AP86" s="36">
        <f>IF(
    AND($H86 &gt; $BN$7, Tabella01MarzoInverter[[#This Row],[Active power TX2-INV-12]] &lt;= 0, Tabella01MarzoInverter[[#This Row],[Active power TX3-INV-9]] &lt;= 0),
    MIN(($H86 / 1000) * AP$10 * $BN$4, AP$11 * 0.876) * 0.25,
    IF(
        AND($H86 &gt; $BN$7, Tabella01MarzoInverter[[#This Row],[Active power TX2-INV-12]] &lt;= 0),
        Tabella01MarzoInverter[[#This Row],[Active power TX3-INV-9]] * 0.25,
        0
    )
    +
    IF(
        $N86 &lt; 0.875,
        MAX(0, MIN(($H86 / 1000) * AP$10 * $BN$4, AP$11 * 0.876) - (AP$11 * $N86)) * 0.25,
        0
    )
)</f>
        <v>0</v>
      </c>
      <c r="AQ86" s="8">
        <f>AVERAGE(TabellaMar2026[[#This Row],[Colonna39]:[Colonna6]])</f>
        <v>0</v>
      </c>
      <c r="AR86" s="8">
        <f>MAX(TabellaMar2026[[#This Row],[Colonna39]:[Colonna6]])</f>
        <v>0</v>
      </c>
      <c r="AS86" s="35">
        <f>MIN(TabellaMar2026[[#This Row],[Colonna39]:[Colonna6]])</f>
        <v>0</v>
      </c>
      <c r="AT86" s="48">
        <f>SUM(TabellaMar2026[[#This Row],[Colonna39]:[Colonna6]])</f>
        <v>0</v>
      </c>
      <c r="AU86" s="36" cm="1">
        <f t="array" ref="AU86">IF(
    AND($H86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($H86 / 1000) * AU$10 * $BN$4 * 0.25
    ),
    0
)
+
IF(
    $N86 &lt; 0.875,
    MAX(0, MIN(($H86 / 1000) * AU$10 * $BN$4, AU$11 * 0.876) - (AU$11 * $N86)) * 0.25,
    0
)</f>
        <v>0</v>
      </c>
      <c r="AV86" s="36" cm="1">
        <f t="array" ref="AV86">IF(
    AND($H86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($H86 / 1000) * AV$10 * $BN$4 * 0.25
    ),
    0
)
+
IF(
    $N86 &lt; 0.875,
    MAX(0, MIN(($H86 / 1000) * AV$10 * $BN$4, AV$11 * 0.876) - (AV$11 * $N86)) * 0.25,
    0
)</f>
        <v>0</v>
      </c>
      <c r="AW86" s="36" cm="1">
        <f t="array" ref="AW86">IF(
    AND($H86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($H86 / 1000) * AW$10 * $BN$4 * 0.25
    ),
    0
)
+
IF(
    $N86 &lt; 0.875,
    MAX(0, MIN(($H86 / 1000) * AW$10 * $BN$4, AW$11 * 0.876) - (AW$11 * $N86)) * 0.25,
    0
)</f>
        <v>0</v>
      </c>
      <c r="AX86" s="36" cm="1">
        <f t="array" ref="AX86">IF(
    AND($H86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($H86 / 1000) * AX$10 * $BN$4 * 0.25
    ),
    0
)
+
IF(
    $N86 &lt; 0.875,
    MAX(0, MIN(($H86 / 1000) * AX$10 * $BN$4, AX$11 * 0.876) - (AX$11 * $N86)) * 0.25,
    0
)</f>
        <v>0</v>
      </c>
      <c r="AY86" s="36" cm="1">
        <f t="array" ref="AY86">IF(
    AND($H86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($H86 / 1000) * AY$10 * $BN$4 * 0.25
    ),
    0
)
+
IF(
    $N86 &lt; 0.875,
    MAX(0, MIN(($H86 / 1000) * AY$10 * $BN$4, AY$11 * 0.876) - (AY$11 * $N86)) * 0.25,
    0
)</f>
        <v>0</v>
      </c>
      <c r="AZ86" s="36" cm="1">
        <f t="array" ref="AZ86">IF(
    AND($H86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($H86 / 1000) * AZ$10 * $BN$4 * 0.25
    ),
    0
)
+
IF(
    $N86 &lt; 0.875,
    MAX(0, MIN(($H86 / 1000) * AZ$10 * $BN$4, AZ$11 * 0.876) - (AZ$11 * $N86)) * 0.25,
    0
)</f>
        <v>0</v>
      </c>
      <c r="BA86" s="36" cm="1">
        <f t="array" ref="BA86">IF(
    AND($H86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($H86 / 1000) * BA$10 * $BN$4 * 0.25
    ),
    0
)
+
IF(
    $N86 &lt; 0.875,
    MAX(0, MIN(($H86 / 1000) * BA$10 * $BN$4, BA$11 * 0.876) - (BA$11 * $N86)) * 0.25,
    0
)</f>
        <v>0</v>
      </c>
      <c r="BB86" s="36" cm="1">
        <f t="array" ref="BB86">IF(
    AND($H86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($H86 / 1000) * BB$10 * $BN$4 * 0.25
    ),
    0
)
+
IF(
    $N86 &lt; 0.875,
    MAX(0, MIN(($H86 / 1000) * BB$10 * $BN$4, BB$11 * 0.876) - (BB$11 * $N86)) * 0.25,
    0
)</f>
        <v>0</v>
      </c>
      <c r="BC86" s="36" cm="1">
        <f t="array" ref="BC86">IF(
    AND($H86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($H86 / 1000) * BC$10 * $BN$4 * 0.25
    ),
    0
)
+
IF(
    $N86 &lt; 0.875,
    MAX(0, MIN(($H86 / 1000) * BC$10 * $BN$4, BC$11 * 0.876) - (BC$11 * $N86)) * 0.25,
    0
)</f>
        <v>0</v>
      </c>
      <c r="BD86" s="36" cm="1">
        <f t="array" ref="BD86">IF(
    AND($H86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($H86 / 1000) * BD$10 * $BN$4 * 0.25
    ),
    0
)
+
IF(
    $N86 &lt; 0.875,
    MAX(0, MIN(($H86 / 1000) * BD$10 * $BN$4, BD$11 * 0.876) - (BD$11 * $N86)) * 0.25,
    0
)</f>
        <v>0</v>
      </c>
      <c r="BE86" s="36" cm="1">
        <f t="array" ref="BE86">IF(
    AND($H86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($H86 / 1000) * BE$10 * $BN$4 * 0.25
    ),
    0
)
+
IF(
    $N86 &lt; 0.875,
    MAX(0, MIN(($H86 / 1000) * BE$10 * $BN$4, BE$11 * 0.876) - (BE$11 * $N86)) * 0.25,
    0
)</f>
        <v>0</v>
      </c>
      <c r="BF86" s="36" cm="1">
        <f t="array" ref="BF86">IF(
    AND($H86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($H86 / 1000) * BF$10 * $BN$4 * 0.25
    ),
    0
)
+
IF(
    $N86 &lt; 0.875,
    MAX(0, MIN(($H86 / 1000) * BF$10 * $BN$4, BF$11 * 0.876) - (BF$11 * $N86)) * 0.25,
    0
)</f>
        <v>0</v>
      </c>
      <c r="BG86" s="8">
        <f>AVERAGE(TabellaMar2026[[#This Row],[Colonna55]:[Colonna53]])</f>
        <v>0</v>
      </c>
      <c r="BH86" s="8">
        <f>MAX(TabellaMar2026[[#This Row],[Colonna55]:[Colonna53]])</f>
        <v>0</v>
      </c>
      <c r="BI86" s="35">
        <f>MIN(TabellaMar2026[[#This Row],[Colonna55]:[Colonna53]])</f>
        <v>0</v>
      </c>
      <c r="BJ86" s="48">
        <f>SUM(TabellaMar2026[[#This Row],[Colonna54]:[Colonna53]])</f>
        <v>0</v>
      </c>
      <c r="BK86" s="54">
        <f>(SUM(Tabella01MarzoInverter[[Active power TX1-INV-1]:[Active power TX3-INV-12]]) * 0.25) / (12625 * (SUM($G$15:$H$110) * 0.25 / 1000))</f>
        <v>1.014229628761051</v>
      </c>
      <c r="BL86" s="5"/>
      <c r="BM86" s="5"/>
      <c r="BN86" s="5"/>
      <c r="BO86" s="8"/>
      <c r="BP86" s="19"/>
    </row>
    <row r="87" spans="1:68" x14ac:dyDescent="0.25">
      <c r="A87" s="18">
        <v>46147</v>
      </c>
      <c r="B87" t="s">
        <v>87</v>
      </c>
      <c r="C87" s="5">
        <v>180.9</v>
      </c>
      <c r="D87" s="6">
        <v>4.5225000000000001E-2</v>
      </c>
      <c r="E87" s="6">
        <v>174.3</v>
      </c>
      <c r="F87" s="6">
        <v>4.3575000000000003E-2</v>
      </c>
      <c r="G87" s="6">
        <f>IFERROR((D87+F87)/2, 0)</f>
        <v>4.4400000000000002E-2</v>
      </c>
      <c r="H87" s="7">
        <f>IFERROR(IF(AVERAGE(C87,E87)&gt;$BN$7,AVERAGE(C87,E87),0), 0)</f>
        <v>177.60000000000002</v>
      </c>
      <c r="I87" s="7">
        <f>IFERROR(IF(AND(D87=0,F87=0),0,IF(H87&gt;$BN$6,MAX(D87,F87),G87)), 0)</f>
        <v>4.5225000000000001E-2</v>
      </c>
      <c r="J87" s="6">
        <f>IFERROR(IF(AND(D87&gt;0,F87&gt;0),ABS(D87-F87)/AVERAGE(D87,F87),0), 0)</f>
        <v>3.716216216216213E-2</v>
      </c>
      <c r="K87" s="6">
        <v>30465.200000000001</v>
      </c>
      <c r="L87" s="6">
        <v>30465.8</v>
      </c>
      <c r="M87" s="8">
        <f>IFERROR((L87-K87)*1000, 0)</f>
        <v>599.99999999854481</v>
      </c>
      <c r="N87" s="6">
        <v>0.87599999999999989</v>
      </c>
      <c r="O87" s="8" cm="1">
        <f t="array" ref="O87">IF(
    AND($H87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($H87 / 1000) * O$10 * $BN$4 * 0.25
    ),
    0
)
+
IF(
    $N87 &lt; 0.875,
    MAX(0, MIN(($H87 / 1000) * O$10 * $BN$4, O$11 * 0.876) - (O$11 * $N87)) * 0.25,
    0
)</f>
        <v>0</v>
      </c>
      <c r="P87" s="8" cm="1">
        <f t="array" ref="P87">IF(
    AND($H87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($H87 / 1000) * P$10 * $BN$4 * 0.25
    ),
    0
)
+
IF(
    $N87 &lt; 0.875,
    MAX(0, MIN(($H87 / 1000) * P$10 * $BN$4, P$11 * 0.876) - (P$11 * $N87)) * 0.25,
    0
)</f>
        <v>0</v>
      </c>
      <c r="Q87" s="8" cm="1">
        <f t="array" ref="Q87">IF(
    AND($H87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($H87 / 1000) * Q$10 * $BN$4 * 0.25
    ),
    0
)
+
IF(
    $N87 &lt; 0.875,
    MAX(0, MIN(($H87 / 1000) * Q$10 * $BN$4, Q$11 * 0.876) - (Q$11 * $N87)) * 0.25,
    0
)</f>
        <v>0</v>
      </c>
      <c r="R87" s="8" cm="1">
        <f t="array" ref="R87">IF(
    AND($H87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($H87 / 1000) * R$10 * $BN$4 * 0.25
    ),
    0
)
+
IF(
    $N87 &lt; 0.875,
    MAX(0, MIN(($H87 / 1000) * R$10 * $BN$4, R$11 * 0.876) - (R$11 * $N87)) * 0.25,
    0
)</f>
        <v>0</v>
      </c>
      <c r="S87" s="8" cm="1">
        <f t="array" ref="S87">IF(
    AND($H87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($H87 / 1000) * S$10 * $BN$4 * 0.25
    ),
    0
)
+
IF(
    $N87 &lt; 0.875,
    MAX(0, MIN(($H87 / 1000) * S$10 * $BN$4, S$11 * 0.876) - (S$11 * $N87)) * 0.25,
    0
)</f>
        <v>0</v>
      </c>
      <c r="T87" s="8" cm="1">
        <f t="array" ref="T87">IF(
    AND($H87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($H87 / 1000) * T$10 * $BN$4 * 0.25
    ),
    0
)
+
IF(
    $N87 &lt; 0.875,
    MAX(0, MIN(($H87 / 1000) * T$10 * $BN$4, T$11 * 0.876) - (T$11 * $N87)) * 0.25,
    0
)</f>
        <v>0</v>
      </c>
      <c r="U87" s="8" cm="1">
        <f t="array" ref="U87">IF(
    AND($H87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($H87 / 1000) * U$10 * $BN$4 * 0.25
    ),
    0
)
+
IF(
    $N87 &lt; 0.875,
    MAX(0, MIN(($H87 / 1000) * U$10 * $BN$4, U$11 * 0.876) - (U$11 * $N87)) * 0.25,
    0
)</f>
        <v>0</v>
      </c>
      <c r="V87" s="8" cm="1">
        <f t="array" ref="V87">IF(
    AND($H87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($H87 / 1000) * V$10 * $BN$4 * 0.25
    ),
    0
)
+
IF(
    $N87 &lt; 0.875,
    MAX(0, MIN(($H87 / 1000) * V$10 * $BN$4, V$11 * 0.876) - (V$11 * $N87)) * 0.25,
    0
)</f>
        <v>0</v>
      </c>
      <c r="W87" s="8" cm="1">
        <f t="array" ref="W87">IF(
    AND($H87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($H87 / 1000) * W$10 * $BN$4 * 0.25
    ),
    0
)
+
IF(
    $N87 &lt; 0.875,
    MAX(0, MIN(($H87 / 1000) * W$10 * $BN$4, W$11 * 0.876) - (W$11 * $N87)) * 0.25,
    0
)</f>
        <v>0</v>
      </c>
      <c r="X87" s="8" cm="1">
        <f t="array" ref="X87">IF(
    AND($H87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($H87 / 1000) * X$10 * $BN$4 * 0.25
    ),
    0
)
+
IF(
    $N87 &lt; 0.875,
    MAX(0, MIN(($H87 / 1000) * X$10 * $BN$4, X$11 * 0.876) - (X$11 * $N87)) * 0.25,
    0
)</f>
        <v>0</v>
      </c>
      <c r="Y87" s="8" cm="1">
        <f t="array" ref="Y87">IF(
    AND($H87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($H87 / 1000) * Y$10 * $BN$4 * 0.25
    ),
    0
)
+
IF(
    $N87 &lt; 0.875,
    MAX(0, MIN(($H87 / 1000) * Y$10 * $BN$4, Y$11 * 0.876) - (Y$11 * $N87)) * 0.25,
    0
)</f>
        <v>0</v>
      </c>
      <c r="Z87" s="8" cm="1">
        <f t="array" ref="Z87">IF(
    AND($H87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($H87 / 1000) * Z$10 * $BN$4 * 0.25
    ),
    0
)
+
IF(
    $N87 &lt; 0.875,
    MAX(0, MIN(($H87 / 1000) * Z$10 * $BN$4, Z$11 * 0.876) - (Z$11 * $N87)) * 0.25,
    0
)</f>
        <v>0</v>
      </c>
      <c r="AA87" s="8">
        <f>AVERAGE(TabellaMar2026[[#This Row],[Colonna24]:[Colonna20]])</f>
        <v>0</v>
      </c>
      <c r="AB87" s="8">
        <f>MAX(TabellaMar2026[[#This Row],[Colonna24]:[Colonna20]])</f>
        <v>0</v>
      </c>
      <c r="AC87" s="35">
        <f>MIN(TabellaMar2026[[#This Row],[Colonna24]:[Colonna20]])</f>
        <v>0</v>
      </c>
      <c r="AD87" s="44">
        <f>SUM(TabellaMar2026[[#This Row],[Colonna24]:[Colonna20]])</f>
        <v>0</v>
      </c>
      <c r="AE87" s="36">
        <f>IF(
    AND($H87 &gt; $BN$7, Tabella01MarzoInverter[[#This Row],[Active power TX2-INV-1]] &lt;= 0, Tabella01MarzoInverter[[#This Row],[TX2 - Average Power]] &lt;= 0),
    MIN(($H87 / 1000) * AE$10 * $BN$4, AE$11 * 0.876) * 0.25,
    IF(
        AND($H87 &gt; $BN$7, Tabella01MarzoInverter[[#This Row],[Active power TX2-INV-1]] &lt;= 0),
        Tabella01MarzoInverter[[#This Row],[TX2 - Average Power]] * 0.25,
        0
    )
    +
    IF(
        $N87 &lt; 0.875,
        MAX(0, MIN(($H87 / 1000) * AE$10 * $BN$4, AE$11 * 0.876) - (AE$11 * $N87)) * 0.25,
        0
    )
)</f>
        <v>0</v>
      </c>
      <c r="AF87" s="36">
        <f>IF(
    AND($H87 &gt; $BN$7, Tabella01MarzoInverter[[#This Row],[Active power TX2-INV-2]] &lt;= 0, Tabella01MarzoInverter[[#This Row],[TX2 - Max Power]] &lt;= 0),
    MIN(($H87 / 1000) * AF$10 * $BN$4, AF$11 * 0.876) * 0.25,
    IF(
        AND($H87 &gt; $BN$7, Tabella01MarzoInverter[[#This Row],[Active power TX2-INV-2]] &lt;= 0),
        Tabella01MarzoInverter[[#This Row],[TX2 - Max Power]] * 0.25,
        0
    )
    +
    IF(
        $N87 &lt; 0.875,
        MAX(0, MIN(($H87 / 1000) * AF$10 * $BN$4, AF$11 * 0.876) - (AF$11 * $N87)) * 0.25,
        0
    )
)</f>
        <v>0</v>
      </c>
      <c r="AG87" s="36">
        <f>IF(
    AND($H87 &gt; $BN$7, Tabella01MarzoInverter[[#This Row],[Active power TX2-INV-3]] &lt;= 0, Tabella01MarzoInverter[[#This Row],[TX2 - Min Power]] &lt;= 0),
    MIN(($H87 / 1000) * AG$10 * $BN$4, AG$11 * 0.876) * 0.25,
    IF(
        AND($H87 &gt; $BN$7, Tabella01MarzoInverter[[#This Row],[Active power TX2-INV-3]] &lt;= 0),
        Tabella01MarzoInverter[[#This Row],[TX2 - Min Power]] * 0.25,
        0
    )
    +
    IF(
        $N87 &lt; 0.875,
        MAX(0, MIN(($H87 / 1000) * AG$10 * $BN$4, AG$11 * 0.876) - (AG$11 * $N87)) * 0.25,
        0
    )
)</f>
        <v>0</v>
      </c>
      <c r="AH87" s="36">
        <f>IF(
    AND($H87 &gt; $BN$7, Tabella01MarzoInverter[[#This Row],[Active power TX2-INV-4]] &lt;= 0, Tabella01MarzoInverter[[#This Row],[Active power TX3-INV-1]] &lt;= 0),
    MIN(($H87 / 1000) * AH$10 * $BN$4, AH$11 * 0.876) * 0.25,
    IF(
        AND($H87 &gt; $BN$7, Tabella01MarzoInverter[[#This Row],[Active power TX2-INV-4]] &lt;= 0),
        Tabella01MarzoInverter[[#This Row],[Active power TX3-INV-1]] * 0.25,
        0
    )
    +
    IF(
        $N87 &lt; 0.875,
        MAX(0, MIN(($H87 / 1000) * AH$10 * $BN$4, AH$11 * 0.876) - (AH$11 * $N87)) * 0.25,
        0
    )
)</f>
        <v>0</v>
      </c>
      <c r="AI87" s="36">
        <f>IF(
    AND($H87 &gt; $BN$7, Tabella01MarzoInverter[[#This Row],[Active power TX2-INV-5]] &lt;= 0, Tabella01MarzoInverter[[#This Row],[Active power TX3-INV-2]] &lt;= 0),
    MIN(($H87 / 1000) * AI$10 * $BN$4, AI$11 * 0.876) * 0.25,
    IF(
        AND($H87 &gt; $BN$7, Tabella01MarzoInverter[[#This Row],[Active power TX2-INV-5]] &lt;= 0),
        Tabella01MarzoInverter[[#This Row],[Active power TX3-INV-2]] * 0.25,
        0
    )
    +
    IF(
        $N87 &lt; 0.875,
        MAX(0, MIN(($H87 / 1000) * AI$10 * $BN$4, AI$11 * 0.876) - (AI$11 * $N87)) * 0.25,
        0
    )
)</f>
        <v>0</v>
      </c>
      <c r="AJ87" s="36">
        <f>IF(
    AND($H87 &gt; $BN$7, Tabella01MarzoInverter[[#This Row],[Active power TX2-INV-6]] &lt;= 0, Tabella01MarzoInverter[[#This Row],[Active power TX3-INV-3]] &lt;= 0),
    MIN(($H87 / 1000) * AJ$10 * $BN$4, AJ$11 * 0.876) * 0.25,
    IF(
        AND($H87 &gt; $BN$7, Tabella01MarzoInverter[[#This Row],[Active power TX2-INV-6]] &lt;= 0),
        Tabella01MarzoInverter[[#This Row],[Active power TX3-INV-3]] * 0.25,
        0
    )
    +
    IF(
        $N87 &lt; 0.875,
        MAX(0, MIN(($H87 / 1000) * AJ$10 * $BN$4, AJ$11 * 0.876) - (AJ$11 * $N87)) * 0.25,
        0
    )
)</f>
        <v>0</v>
      </c>
      <c r="AK87" s="36">
        <f>IF(
    AND($H87 &gt; $BN$7, Tabella01MarzoInverter[[#This Row],[Active power TX2-INV-7]] &lt;= 0, Tabella01MarzoInverter[[#This Row],[Active power TX3-INV-4]] &lt;= 0),
    MIN(($H87 / 1000) * AK$10 * $BN$4, AK$11 * 0.876) * 0.25,
    IF(
        AND($H87 &gt; $BN$7, Tabella01MarzoInverter[[#This Row],[Active power TX2-INV-7]] &lt;= 0),
        Tabella01MarzoInverter[[#This Row],[Active power TX3-INV-4]] * 0.25,
        0
    )
    +
    IF(
        $N87 &lt; 0.875,
        MAX(0, MIN(($H87 / 1000) * AK$10 * $BN$4, AK$11 * 0.876) - (AK$11 * $N87)) * 0.25,
        0
    )
)</f>
        <v>0</v>
      </c>
      <c r="AL87" s="36">
        <f>IF(
    AND($H87 &gt; $BN$7, Tabella01MarzoInverter[[#This Row],[Active power TX2-INV-8]] &lt;= 0, Tabella01MarzoInverter[[#This Row],[Active power TX3-INV-5]] &lt;= 0),
    MIN(($H87 / 1000) * AL$10 * $BN$4, AL$11 * 0.876) * 0.25,
    IF(
        AND($H87 &gt; $BN$7, Tabella01MarzoInverter[[#This Row],[Active power TX2-INV-8]] &lt;= 0),
        Tabella01MarzoInverter[[#This Row],[Active power TX3-INV-5]] * 0.25,
        0
    )
    +
    IF(
        $N87 &lt; 0.875,
        MAX(0, MIN(($H87 / 1000) * AL$10 * $BN$4, AL$11 * 0.876) - (AL$11 * $N87)) * 0.25,
        0
    )
)</f>
        <v>0</v>
      </c>
      <c r="AM87" s="36">
        <f>IF(
    AND($H87 &gt; $BN$7, Tabella01MarzoInverter[[#This Row],[Active power TX2-INV-9]] &lt;= 0, Tabella01MarzoInverter[[#This Row],[Active power TX3-INV-6]] &lt;= 0),
    MIN(($H87 / 1000) * AM$10 * $BN$4, AM$11 * 0.876) * 0.25,
    IF(
        AND($H87 &gt; $BN$7, Tabella01MarzoInverter[[#This Row],[Active power TX2-INV-9]] &lt;= 0),
        Tabella01MarzoInverter[[#This Row],[Active power TX3-INV-6]] * 0.25,
        0
    )
    +
    IF(
        $N87 &lt; 0.875,
        MAX(0, MIN(($H87 / 1000) * AM$10 * $BN$4, AM$11 * 0.876) - (AM$11 * $N87)) * 0.25,
        0
    )
)</f>
        <v>0</v>
      </c>
      <c r="AN87" s="36">
        <f>IF(
    AND($H87 &gt; $BN$7, Tabella01MarzoInverter[[#This Row],[Active power TX2-INV-10]] &lt;= 0, Tabella01MarzoInverter[[#This Row],[Active power TX3-INV-7]] &lt;= 0),
    MIN(($H87 / 1000) * AN$10 * $BN$4, AN$11 * 0.876) * 0.25,
    IF(
        AND($H87 &gt; $BN$7, Tabella01MarzoInverter[[#This Row],[Active power TX2-INV-10]] &lt;= 0),
        Tabella01MarzoInverter[[#This Row],[Active power TX3-INV-7]] * 0.25,
        0
    )
    +
    IF(
        $N87 &lt; 0.875,
        MAX(0, MIN(($H87 / 1000) * AN$10 * $BN$4, AN$11 * 0.876) - (AN$11 * $N87)) * 0.25,
        0
    )
)</f>
        <v>0</v>
      </c>
      <c r="AO87" s="36">
        <f>IF(
    AND($H87 &gt; $BN$7, Tabella01MarzoInverter[[#This Row],[Active power TX2-INV-11]] &lt;= 0, Tabella01MarzoInverter[[#This Row],[Active power TX3-INV-8]] &lt;= 0),
    MIN(($H87 / 1000) * AO$10 * $BN$4, AO$11 * 0.876) * 0.25,
    IF(
        AND($H87 &gt; $BN$7, Tabella01MarzoInverter[[#This Row],[Active power TX2-INV-11]] &lt;= 0),
        Tabella01MarzoInverter[[#This Row],[Active power TX3-INV-8]] * 0.25,
        0
    )
    +
    IF(
        $N87 &lt; 0.875,
        MAX(0, MIN(($H87 / 1000) * AO$10 * $BN$4, AO$11 * 0.876) - (AO$11 * $N87)) * 0.25,
        0
    )
)</f>
        <v>0</v>
      </c>
      <c r="AP87" s="36">
        <f>IF(
    AND($H87 &gt; $BN$7, Tabella01MarzoInverter[[#This Row],[Active power TX2-INV-12]] &lt;= 0, Tabella01MarzoInverter[[#This Row],[Active power TX3-INV-9]] &lt;= 0),
    MIN(($H87 / 1000) * AP$10 * $BN$4, AP$11 * 0.876) * 0.25,
    IF(
        AND($H87 &gt; $BN$7, Tabella01MarzoInverter[[#This Row],[Active power TX2-INV-12]] &lt;= 0),
        Tabella01MarzoInverter[[#This Row],[Active power TX3-INV-9]] * 0.25,
        0
    )
    +
    IF(
        $N87 &lt; 0.875,
        MAX(0, MIN(($H87 / 1000) * AP$10 * $BN$4, AP$11 * 0.876) - (AP$11 * $N87)) * 0.25,
        0
    )
)</f>
        <v>0</v>
      </c>
      <c r="AQ87" s="8">
        <f>AVERAGE(TabellaMar2026[[#This Row],[Colonna39]:[Colonna6]])</f>
        <v>0</v>
      </c>
      <c r="AR87" s="8">
        <f>MAX(TabellaMar2026[[#This Row],[Colonna39]:[Colonna6]])</f>
        <v>0</v>
      </c>
      <c r="AS87" s="35">
        <f>MIN(TabellaMar2026[[#This Row],[Colonna39]:[Colonna6]])</f>
        <v>0</v>
      </c>
      <c r="AT87" s="48">
        <f>SUM(TabellaMar2026[[#This Row],[Colonna39]:[Colonna6]])</f>
        <v>0</v>
      </c>
      <c r="AU87" s="36" cm="1">
        <f t="array" ref="AU87">IF(
    AND($H87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($H87 / 1000) * AU$10 * $BN$4 * 0.25
    ),
    0
)
+
IF(
    $N87 &lt; 0.875,
    MAX(0, MIN(($H87 / 1000) * AU$10 * $BN$4, AU$11 * 0.876) - (AU$11 * $N87)) * 0.25,
    0
)</f>
        <v>0</v>
      </c>
      <c r="AV87" s="36" cm="1">
        <f t="array" ref="AV87">IF(
    AND($H87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($H87 / 1000) * AV$10 * $BN$4 * 0.25
    ),
    0
)
+
IF(
    $N87 &lt; 0.875,
    MAX(0, MIN(($H87 / 1000) * AV$10 * $BN$4, AV$11 * 0.876) - (AV$11 * $N87)) * 0.25,
    0
)</f>
        <v>0</v>
      </c>
      <c r="AW87" s="36" cm="1">
        <f t="array" ref="AW87">IF(
    AND($H87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($H87 / 1000) * AW$10 * $BN$4 * 0.25
    ),
    0
)
+
IF(
    $N87 &lt; 0.875,
    MAX(0, MIN(($H87 / 1000) * AW$10 * $BN$4, AW$11 * 0.876) - (AW$11 * $N87)) * 0.25,
    0
)</f>
        <v>0</v>
      </c>
      <c r="AX87" s="36" cm="1">
        <f t="array" ref="AX87">IF(
    AND($H87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($H87 / 1000) * AX$10 * $BN$4 * 0.25
    ),
    0
)
+
IF(
    $N87 &lt; 0.875,
    MAX(0, MIN(($H87 / 1000) * AX$10 * $BN$4, AX$11 * 0.876) - (AX$11 * $N87)) * 0.25,
    0
)</f>
        <v>0</v>
      </c>
      <c r="AY87" s="36" cm="1">
        <f t="array" ref="AY87">IF(
    AND($H87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($H87 / 1000) * AY$10 * $BN$4 * 0.25
    ),
    0
)
+
IF(
    $N87 &lt; 0.875,
    MAX(0, MIN(($H87 / 1000) * AY$10 * $BN$4, AY$11 * 0.876) - (AY$11 * $N87)) * 0.25,
    0
)</f>
        <v>0</v>
      </c>
      <c r="AZ87" s="36" cm="1">
        <f t="array" ref="AZ87">IF(
    AND($H87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($H87 / 1000) * AZ$10 * $BN$4 * 0.25
    ),
    0
)
+
IF(
    $N87 &lt; 0.875,
    MAX(0, MIN(($H87 / 1000) * AZ$10 * $BN$4, AZ$11 * 0.876) - (AZ$11 * $N87)) * 0.25,
    0
)</f>
        <v>0</v>
      </c>
      <c r="BA87" s="36" cm="1">
        <f t="array" ref="BA87">IF(
    AND($H87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($H87 / 1000) * BA$10 * $BN$4 * 0.25
    ),
    0
)
+
IF(
    $N87 &lt; 0.875,
    MAX(0, MIN(($H87 / 1000) * BA$10 * $BN$4, BA$11 * 0.876) - (BA$11 * $N87)) * 0.25,
    0
)</f>
        <v>0</v>
      </c>
      <c r="BB87" s="36" cm="1">
        <f t="array" ref="BB87">IF(
    AND($H87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($H87 / 1000) * BB$10 * $BN$4 * 0.25
    ),
    0
)
+
IF(
    $N87 &lt; 0.875,
    MAX(0, MIN(($H87 / 1000) * BB$10 * $BN$4, BB$11 * 0.876) - (BB$11 * $N87)) * 0.25,
    0
)</f>
        <v>0</v>
      </c>
      <c r="BC87" s="36" cm="1">
        <f t="array" ref="BC87">IF(
    AND($H87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($H87 / 1000) * BC$10 * $BN$4 * 0.25
    ),
    0
)
+
IF(
    $N87 &lt; 0.875,
    MAX(0, MIN(($H87 / 1000) * BC$10 * $BN$4, BC$11 * 0.876) - (BC$11 * $N87)) * 0.25,
    0
)</f>
        <v>0</v>
      </c>
      <c r="BD87" s="36" cm="1">
        <f t="array" ref="BD87">IF(
    AND($H87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($H87 / 1000) * BD$10 * $BN$4 * 0.25
    ),
    0
)
+
IF(
    $N87 &lt; 0.875,
    MAX(0, MIN(($H87 / 1000) * BD$10 * $BN$4, BD$11 * 0.876) - (BD$11 * $N87)) * 0.25,
    0
)</f>
        <v>0</v>
      </c>
      <c r="BE87" s="36" cm="1">
        <f t="array" ref="BE87">IF(
    AND($H87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($H87 / 1000) * BE$10 * $BN$4 * 0.25
    ),
    0
)
+
IF(
    $N87 &lt; 0.875,
    MAX(0, MIN(($H87 / 1000) * BE$10 * $BN$4, BE$11 * 0.876) - (BE$11 * $N87)) * 0.25,
    0
)</f>
        <v>0</v>
      </c>
      <c r="BF87" s="36" cm="1">
        <f t="array" ref="BF87">IF(
    AND($H87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($H87 / 1000) * BF$10 * $BN$4 * 0.25
    ),
    0
)
+
IF(
    $N87 &lt; 0.875,
    MAX(0, MIN(($H87 / 1000) * BF$10 * $BN$4, BF$11 * 0.876) - (BF$11 * $N87)) * 0.25,
    0
)</f>
        <v>0</v>
      </c>
      <c r="BG87" s="8">
        <f>AVERAGE(TabellaMar2026[[#This Row],[Colonna55]:[Colonna53]])</f>
        <v>0</v>
      </c>
      <c r="BH87" s="8">
        <f>MAX(TabellaMar2026[[#This Row],[Colonna55]:[Colonna53]])</f>
        <v>0</v>
      </c>
      <c r="BI87" s="35">
        <f>MIN(TabellaMar2026[[#This Row],[Colonna55]:[Colonna53]])</f>
        <v>0</v>
      </c>
      <c r="BJ87" s="48">
        <f>SUM(TabellaMar2026[[#This Row],[Colonna54]:[Colonna53]])</f>
        <v>0</v>
      </c>
      <c r="BK87" s="54">
        <f>(SUM(Tabella01MarzoInverter[[Active power TX1-INV-1]:[Active power TX3-INV-12]]) * 0.25) / (12625 * (SUM($G$15:$H$110) * 0.25 / 1000))</f>
        <v>1.014229628761051</v>
      </c>
      <c r="BL87" s="5"/>
      <c r="BM87" s="5"/>
      <c r="BN87" s="5"/>
      <c r="BO87" s="8"/>
      <c r="BP87" s="19"/>
    </row>
    <row r="88" spans="1:68" x14ac:dyDescent="0.25">
      <c r="A88" s="18">
        <v>46147</v>
      </c>
      <c r="B88" t="s">
        <v>88</v>
      </c>
      <c r="C88" s="5">
        <v>150.19999999999999</v>
      </c>
      <c r="D88" s="6">
        <v>3.755E-2</v>
      </c>
      <c r="E88" s="6">
        <v>146.69999999999999</v>
      </c>
      <c r="F88" s="6">
        <v>3.6674999999999999E-2</v>
      </c>
      <c r="G88" s="6">
        <f>IFERROR((D88+F88)/2, 0)</f>
        <v>3.71125E-2</v>
      </c>
      <c r="H88" s="7">
        <f>IFERROR(IF(AVERAGE(C88,E88)&gt;$BN$7,AVERAGE(C88,E88),0), 0)</f>
        <v>148.44999999999999</v>
      </c>
      <c r="I88" s="7">
        <f>IFERROR(IF(AND(D88=0,F88=0),0,IF(H88&gt;$BN$6,MAX(D88,F88),G88)), 0)</f>
        <v>3.755E-2</v>
      </c>
      <c r="J88" s="6">
        <f>IFERROR(IF(AND(D88&gt;0,F88&gt;0),ABS(D88-F88)/AVERAGE(D88,F88),0), 0)</f>
        <v>2.3576961940047176E-2</v>
      </c>
      <c r="K88" s="6">
        <v>30465.8</v>
      </c>
      <c r="L88" s="6">
        <v>30466.3</v>
      </c>
      <c r="M88" s="8">
        <f>IFERROR((L88-K88)*1000, 0)</f>
        <v>500</v>
      </c>
      <c r="N88" s="6">
        <v>0.87599999999999989</v>
      </c>
      <c r="O88" s="8" cm="1">
        <f t="array" ref="O88">IF(
    AND($H88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($H88 / 1000) * O$10 * $BN$4 * 0.25
    ),
    0
)
+
IF(
    $N88 &lt; 0.875,
    MAX(0, MIN(($H88 / 1000) * O$10 * $BN$4, O$11 * 0.876) - (O$11 * $N88)) * 0.25,
    0
)</f>
        <v>0</v>
      </c>
      <c r="P88" s="8" cm="1">
        <f t="array" ref="P88">IF(
    AND($H88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($H88 / 1000) * P$10 * $BN$4 * 0.25
    ),
    0
)
+
IF(
    $N88 &lt; 0.875,
    MAX(0, MIN(($H88 / 1000) * P$10 * $BN$4, P$11 * 0.876) - (P$11 * $N88)) * 0.25,
    0
)</f>
        <v>0</v>
      </c>
      <c r="Q88" s="8" cm="1">
        <f t="array" ref="Q88">IF(
    AND($H88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($H88 / 1000) * Q$10 * $BN$4 * 0.25
    ),
    0
)
+
IF(
    $N88 &lt; 0.875,
    MAX(0, MIN(($H88 / 1000) * Q$10 * $BN$4, Q$11 * 0.876) - (Q$11 * $N88)) * 0.25,
    0
)</f>
        <v>0</v>
      </c>
      <c r="R88" s="8" cm="1">
        <f t="array" ref="R88">IF(
    AND($H88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($H88 / 1000) * R$10 * $BN$4 * 0.25
    ),
    0
)
+
IF(
    $N88 &lt; 0.875,
    MAX(0, MIN(($H88 / 1000) * R$10 * $BN$4, R$11 * 0.876) - (R$11 * $N88)) * 0.25,
    0
)</f>
        <v>0</v>
      </c>
      <c r="S88" s="8" cm="1">
        <f t="array" ref="S88">IF(
    AND($H88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($H88 / 1000) * S$10 * $BN$4 * 0.25
    ),
    0
)
+
IF(
    $N88 &lt; 0.875,
    MAX(0, MIN(($H88 / 1000) * S$10 * $BN$4, S$11 * 0.876) - (S$11 * $N88)) * 0.25,
    0
)</f>
        <v>0</v>
      </c>
      <c r="T88" s="8" cm="1">
        <f t="array" ref="T88">IF(
    AND($H88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($H88 / 1000) * T$10 * $BN$4 * 0.25
    ),
    0
)
+
IF(
    $N88 &lt; 0.875,
    MAX(0, MIN(($H88 / 1000) * T$10 * $BN$4, T$11 * 0.876) - (T$11 * $N88)) * 0.25,
    0
)</f>
        <v>0</v>
      </c>
      <c r="U88" s="8" cm="1">
        <f t="array" ref="U88">IF(
    AND($H88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($H88 / 1000) * U$10 * $BN$4 * 0.25
    ),
    0
)
+
IF(
    $N88 &lt; 0.875,
    MAX(0, MIN(($H88 / 1000) * U$10 * $BN$4, U$11 * 0.876) - (U$11 * $N88)) * 0.25,
    0
)</f>
        <v>0</v>
      </c>
      <c r="V88" s="8" cm="1">
        <f t="array" ref="V88">IF(
    AND($H88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($H88 / 1000) * V$10 * $BN$4 * 0.25
    ),
    0
)
+
IF(
    $N88 &lt; 0.875,
    MAX(0, MIN(($H88 / 1000) * V$10 * $BN$4, V$11 * 0.876) - (V$11 * $N88)) * 0.25,
    0
)</f>
        <v>0</v>
      </c>
      <c r="W88" s="8" cm="1">
        <f t="array" ref="W88">IF(
    AND($H88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($H88 / 1000) * W$10 * $BN$4 * 0.25
    ),
    0
)
+
IF(
    $N88 &lt; 0.875,
    MAX(0, MIN(($H88 / 1000) * W$10 * $BN$4, W$11 * 0.876) - (W$11 * $N88)) * 0.25,
    0
)</f>
        <v>0</v>
      </c>
      <c r="X88" s="8" cm="1">
        <f t="array" ref="X88">IF(
    AND($H88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($H88 / 1000) * X$10 * $BN$4 * 0.25
    ),
    0
)
+
IF(
    $N88 &lt; 0.875,
    MAX(0, MIN(($H88 / 1000) * X$10 * $BN$4, X$11 * 0.876) - (X$11 * $N88)) * 0.25,
    0
)</f>
        <v>0</v>
      </c>
      <c r="Y88" s="8" cm="1">
        <f t="array" ref="Y88">IF(
    AND($H88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($H88 / 1000) * Y$10 * $BN$4 * 0.25
    ),
    0
)
+
IF(
    $N88 &lt; 0.875,
    MAX(0, MIN(($H88 / 1000) * Y$10 * $BN$4, Y$11 * 0.876) - (Y$11 * $N88)) * 0.25,
    0
)</f>
        <v>0</v>
      </c>
      <c r="Z88" s="8" cm="1">
        <f t="array" ref="Z88">IF(
    AND($H88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($H88 / 1000) * Z$10 * $BN$4 * 0.25
    ),
    0
)
+
IF(
    $N88 &lt; 0.875,
    MAX(0, MIN(($H88 / 1000) * Z$10 * $BN$4, Z$11 * 0.876) - (Z$11 * $N88)) * 0.25,
    0
)</f>
        <v>0</v>
      </c>
      <c r="AA88" s="8">
        <f>AVERAGE(TabellaMar2026[[#This Row],[Colonna24]:[Colonna20]])</f>
        <v>0</v>
      </c>
      <c r="AB88" s="8">
        <f>MAX(TabellaMar2026[[#This Row],[Colonna24]:[Colonna20]])</f>
        <v>0</v>
      </c>
      <c r="AC88" s="35">
        <f>MIN(TabellaMar2026[[#This Row],[Colonna24]:[Colonna20]])</f>
        <v>0</v>
      </c>
      <c r="AD88" s="44">
        <f>SUM(TabellaMar2026[[#This Row],[Colonna24]:[Colonna20]])</f>
        <v>0</v>
      </c>
      <c r="AE88" s="36">
        <f>IF(
    AND($H88 &gt; $BN$7, Tabella01MarzoInverter[[#This Row],[Active power TX2-INV-1]] &lt;= 0, Tabella01MarzoInverter[[#This Row],[TX2 - Average Power]] &lt;= 0),
    MIN(($H88 / 1000) * AE$10 * $BN$4, AE$11 * 0.876) * 0.25,
    IF(
        AND($H88 &gt; $BN$7, Tabella01MarzoInverter[[#This Row],[Active power TX2-INV-1]] &lt;= 0),
        Tabella01MarzoInverter[[#This Row],[TX2 - Average Power]] * 0.25,
        0
    )
    +
    IF(
        $N88 &lt; 0.875,
        MAX(0, MIN(($H88 / 1000) * AE$10 * $BN$4, AE$11 * 0.876) - (AE$11 * $N88)) * 0.25,
        0
    )
)</f>
        <v>0</v>
      </c>
      <c r="AF88" s="36">
        <f>IF(
    AND($H88 &gt; $BN$7, Tabella01MarzoInverter[[#This Row],[Active power TX2-INV-2]] &lt;= 0, Tabella01MarzoInverter[[#This Row],[TX2 - Max Power]] &lt;= 0),
    MIN(($H88 / 1000) * AF$10 * $BN$4, AF$11 * 0.876) * 0.25,
    IF(
        AND($H88 &gt; $BN$7, Tabella01MarzoInverter[[#This Row],[Active power TX2-INV-2]] &lt;= 0),
        Tabella01MarzoInverter[[#This Row],[TX2 - Max Power]] * 0.25,
        0
    )
    +
    IF(
        $N88 &lt; 0.875,
        MAX(0, MIN(($H88 / 1000) * AF$10 * $BN$4, AF$11 * 0.876) - (AF$11 * $N88)) * 0.25,
        0
    )
)</f>
        <v>0</v>
      </c>
      <c r="AG88" s="36">
        <f>IF(
    AND($H88 &gt; $BN$7, Tabella01MarzoInverter[[#This Row],[Active power TX2-INV-3]] &lt;= 0, Tabella01MarzoInverter[[#This Row],[TX2 - Min Power]] &lt;= 0),
    MIN(($H88 / 1000) * AG$10 * $BN$4, AG$11 * 0.876) * 0.25,
    IF(
        AND($H88 &gt; $BN$7, Tabella01MarzoInverter[[#This Row],[Active power TX2-INV-3]] &lt;= 0),
        Tabella01MarzoInverter[[#This Row],[TX2 - Min Power]] * 0.25,
        0
    )
    +
    IF(
        $N88 &lt; 0.875,
        MAX(0, MIN(($H88 / 1000) * AG$10 * $BN$4, AG$11 * 0.876) - (AG$11 * $N88)) * 0.25,
        0
    )
)</f>
        <v>0</v>
      </c>
      <c r="AH88" s="36">
        <f>IF(
    AND($H88 &gt; $BN$7, Tabella01MarzoInverter[[#This Row],[Active power TX2-INV-4]] &lt;= 0, Tabella01MarzoInverter[[#This Row],[Active power TX3-INV-1]] &lt;= 0),
    MIN(($H88 / 1000) * AH$10 * $BN$4, AH$11 * 0.876) * 0.25,
    IF(
        AND($H88 &gt; $BN$7, Tabella01MarzoInverter[[#This Row],[Active power TX2-INV-4]] &lt;= 0),
        Tabella01MarzoInverter[[#This Row],[Active power TX3-INV-1]] * 0.25,
        0
    )
    +
    IF(
        $N88 &lt; 0.875,
        MAX(0, MIN(($H88 / 1000) * AH$10 * $BN$4, AH$11 * 0.876) - (AH$11 * $N88)) * 0.25,
        0
    )
)</f>
        <v>0</v>
      </c>
      <c r="AI88" s="36">
        <f>IF(
    AND($H88 &gt; $BN$7, Tabella01MarzoInverter[[#This Row],[Active power TX2-INV-5]] &lt;= 0, Tabella01MarzoInverter[[#This Row],[Active power TX3-INV-2]] &lt;= 0),
    MIN(($H88 / 1000) * AI$10 * $BN$4, AI$11 * 0.876) * 0.25,
    IF(
        AND($H88 &gt; $BN$7, Tabella01MarzoInverter[[#This Row],[Active power TX2-INV-5]] &lt;= 0),
        Tabella01MarzoInverter[[#This Row],[Active power TX3-INV-2]] * 0.25,
        0
    )
    +
    IF(
        $N88 &lt; 0.875,
        MAX(0, MIN(($H88 / 1000) * AI$10 * $BN$4, AI$11 * 0.876) - (AI$11 * $N88)) * 0.25,
        0
    )
)</f>
        <v>0</v>
      </c>
      <c r="AJ88" s="36">
        <f>IF(
    AND($H88 &gt; $BN$7, Tabella01MarzoInverter[[#This Row],[Active power TX2-INV-6]] &lt;= 0, Tabella01MarzoInverter[[#This Row],[Active power TX3-INV-3]] &lt;= 0),
    MIN(($H88 / 1000) * AJ$10 * $BN$4, AJ$11 * 0.876) * 0.25,
    IF(
        AND($H88 &gt; $BN$7, Tabella01MarzoInverter[[#This Row],[Active power TX2-INV-6]] &lt;= 0),
        Tabella01MarzoInverter[[#This Row],[Active power TX3-INV-3]] * 0.25,
        0
    )
    +
    IF(
        $N88 &lt; 0.875,
        MAX(0, MIN(($H88 / 1000) * AJ$10 * $BN$4, AJ$11 * 0.876) - (AJ$11 * $N88)) * 0.25,
        0
    )
)</f>
        <v>0</v>
      </c>
      <c r="AK88" s="36">
        <f>IF(
    AND($H88 &gt; $BN$7, Tabella01MarzoInverter[[#This Row],[Active power TX2-INV-7]] &lt;= 0, Tabella01MarzoInverter[[#This Row],[Active power TX3-INV-4]] &lt;= 0),
    MIN(($H88 / 1000) * AK$10 * $BN$4, AK$11 * 0.876) * 0.25,
    IF(
        AND($H88 &gt; $BN$7, Tabella01MarzoInverter[[#This Row],[Active power TX2-INV-7]] &lt;= 0),
        Tabella01MarzoInverter[[#This Row],[Active power TX3-INV-4]] * 0.25,
        0
    )
    +
    IF(
        $N88 &lt; 0.875,
        MAX(0, MIN(($H88 / 1000) * AK$10 * $BN$4, AK$11 * 0.876) - (AK$11 * $N88)) * 0.25,
        0
    )
)</f>
        <v>0</v>
      </c>
      <c r="AL88" s="36">
        <f>IF(
    AND($H88 &gt; $BN$7, Tabella01MarzoInverter[[#This Row],[Active power TX2-INV-8]] &lt;= 0, Tabella01MarzoInverter[[#This Row],[Active power TX3-INV-5]] &lt;= 0),
    MIN(($H88 / 1000) * AL$10 * $BN$4, AL$11 * 0.876) * 0.25,
    IF(
        AND($H88 &gt; $BN$7, Tabella01MarzoInverter[[#This Row],[Active power TX2-INV-8]] &lt;= 0),
        Tabella01MarzoInverter[[#This Row],[Active power TX3-INV-5]] * 0.25,
        0
    )
    +
    IF(
        $N88 &lt; 0.875,
        MAX(0, MIN(($H88 / 1000) * AL$10 * $BN$4, AL$11 * 0.876) - (AL$11 * $N88)) * 0.25,
        0
    )
)</f>
        <v>0</v>
      </c>
      <c r="AM88" s="36">
        <f>IF(
    AND($H88 &gt; $BN$7, Tabella01MarzoInverter[[#This Row],[Active power TX2-INV-9]] &lt;= 0, Tabella01MarzoInverter[[#This Row],[Active power TX3-INV-6]] &lt;= 0),
    MIN(($H88 / 1000) * AM$10 * $BN$4, AM$11 * 0.876) * 0.25,
    IF(
        AND($H88 &gt; $BN$7, Tabella01MarzoInverter[[#This Row],[Active power TX2-INV-9]] &lt;= 0),
        Tabella01MarzoInverter[[#This Row],[Active power TX3-INV-6]] * 0.25,
        0
    )
    +
    IF(
        $N88 &lt; 0.875,
        MAX(0, MIN(($H88 / 1000) * AM$10 * $BN$4, AM$11 * 0.876) - (AM$11 * $N88)) * 0.25,
        0
    )
)</f>
        <v>0</v>
      </c>
      <c r="AN88" s="36">
        <f>IF(
    AND($H88 &gt; $BN$7, Tabella01MarzoInverter[[#This Row],[Active power TX2-INV-10]] &lt;= 0, Tabella01MarzoInverter[[#This Row],[Active power TX3-INV-7]] &lt;= 0),
    MIN(($H88 / 1000) * AN$10 * $BN$4, AN$11 * 0.876) * 0.25,
    IF(
        AND($H88 &gt; $BN$7, Tabella01MarzoInverter[[#This Row],[Active power TX2-INV-10]] &lt;= 0),
        Tabella01MarzoInverter[[#This Row],[Active power TX3-INV-7]] * 0.25,
        0
    )
    +
    IF(
        $N88 &lt; 0.875,
        MAX(0, MIN(($H88 / 1000) * AN$10 * $BN$4, AN$11 * 0.876) - (AN$11 * $N88)) * 0.25,
        0
    )
)</f>
        <v>0</v>
      </c>
      <c r="AO88" s="36">
        <f>IF(
    AND($H88 &gt; $BN$7, Tabella01MarzoInverter[[#This Row],[Active power TX2-INV-11]] &lt;= 0, Tabella01MarzoInverter[[#This Row],[Active power TX3-INV-8]] &lt;= 0),
    MIN(($H88 / 1000) * AO$10 * $BN$4, AO$11 * 0.876) * 0.25,
    IF(
        AND($H88 &gt; $BN$7, Tabella01MarzoInverter[[#This Row],[Active power TX2-INV-11]] &lt;= 0),
        Tabella01MarzoInverter[[#This Row],[Active power TX3-INV-8]] * 0.25,
        0
    )
    +
    IF(
        $N88 &lt; 0.875,
        MAX(0, MIN(($H88 / 1000) * AO$10 * $BN$4, AO$11 * 0.876) - (AO$11 * $N88)) * 0.25,
        0
    )
)</f>
        <v>0</v>
      </c>
      <c r="AP88" s="36">
        <f>IF(
    AND($H88 &gt; $BN$7, Tabella01MarzoInverter[[#This Row],[Active power TX2-INV-12]] &lt;= 0, Tabella01MarzoInverter[[#This Row],[Active power TX3-INV-9]] &lt;= 0),
    MIN(($H88 / 1000) * AP$10 * $BN$4, AP$11 * 0.876) * 0.25,
    IF(
        AND($H88 &gt; $BN$7, Tabella01MarzoInverter[[#This Row],[Active power TX2-INV-12]] &lt;= 0),
        Tabella01MarzoInverter[[#This Row],[Active power TX3-INV-9]] * 0.25,
        0
    )
    +
    IF(
        $N88 &lt; 0.875,
        MAX(0, MIN(($H88 / 1000) * AP$10 * $BN$4, AP$11 * 0.876) - (AP$11 * $N88)) * 0.25,
        0
    )
)</f>
        <v>0</v>
      </c>
      <c r="AQ88" s="8">
        <f>AVERAGE(TabellaMar2026[[#This Row],[Colonna39]:[Colonna6]])</f>
        <v>0</v>
      </c>
      <c r="AR88" s="8">
        <f>MAX(TabellaMar2026[[#This Row],[Colonna39]:[Colonna6]])</f>
        <v>0</v>
      </c>
      <c r="AS88" s="35">
        <f>MIN(TabellaMar2026[[#This Row],[Colonna39]:[Colonna6]])</f>
        <v>0</v>
      </c>
      <c r="AT88" s="48">
        <f>SUM(TabellaMar2026[[#This Row],[Colonna39]:[Colonna6]])</f>
        <v>0</v>
      </c>
      <c r="AU88" s="36" cm="1">
        <f t="array" ref="AU88">IF(
    AND($H88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($H88 / 1000) * AU$10 * $BN$4 * 0.25
    ),
    0
)
+
IF(
    $N88 &lt; 0.875,
    MAX(0, MIN(($H88 / 1000) * AU$10 * $BN$4, AU$11 * 0.876) - (AU$11 * $N88)) * 0.25,
    0
)</f>
        <v>0</v>
      </c>
      <c r="AV88" s="36" cm="1">
        <f t="array" ref="AV88">IF(
    AND($H88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($H88 / 1000) * AV$10 * $BN$4 * 0.25
    ),
    0
)
+
IF(
    $N88 &lt; 0.875,
    MAX(0, MIN(($H88 / 1000) * AV$10 * $BN$4, AV$11 * 0.876) - (AV$11 * $N88)) * 0.25,
    0
)</f>
        <v>0</v>
      </c>
      <c r="AW88" s="36" cm="1">
        <f t="array" ref="AW88">IF(
    AND($H88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($H88 / 1000) * AW$10 * $BN$4 * 0.25
    ),
    0
)
+
IF(
    $N88 &lt; 0.875,
    MAX(0, MIN(($H88 / 1000) * AW$10 * $BN$4, AW$11 * 0.876) - (AW$11 * $N88)) * 0.25,
    0
)</f>
        <v>0</v>
      </c>
      <c r="AX88" s="36" cm="1">
        <f t="array" ref="AX88">IF(
    AND($H88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($H88 / 1000) * AX$10 * $BN$4 * 0.25
    ),
    0
)
+
IF(
    $N88 &lt; 0.875,
    MAX(0, MIN(($H88 / 1000) * AX$10 * $BN$4, AX$11 * 0.876) - (AX$11 * $N88)) * 0.25,
    0
)</f>
        <v>0</v>
      </c>
      <c r="AY88" s="36" cm="1">
        <f t="array" ref="AY88">IF(
    AND($H88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($H88 / 1000) * AY$10 * $BN$4 * 0.25
    ),
    0
)
+
IF(
    $N88 &lt; 0.875,
    MAX(0, MIN(($H88 / 1000) * AY$10 * $BN$4, AY$11 * 0.876) - (AY$11 * $N88)) * 0.25,
    0
)</f>
        <v>0</v>
      </c>
      <c r="AZ88" s="36" cm="1">
        <f t="array" ref="AZ88">IF(
    AND($H88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($H88 / 1000) * AZ$10 * $BN$4 * 0.25
    ),
    0
)
+
IF(
    $N88 &lt; 0.875,
    MAX(0, MIN(($H88 / 1000) * AZ$10 * $BN$4, AZ$11 * 0.876) - (AZ$11 * $N88)) * 0.25,
    0
)</f>
        <v>0</v>
      </c>
      <c r="BA88" s="36" cm="1">
        <f t="array" ref="BA88">IF(
    AND($H88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($H88 / 1000) * BA$10 * $BN$4 * 0.25
    ),
    0
)
+
IF(
    $N88 &lt; 0.875,
    MAX(0, MIN(($H88 / 1000) * BA$10 * $BN$4, BA$11 * 0.876) - (BA$11 * $N88)) * 0.25,
    0
)</f>
        <v>0</v>
      </c>
      <c r="BB88" s="36" cm="1">
        <f t="array" ref="BB88">IF(
    AND($H88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($H88 / 1000) * BB$10 * $BN$4 * 0.25
    ),
    0
)
+
IF(
    $N88 &lt; 0.875,
    MAX(0, MIN(($H88 / 1000) * BB$10 * $BN$4, BB$11 * 0.876) - (BB$11 * $N88)) * 0.25,
    0
)</f>
        <v>0</v>
      </c>
      <c r="BC88" s="36" cm="1">
        <f t="array" ref="BC88">IF(
    AND($H88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($H88 / 1000) * BC$10 * $BN$4 * 0.25
    ),
    0
)
+
IF(
    $N88 &lt; 0.875,
    MAX(0, MIN(($H88 / 1000) * BC$10 * $BN$4, BC$11 * 0.876) - (BC$11 * $N88)) * 0.25,
    0
)</f>
        <v>0</v>
      </c>
      <c r="BD88" s="36" cm="1">
        <f t="array" ref="BD88">IF(
    AND($H88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($H88 / 1000) * BD$10 * $BN$4 * 0.25
    ),
    0
)
+
IF(
    $N88 &lt; 0.875,
    MAX(0, MIN(($H88 / 1000) * BD$10 * $BN$4, BD$11 * 0.876) - (BD$11 * $N88)) * 0.25,
    0
)</f>
        <v>0</v>
      </c>
      <c r="BE88" s="36" cm="1">
        <f t="array" ref="BE88">IF(
    AND($H88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($H88 / 1000) * BE$10 * $BN$4 * 0.25
    ),
    0
)
+
IF(
    $N88 &lt; 0.875,
    MAX(0, MIN(($H88 / 1000) * BE$10 * $BN$4, BE$11 * 0.876) - (BE$11 * $N88)) * 0.25,
    0
)</f>
        <v>0</v>
      </c>
      <c r="BF88" s="36" cm="1">
        <f t="array" ref="BF88">IF(
    AND($H88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($H88 / 1000) * BF$10 * $BN$4 * 0.25
    ),
    0
)
+
IF(
    $N88 &lt; 0.875,
    MAX(0, MIN(($H88 / 1000) * BF$10 * $BN$4, BF$11 * 0.876) - (BF$11 * $N88)) * 0.25,
    0
)</f>
        <v>0</v>
      </c>
      <c r="BG88" s="8">
        <f>AVERAGE(TabellaMar2026[[#This Row],[Colonna55]:[Colonna53]])</f>
        <v>0</v>
      </c>
      <c r="BH88" s="8">
        <f>MAX(TabellaMar2026[[#This Row],[Colonna55]:[Colonna53]])</f>
        <v>0</v>
      </c>
      <c r="BI88" s="35">
        <f>MIN(TabellaMar2026[[#This Row],[Colonna55]:[Colonna53]])</f>
        <v>0</v>
      </c>
      <c r="BJ88" s="48">
        <f>SUM(TabellaMar2026[[#This Row],[Colonna54]:[Colonna53]])</f>
        <v>0</v>
      </c>
      <c r="BK88" s="54">
        <f>(SUM(Tabella01MarzoInverter[[Active power TX1-INV-1]:[Active power TX3-INV-12]]) * 0.25) / (12625 * (SUM($G$15:$H$110) * 0.25 / 1000))</f>
        <v>1.014229628761051</v>
      </c>
      <c r="BL88" s="5"/>
      <c r="BM88" s="5"/>
      <c r="BN88" s="5"/>
      <c r="BO88" s="8"/>
      <c r="BP88" s="19"/>
    </row>
    <row r="89" spans="1:68" x14ac:dyDescent="0.25">
      <c r="A89" s="18">
        <v>46147</v>
      </c>
      <c r="B89" t="s">
        <v>89</v>
      </c>
      <c r="C89" s="5">
        <v>146.9</v>
      </c>
      <c r="D89" s="6">
        <v>3.6725000000000001E-2</v>
      </c>
      <c r="E89" s="6">
        <v>146.9</v>
      </c>
      <c r="F89" s="6">
        <v>3.6725000000000001E-2</v>
      </c>
      <c r="G89" s="6">
        <f>IFERROR((D89+F89)/2, 0)</f>
        <v>3.6725000000000001E-2</v>
      </c>
      <c r="H89" s="7">
        <f>IFERROR(IF(AVERAGE(C89,E89)&gt;$BN$7,AVERAGE(C89,E89),0), 0)</f>
        <v>146.9</v>
      </c>
      <c r="I89" s="7">
        <f>IFERROR(IF(AND(D89=0,F89=0),0,IF(H89&gt;$BN$6,MAX(D89,F89),G89)), 0)</f>
        <v>3.6725000000000001E-2</v>
      </c>
      <c r="J89" s="6">
        <f>IFERROR(IF(AND(D89&gt;0,F89&gt;0),ABS(D89-F89)/AVERAGE(D89,F89),0), 0)</f>
        <v>0</v>
      </c>
      <c r="K89" s="6">
        <v>30466.3</v>
      </c>
      <c r="L89" s="6">
        <v>30466.7</v>
      </c>
      <c r="M89" s="8">
        <f>IFERROR((L89-K89)*1000, 0)</f>
        <v>400.00000000145519</v>
      </c>
      <c r="N89" s="6">
        <v>0.87599999999999989</v>
      </c>
      <c r="O89" s="8" cm="1">
        <f t="array" ref="O89">IF(
    AND($H89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($H89 / 1000) * O$10 * $BN$4 * 0.25
    ),
    0
)
+
IF(
    $N89 &lt; 0.875,
    MAX(0, MIN(($H89 / 1000) * O$10 * $BN$4, O$11 * 0.876) - (O$11 * $N89)) * 0.25,
    0
)</f>
        <v>0</v>
      </c>
      <c r="P89" s="8" cm="1">
        <f t="array" ref="P89">IF(
    AND($H89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($H89 / 1000) * P$10 * $BN$4 * 0.25
    ),
    0
)
+
IF(
    $N89 &lt; 0.875,
    MAX(0, MIN(($H89 / 1000) * P$10 * $BN$4, P$11 * 0.876) - (P$11 * $N89)) * 0.25,
    0
)</f>
        <v>0</v>
      </c>
      <c r="Q89" s="8" cm="1">
        <f t="array" ref="Q89">IF(
    AND($H89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($H89 / 1000) * Q$10 * $BN$4 * 0.25
    ),
    0
)
+
IF(
    $N89 &lt; 0.875,
    MAX(0, MIN(($H89 / 1000) * Q$10 * $BN$4, Q$11 * 0.876) - (Q$11 * $N89)) * 0.25,
    0
)</f>
        <v>0</v>
      </c>
      <c r="R89" s="8" cm="1">
        <f t="array" ref="R89">IF(
    AND($H89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($H89 / 1000) * R$10 * $BN$4 * 0.25
    ),
    0
)
+
IF(
    $N89 &lt; 0.875,
    MAX(0, MIN(($H89 / 1000) * R$10 * $BN$4, R$11 * 0.876) - (R$11 * $N89)) * 0.25,
    0
)</f>
        <v>0</v>
      </c>
      <c r="S89" s="8" cm="1">
        <f t="array" ref="S89">IF(
    AND($H89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($H89 / 1000) * S$10 * $BN$4 * 0.25
    ),
    0
)
+
IF(
    $N89 &lt; 0.875,
    MAX(0, MIN(($H89 / 1000) * S$10 * $BN$4, S$11 * 0.876) - (S$11 * $N89)) * 0.25,
    0
)</f>
        <v>0</v>
      </c>
      <c r="T89" s="8" cm="1">
        <f t="array" ref="T89">IF(
    AND($H89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($H89 / 1000) * T$10 * $BN$4 * 0.25
    ),
    0
)
+
IF(
    $N89 &lt; 0.875,
    MAX(0, MIN(($H89 / 1000) * T$10 * $BN$4, T$11 * 0.876) - (T$11 * $N89)) * 0.25,
    0
)</f>
        <v>0</v>
      </c>
      <c r="U89" s="8" cm="1">
        <f t="array" ref="U89">IF(
    AND($H89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($H89 / 1000) * U$10 * $BN$4 * 0.25
    ),
    0
)
+
IF(
    $N89 &lt; 0.875,
    MAX(0, MIN(($H89 / 1000) * U$10 * $BN$4, U$11 * 0.876) - (U$11 * $N89)) * 0.25,
    0
)</f>
        <v>0</v>
      </c>
      <c r="V89" s="8" cm="1">
        <f t="array" ref="V89">IF(
    AND($H89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($H89 / 1000) * V$10 * $BN$4 * 0.25
    ),
    0
)
+
IF(
    $N89 &lt; 0.875,
    MAX(0, MIN(($H89 / 1000) * V$10 * $BN$4, V$11 * 0.876) - (V$11 * $N89)) * 0.25,
    0
)</f>
        <v>0</v>
      </c>
      <c r="W89" s="8" cm="1">
        <f t="array" ref="W89">IF(
    AND($H89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($H89 / 1000) * W$10 * $BN$4 * 0.25
    ),
    0
)
+
IF(
    $N89 &lt; 0.875,
    MAX(0, MIN(($H89 / 1000) * W$10 * $BN$4, W$11 * 0.876) - (W$11 * $N89)) * 0.25,
    0
)</f>
        <v>0</v>
      </c>
      <c r="X89" s="8" cm="1">
        <f t="array" ref="X89">IF(
    AND($H89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($H89 / 1000) * X$10 * $BN$4 * 0.25
    ),
    0
)
+
IF(
    $N89 &lt; 0.875,
    MAX(0, MIN(($H89 / 1000) * X$10 * $BN$4, X$11 * 0.876) - (X$11 * $N89)) * 0.25,
    0
)</f>
        <v>0</v>
      </c>
      <c r="Y89" s="8" cm="1">
        <f t="array" ref="Y89">IF(
    AND($H89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($H89 / 1000) * Y$10 * $BN$4 * 0.25
    ),
    0
)
+
IF(
    $N89 &lt; 0.875,
    MAX(0, MIN(($H89 / 1000) * Y$10 * $BN$4, Y$11 * 0.876) - (Y$11 * $N89)) * 0.25,
    0
)</f>
        <v>0</v>
      </c>
      <c r="Z89" s="8" cm="1">
        <f t="array" ref="Z89">IF(
    AND($H89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($H89 / 1000) * Z$10 * $BN$4 * 0.25
    ),
    0
)
+
IF(
    $N89 &lt; 0.875,
    MAX(0, MIN(($H89 / 1000) * Z$10 * $BN$4, Z$11 * 0.876) - (Z$11 * $N89)) * 0.25,
    0
)</f>
        <v>0</v>
      </c>
      <c r="AA89" s="8">
        <f>AVERAGE(TabellaMar2026[[#This Row],[Colonna24]:[Colonna20]])</f>
        <v>0</v>
      </c>
      <c r="AB89" s="8">
        <f>MAX(TabellaMar2026[[#This Row],[Colonna24]:[Colonna20]])</f>
        <v>0</v>
      </c>
      <c r="AC89" s="35">
        <f>MIN(TabellaMar2026[[#This Row],[Colonna24]:[Colonna20]])</f>
        <v>0</v>
      </c>
      <c r="AD89" s="44">
        <f>SUM(TabellaMar2026[[#This Row],[Colonna24]:[Colonna20]])</f>
        <v>0</v>
      </c>
      <c r="AE89" s="36">
        <f>IF(
    AND($H89 &gt; $BN$7, Tabella01MarzoInverter[[#This Row],[Active power TX2-INV-1]] &lt;= 0, Tabella01MarzoInverter[[#This Row],[TX2 - Average Power]] &lt;= 0),
    MIN(($H89 / 1000) * AE$10 * $BN$4, AE$11 * 0.876) * 0.25,
    IF(
        AND($H89 &gt; $BN$7, Tabella01MarzoInverter[[#This Row],[Active power TX2-INV-1]] &lt;= 0),
        Tabella01MarzoInverter[[#This Row],[TX2 - Average Power]] * 0.25,
        0
    )
    +
    IF(
        $N89 &lt; 0.875,
        MAX(0, MIN(($H89 / 1000) * AE$10 * $BN$4, AE$11 * 0.876) - (AE$11 * $N89)) * 0.25,
        0
    )
)</f>
        <v>0</v>
      </c>
      <c r="AF89" s="36">
        <f>IF(
    AND($H89 &gt; $BN$7, Tabella01MarzoInverter[[#This Row],[Active power TX2-INV-2]] &lt;= 0, Tabella01MarzoInverter[[#This Row],[TX2 - Max Power]] &lt;= 0),
    MIN(($H89 / 1000) * AF$10 * $BN$4, AF$11 * 0.876) * 0.25,
    IF(
        AND($H89 &gt; $BN$7, Tabella01MarzoInverter[[#This Row],[Active power TX2-INV-2]] &lt;= 0),
        Tabella01MarzoInverter[[#This Row],[TX2 - Max Power]] * 0.25,
        0
    )
    +
    IF(
        $N89 &lt; 0.875,
        MAX(0, MIN(($H89 / 1000) * AF$10 * $BN$4, AF$11 * 0.876) - (AF$11 * $N89)) * 0.25,
        0
    )
)</f>
        <v>0</v>
      </c>
      <c r="AG89" s="36">
        <f>IF(
    AND($H89 &gt; $BN$7, Tabella01MarzoInverter[[#This Row],[Active power TX2-INV-3]] &lt;= 0, Tabella01MarzoInverter[[#This Row],[TX2 - Min Power]] &lt;= 0),
    MIN(($H89 / 1000) * AG$10 * $BN$4, AG$11 * 0.876) * 0.25,
    IF(
        AND($H89 &gt; $BN$7, Tabella01MarzoInverter[[#This Row],[Active power TX2-INV-3]] &lt;= 0),
        Tabella01MarzoInverter[[#This Row],[TX2 - Min Power]] * 0.25,
        0
    )
    +
    IF(
        $N89 &lt; 0.875,
        MAX(0, MIN(($H89 / 1000) * AG$10 * $BN$4, AG$11 * 0.876) - (AG$11 * $N89)) * 0.25,
        0
    )
)</f>
        <v>0</v>
      </c>
      <c r="AH89" s="36">
        <f>IF(
    AND($H89 &gt; $BN$7, Tabella01MarzoInverter[[#This Row],[Active power TX2-INV-4]] &lt;= 0, Tabella01MarzoInverter[[#This Row],[Active power TX3-INV-1]] &lt;= 0),
    MIN(($H89 / 1000) * AH$10 * $BN$4, AH$11 * 0.876) * 0.25,
    IF(
        AND($H89 &gt; $BN$7, Tabella01MarzoInverter[[#This Row],[Active power TX2-INV-4]] &lt;= 0),
        Tabella01MarzoInverter[[#This Row],[Active power TX3-INV-1]] * 0.25,
        0
    )
    +
    IF(
        $N89 &lt; 0.875,
        MAX(0, MIN(($H89 / 1000) * AH$10 * $BN$4, AH$11 * 0.876) - (AH$11 * $N89)) * 0.25,
        0
    )
)</f>
        <v>0</v>
      </c>
      <c r="AI89" s="36">
        <f>IF(
    AND($H89 &gt; $BN$7, Tabella01MarzoInverter[[#This Row],[Active power TX2-INV-5]] &lt;= 0, Tabella01MarzoInverter[[#This Row],[Active power TX3-INV-2]] &lt;= 0),
    MIN(($H89 / 1000) * AI$10 * $BN$4, AI$11 * 0.876) * 0.25,
    IF(
        AND($H89 &gt; $BN$7, Tabella01MarzoInverter[[#This Row],[Active power TX2-INV-5]] &lt;= 0),
        Tabella01MarzoInverter[[#This Row],[Active power TX3-INV-2]] * 0.25,
        0
    )
    +
    IF(
        $N89 &lt; 0.875,
        MAX(0, MIN(($H89 / 1000) * AI$10 * $BN$4, AI$11 * 0.876) - (AI$11 * $N89)) * 0.25,
        0
    )
)</f>
        <v>0</v>
      </c>
      <c r="AJ89" s="36">
        <f>IF(
    AND($H89 &gt; $BN$7, Tabella01MarzoInverter[[#This Row],[Active power TX2-INV-6]] &lt;= 0, Tabella01MarzoInverter[[#This Row],[Active power TX3-INV-3]] &lt;= 0),
    MIN(($H89 / 1000) * AJ$10 * $BN$4, AJ$11 * 0.876) * 0.25,
    IF(
        AND($H89 &gt; $BN$7, Tabella01MarzoInverter[[#This Row],[Active power TX2-INV-6]] &lt;= 0),
        Tabella01MarzoInverter[[#This Row],[Active power TX3-INV-3]] * 0.25,
        0
    )
    +
    IF(
        $N89 &lt; 0.875,
        MAX(0, MIN(($H89 / 1000) * AJ$10 * $BN$4, AJ$11 * 0.876) - (AJ$11 * $N89)) * 0.25,
        0
    )
)</f>
        <v>0</v>
      </c>
      <c r="AK89" s="36">
        <f>IF(
    AND($H89 &gt; $BN$7, Tabella01MarzoInverter[[#This Row],[Active power TX2-INV-7]] &lt;= 0, Tabella01MarzoInverter[[#This Row],[Active power TX3-INV-4]] &lt;= 0),
    MIN(($H89 / 1000) * AK$10 * $BN$4, AK$11 * 0.876) * 0.25,
    IF(
        AND($H89 &gt; $BN$7, Tabella01MarzoInverter[[#This Row],[Active power TX2-INV-7]] &lt;= 0),
        Tabella01MarzoInverter[[#This Row],[Active power TX3-INV-4]] * 0.25,
        0
    )
    +
    IF(
        $N89 &lt; 0.875,
        MAX(0, MIN(($H89 / 1000) * AK$10 * $BN$4, AK$11 * 0.876) - (AK$11 * $N89)) * 0.25,
        0
    )
)</f>
        <v>0</v>
      </c>
      <c r="AL89" s="36">
        <f>IF(
    AND($H89 &gt; $BN$7, Tabella01MarzoInverter[[#This Row],[Active power TX2-INV-8]] &lt;= 0, Tabella01MarzoInverter[[#This Row],[Active power TX3-INV-5]] &lt;= 0),
    MIN(($H89 / 1000) * AL$10 * $BN$4, AL$11 * 0.876) * 0.25,
    IF(
        AND($H89 &gt; $BN$7, Tabella01MarzoInverter[[#This Row],[Active power TX2-INV-8]] &lt;= 0),
        Tabella01MarzoInverter[[#This Row],[Active power TX3-INV-5]] * 0.25,
        0
    )
    +
    IF(
        $N89 &lt; 0.875,
        MAX(0, MIN(($H89 / 1000) * AL$10 * $BN$4, AL$11 * 0.876) - (AL$11 * $N89)) * 0.25,
        0
    )
)</f>
        <v>0</v>
      </c>
      <c r="AM89" s="36">
        <f>IF(
    AND($H89 &gt; $BN$7, Tabella01MarzoInverter[[#This Row],[Active power TX2-INV-9]] &lt;= 0, Tabella01MarzoInverter[[#This Row],[Active power TX3-INV-6]] &lt;= 0),
    MIN(($H89 / 1000) * AM$10 * $BN$4, AM$11 * 0.876) * 0.25,
    IF(
        AND($H89 &gt; $BN$7, Tabella01MarzoInverter[[#This Row],[Active power TX2-INV-9]] &lt;= 0),
        Tabella01MarzoInverter[[#This Row],[Active power TX3-INV-6]] * 0.25,
        0
    )
    +
    IF(
        $N89 &lt; 0.875,
        MAX(0, MIN(($H89 / 1000) * AM$10 * $BN$4, AM$11 * 0.876) - (AM$11 * $N89)) * 0.25,
        0
    )
)</f>
        <v>0</v>
      </c>
      <c r="AN89" s="36">
        <f>IF(
    AND($H89 &gt; $BN$7, Tabella01MarzoInverter[[#This Row],[Active power TX2-INV-10]] &lt;= 0, Tabella01MarzoInverter[[#This Row],[Active power TX3-INV-7]] &lt;= 0),
    MIN(($H89 / 1000) * AN$10 * $BN$4, AN$11 * 0.876) * 0.25,
    IF(
        AND($H89 &gt; $BN$7, Tabella01MarzoInverter[[#This Row],[Active power TX2-INV-10]] &lt;= 0),
        Tabella01MarzoInverter[[#This Row],[Active power TX3-INV-7]] * 0.25,
        0
    )
    +
    IF(
        $N89 &lt; 0.875,
        MAX(0, MIN(($H89 / 1000) * AN$10 * $BN$4, AN$11 * 0.876) - (AN$11 * $N89)) * 0.25,
        0
    )
)</f>
        <v>0</v>
      </c>
      <c r="AO89" s="36">
        <f>IF(
    AND($H89 &gt; $BN$7, Tabella01MarzoInverter[[#This Row],[Active power TX2-INV-11]] &lt;= 0, Tabella01MarzoInverter[[#This Row],[Active power TX3-INV-8]] &lt;= 0),
    MIN(($H89 / 1000) * AO$10 * $BN$4, AO$11 * 0.876) * 0.25,
    IF(
        AND($H89 &gt; $BN$7, Tabella01MarzoInverter[[#This Row],[Active power TX2-INV-11]] &lt;= 0),
        Tabella01MarzoInverter[[#This Row],[Active power TX3-INV-8]] * 0.25,
        0
    )
    +
    IF(
        $N89 &lt; 0.875,
        MAX(0, MIN(($H89 / 1000) * AO$10 * $BN$4, AO$11 * 0.876) - (AO$11 * $N89)) * 0.25,
        0
    )
)</f>
        <v>0</v>
      </c>
      <c r="AP89" s="36">
        <f>IF(
    AND($H89 &gt; $BN$7, Tabella01MarzoInverter[[#This Row],[Active power TX2-INV-12]] &lt;= 0, Tabella01MarzoInverter[[#This Row],[Active power TX3-INV-9]] &lt;= 0),
    MIN(($H89 / 1000) * AP$10 * $BN$4, AP$11 * 0.876) * 0.25,
    IF(
        AND($H89 &gt; $BN$7, Tabella01MarzoInverter[[#This Row],[Active power TX2-INV-12]] &lt;= 0),
        Tabella01MarzoInverter[[#This Row],[Active power TX3-INV-9]] * 0.25,
        0
    )
    +
    IF(
        $N89 &lt; 0.875,
        MAX(0, MIN(($H89 / 1000) * AP$10 * $BN$4, AP$11 * 0.876) - (AP$11 * $N89)) * 0.25,
        0
    )
)</f>
        <v>0</v>
      </c>
      <c r="AQ89" s="8">
        <f>AVERAGE(TabellaMar2026[[#This Row],[Colonna39]:[Colonna6]])</f>
        <v>0</v>
      </c>
      <c r="AR89" s="8">
        <f>MAX(TabellaMar2026[[#This Row],[Colonna39]:[Colonna6]])</f>
        <v>0</v>
      </c>
      <c r="AS89" s="35">
        <f>MIN(TabellaMar2026[[#This Row],[Colonna39]:[Colonna6]])</f>
        <v>0</v>
      </c>
      <c r="AT89" s="48">
        <f>SUM(TabellaMar2026[[#This Row],[Colonna39]:[Colonna6]])</f>
        <v>0</v>
      </c>
      <c r="AU89" s="36" cm="1">
        <f t="array" ref="AU89">IF(
    AND($H89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($H89 / 1000) * AU$10 * $BN$4 * 0.25
    ),
    0
)
+
IF(
    $N89 &lt; 0.875,
    MAX(0, MIN(($H89 / 1000) * AU$10 * $BN$4, AU$11 * 0.876) - (AU$11 * $N89)) * 0.25,
    0
)</f>
        <v>0</v>
      </c>
      <c r="AV89" s="36" cm="1">
        <f t="array" ref="AV89">IF(
    AND($H89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($H89 / 1000) * AV$10 * $BN$4 * 0.25
    ),
    0
)
+
IF(
    $N89 &lt; 0.875,
    MAX(0, MIN(($H89 / 1000) * AV$10 * $BN$4, AV$11 * 0.876) - (AV$11 * $N89)) * 0.25,
    0
)</f>
        <v>0</v>
      </c>
      <c r="AW89" s="36" cm="1">
        <f t="array" ref="AW89">IF(
    AND($H89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($H89 / 1000) * AW$10 * $BN$4 * 0.25
    ),
    0
)
+
IF(
    $N89 &lt; 0.875,
    MAX(0, MIN(($H89 / 1000) * AW$10 * $BN$4, AW$11 * 0.876) - (AW$11 * $N89)) * 0.25,
    0
)</f>
        <v>0</v>
      </c>
      <c r="AX89" s="36" cm="1">
        <f t="array" ref="AX89">IF(
    AND($H89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($H89 / 1000) * AX$10 * $BN$4 * 0.25
    ),
    0
)
+
IF(
    $N89 &lt; 0.875,
    MAX(0, MIN(($H89 / 1000) * AX$10 * $BN$4, AX$11 * 0.876) - (AX$11 * $N89)) * 0.25,
    0
)</f>
        <v>0</v>
      </c>
      <c r="AY89" s="36" cm="1">
        <f t="array" ref="AY89">IF(
    AND($H89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($H89 / 1000) * AY$10 * $BN$4 * 0.25
    ),
    0
)
+
IF(
    $N89 &lt; 0.875,
    MAX(0, MIN(($H89 / 1000) * AY$10 * $BN$4, AY$11 * 0.876) - (AY$11 * $N89)) * 0.25,
    0
)</f>
        <v>0</v>
      </c>
      <c r="AZ89" s="36" cm="1">
        <f t="array" ref="AZ89">IF(
    AND($H89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($H89 / 1000) * AZ$10 * $BN$4 * 0.25
    ),
    0
)
+
IF(
    $N89 &lt; 0.875,
    MAX(0, MIN(($H89 / 1000) * AZ$10 * $BN$4, AZ$11 * 0.876) - (AZ$11 * $N89)) * 0.25,
    0
)</f>
        <v>0</v>
      </c>
      <c r="BA89" s="36" cm="1">
        <f t="array" ref="BA89">IF(
    AND($H89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($H89 / 1000) * BA$10 * $BN$4 * 0.25
    ),
    0
)
+
IF(
    $N89 &lt; 0.875,
    MAX(0, MIN(($H89 / 1000) * BA$10 * $BN$4, BA$11 * 0.876) - (BA$11 * $N89)) * 0.25,
    0
)</f>
        <v>0</v>
      </c>
      <c r="BB89" s="36" cm="1">
        <f t="array" ref="BB89">IF(
    AND($H89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($H89 / 1000) * BB$10 * $BN$4 * 0.25
    ),
    0
)
+
IF(
    $N89 &lt; 0.875,
    MAX(0, MIN(($H89 / 1000) * BB$10 * $BN$4, BB$11 * 0.876) - (BB$11 * $N89)) * 0.25,
    0
)</f>
        <v>0</v>
      </c>
      <c r="BC89" s="36" cm="1">
        <f t="array" ref="BC89">IF(
    AND($H89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($H89 / 1000) * BC$10 * $BN$4 * 0.25
    ),
    0
)
+
IF(
    $N89 &lt; 0.875,
    MAX(0, MIN(($H89 / 1000) * BC$10 * $BN$4, BC$11 * 0.876) - (BC$11 * $N89)) * 0.25,
    0
)</f>
        <v>0</v>
      </c>
      <c r="BD89" s="36" cm="1">
        <f t="array" ref="BD89">IF(
    AND($H89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($H89 / 1000) * BD$10 * $BN$4 * 0.25
    ),
    0
)
+
IF(
    $N89 &lt; 0.875,
    MAX(0, MIN(($H89 / 1000) * BD$10 * $BN$4, BD$11 * 0.876) - (BD$11 * $N89)) * 0.25,
    0
)</f>
        <v>0</v>
      </c>
      <c r="BE89" s="36" cm="1">
        <f t="array" ref="BE89">IF(
    AND($H89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($H89 / 1000) * BE$10 * $BN$4 * 0.25
    ),
    0
)
+
IF(
    $N89 &lt; 0.875,
    MAX(0, MIN(($H89 / 1000) * BE$10 * $BN$4, BE$11 * 0.876) - (BE$11 * $N89)) * 0.25,
    0
)</f>
        <v>0</v>
      </c>
      <c r="BF89" s="36" cm="1">
        <f t="array" ref="BF89">IF(
    AND($H89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($H89 / 1000) * BF$10 * $BN$4 * 0.25
    ),
    0
)
+
IF(
    $N89 &lt; 0.875,
    MAX(0, MIN(($H89 / 1000) * BF$10 * $BN$4, BF$11 * 0.876) - (BF$11 * $N89)) * 0.25,
    0
)</f>
        <v>0</v>
      </c>
      <c r="BG89" s="8">
        <f>AVERAGE(TabellaMar2026[[#This Row],[Colonna55]:[Colonna53]])</f>
        <v>0</v>
      </c>
      <c r="BH89" s="8">
        <f>MAX(TabellaMar2026[[#This Row],[Colonna55]:[Colonna53]])</f>
        <v>0</v>
      </c>
      <c r="BI89" s="35">
        <f>MIN(TabellaMar2026[[#This Row],[Colonna55]:[Colonna53]])</f>
        <v>0</v>
      </c>
      <c r="BJ89" s="48">
        <f>SUM(TabellaMar2026[[#This Row],[Colonna54]:[Colonna53]])</f>
        <v>0</v>
      </c>
      <c r="BK89" s="54">
        <f>(SUM(Tabella01MarzoInverter[[Active power TX1-INV-1]:[Active power TX3-INV-12]]) * 0.25) / (12625 * (SUM($G$15:$H$110) * 0.25 / 1000))</f>
        <v>1.014229628761051</v>
      </c>
      <c r="BL89" s="5"/>
      <c r="BM89" s="5"/>
      <c r="BN89" s="5"/>
      <c r="BO89" s="8"/>
      <c r="BP89" s="19"/>
    </row>
    <row r="90" spans="1:68" x14ac:dyDescent="0.25">
      <c r="A90" s="18">
        <v>46147</v>
      </c>
      <c r="B90" t="s">
        <v>90</v>
      </c>
      <c r="C90" s="5">
        <v>100.2</v>
      </c>
      <c r="D90" s="6">
        <v>2.5049999999999999E-2</v>
      </c>
      <c r="E90" s="6">
        <v>101.2</v>
      </c>
      <c r="F90" s="6">
        <v>2.53E-2</v>
      </c>
      <c r="G90" s="6">
        <f>IFERROR((D90+F90)/2, 0)</f>
        <v>2.5174999999999999E-2</v>
      </c>
      <c r="H90" s="7">
        <f>IFERROR(IF(AVERAGE(C90,E90)&gt;$BN$7,AVERAGE(C90,E90),0), 0)</f>
        <v>100.7</v>
      </c>
      <c r="I90" s="7">
        <f>IFERROR(IF(AND(D90=0,F90=0),0,IF(H90&gt;$BN$6,MAX(D90,F90),G90)), 0)</f>
        <v>2.53E-2</v>
      </c>
      <c r="J90" s="6">
        <f>IFERROR(IF(AND(D90&gt;0,F90&gt;0),ABS(D90-F90)/AVERAGE(D90,F90),0), 0)</f>
        <v>9.9304865938431072E-3</v>
      </c>
      <c r="K90" s="6">
        <v>30466.7</v>
      </c>
      <c r="L90" s="6">
        <v>30467.1</v>
      </c>
      <c r="M90" s="8">
        <f>IFERROR((L90-K90)*1000, 0)</f>
        <v>399.99999999781721</v>
      </c>
      <c r="N90" s="6">
        <v>0.87599999999999989</v>
      </c>
      <c r="O90" s="8" cm="1">
        <f t="array" ref="O90">IF(
    AND($H90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($H90 / 1000) * O$10 * $BN$4 * 0.25
    ),
    0
)
+
IF(
    $N90 &lt; 0.875,
    MAX(0, MIN(($H90 / 1000) * O$10 * $BN$4, O$11 * 0.876) - (O$11 * $N90)) * 0.25,
    0
)</f>
        <v>0</v>
      </c>
      <c r="P90" s="8" cm="1">
        <f t="array" ref="P90">IF(
    AND($H90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($H90 / 1000) * P$10 * $BN$4 * 0.25
    ),
    0
)
+
IF(
    $N90 &lt; 0.875,
    MAX(0, MIN(($H90 / 1000) * P$10 * $BN$4, P$11 * 0.876) - (P$11 * $N90)) * 0.25,
    0
)</f>
        <v>0</v>
      </c>
      <c r="Q90" s="8" cm="1">
        <f t="array" ref="Q90">IF(
    AND($H90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($H90 / 1000) * Q$10 * $BN$4 * 0.25
    ),
    0
)
+
IF(
    $N90 &lt; 0.875,
    MAX(0, MIN(($H90 / 1000) * Q$10 * $BN$4, Q$11 * 0.876) - (Q$11 * $N90)) * 0.25,
    0
)</f>
        <v>0</v>
      </c>
      <c r="R90" s="8" cm="1">
        <f t="array" ref="R90">IF(
    AND($H90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($H90 / 1000) * R$10 * $BN$4 * 0.25
    ),
    0
)
+
IF(
    $N90 &lt; 0.875,
    MAX(0, MIN(($H90 / 1000) * R$10 * $BN$4, R$11 * 0.876) - (R$11 * $N90)) * 0.25,
    0
)</f>
        <v>0</v>
      </c>
      <c r="S90" s="8" cm="1">
        <f t="array" ref="S90">IF(
    AND($H90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($H90 / 1000) * S$10 * $BN$4 * 0.25
    ),
    0
)
+
IF(
    $N90 &lt; 0.875,
    MAX(0, MIN(($H90 / 1000) * S$10 * $BN$4, S$11 * 0.876) - (S$11 * $N90)) * 0.25,
    0
)</f>
        <v>0</v>
      </c>
      <c r="T90" s="8" cm="1">
        <f t="array" ref="T90">IF(
    AND($H90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($H90 / 1000) * T$10 * $BN$4 * 0.25
    ),
    0
)
+
IF(
    $N90 &lt; 0.875,
    MAX(0, MIN(($H90 / 1000) * T$10 * $BN$4, T$11 * 0.876) - (T$11 * $N90)) * 0.25,
    0
)</f>
        <v>0</v>
      </c>
      <c r="U90" s="8" cm="1">
        <f t="array" ref="U90">IF(
    AND($H90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($H90 / 1000) * U$10 * $BN$4 * 0.25
    ),
    0
)
+
IF(
    $N90 &lt; 0.875,
    MAX(0, MIN(($H90 / 1000) * U$10 * $BN$4, U$11 * 0.876) - (U$11 * $N90)) * 0.25,
    0
)</f>
        <v>0</v>
      </c>
      <c r="V90" s="8" cm="1">
        <f t="array" ref="V90">IF(
    AND($H90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($H90 / 1000) * V$10 * $BN$4 * 0.25
    ),
    0
)
+
IF(
    $N90 &lt; 0.875,
    MAX(0, MIN(($H90 / 1000) * V$10 * $BN$4, V$11 * 0.876) - (V$11 * $N90)) * 0.25,
    0
)</f>
        <v>0</v>
      </c>
      <c r="W90" s="8" cm="1">
        <f t="array" ref="W90">IF(
    AND($H90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($H90 / 1000) * W$10 * $BN$4 * 0.25
    ),
    0
)
+
IF(
    $N90 &lt; 0.875,
    MAX(0, MIN(($H90 / 1000) * W$10 * $BN$4, W$11 * 0.876) - (W$11 * $N90)) * 0.25,
    0
)</f>
        <v>0</v>
      </c>
      <c r="X90" s="8" cm="1">
        <f t="array" ref="X90">IF(
    AND($H90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($H90 / 1000) * X$10 * $BN$4 * 0.25
    ),
    0
)
+
IF(
    $N90 &lt; 0.875,
    MAX(0, MIN(($H90 / 1000) * X$10 * $BN$4, X$11 * 0.876) - (X$11 * $N90)) * 0.25,
    0
)</f>
        <v>0</v>
      </c>
      <c r="Y90" s="8" cm="1">
        <f t="array" ref="Y90">IF(
    AND($H90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($H90 / 1000) * Y$10 * $BN$4 * 0.25
    ),
    0
)
+
IF(
    $N90 &lt; 0.875,
    MAX(0, MIN(($H90 / 1000) * Y$10 * $BN$4, Y$11 * 0.876) - (Y$11 * $N90)) * 0.25,
    0
)</f>
        <v>0</v>
      </c>
      <c r="Z90" s="8" cm="1">
        <f t="array" ref="Z90">IF(
    AND($H90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($H90 / 1000) * Z$10 * $BN$4 * 0.25
    ),
    0
)
+
IF(
    $N90 &lt; 0.875,
    MAX(0, MIN(($H90 / 1000) * Z$10 * $BN$4, Z$11 * 0.876) - (Z$11 * $N90)) * 0.25,
    0
)</f>
        <v>0</v>
      </c>
      <c r="AA90" s="8">
        <f>AVERAGE(TabellaMar2026[[#This Row],[Colonna24]:[Colonna20]])</f>
        <v>0</v>
      </c>
      <c r="AB90" s="8">
        <f>MAX(TabellaMar2026[[#This Row],[Colonna24]:[Colonna20]])</f>
        <v>0</v>
      </c>
      <c r="AC90" s="35">
        <f>MIN(TabellaMar2026[[#This Row],[Colonna24]:[Colonna20]])</f>
        <v>0</v>
      </c>
      <c r="AD90" s="44">
        <f>SUM(TabellaMar2026[[#This Row],[Colonna24]:[Colonna20]])</f>
        <v>0</v>
      </c>
      <c r="AE90" s="36">
        <f>IF(
    AND($H90 &gt; $BN$7, Tabella01MarzoInverter[[#This Row],[Active power TX2-INV-1]] &lt;= 0, Tabella01MarzoInverter[[#This Row],[TX2 - Average Power]] &lt;= 0),
    MIN(($H90 / 1000) * AE$10 * $BN$4, AE$11 * 0.876) * 0.25,
    IF(
        AND($H90 &gt; $BN$7, Tabella01MarzoInverter[[#This Row],[Active power TX2-INV-1]] &lt;= 0),
        Tabella01MarzoInverter[[#This Row],[TX2 - Average Power]] * 0.25,
        0
    )
    +
    IF(
        $N90 &lt; 0.875,
        MAX(0, MIN(($H90 / 1000) * AE$10 * $BN$4, AE$11 * 0.876) - (AE$11 * $N90)) * 0.25,
        0
    )
)</f>
        <v>0</v>
      </c>
      <c r="AF90" s="36">
        <f>IF(
    AND($H90 &gt; $BN$7, Tabella01MarzoInverter[[#This Row],[Active power TX2-INV-2]] &lt;= 0, Tabella01MarzoInverter[[#This Row],[TX2 - Max Power]] &lt;= 0),
    MIN(($H90 / 1000) * AF$10 * $BN$4, AF$11 * 0.876) * 0.25,
    IF(
        AND($H90 &gt; $BN$7, Tabella01MarzoInverter[[#This Row],[Active power TX2-INV-2]] &lt;= 0),
        Tabella01MarzoInverter[[#This Row],[TX2 - Max Power]] * 0.25,
        0
    )
    +
    IF(
        $N90 &lt; 0.875,
        MAX(0, MIN(($H90 / 1000) * AF$10 * $BN$4, AF$11 * 0.876) - (AF$11 * $N90)) * 0.25,
        0
    )
)</f>
        <v>0</v>
      </c>
      <c r="AG90" s="36">
        <f>IF(
    AND($H90 &gt; $BN$7, Tabella01MarzoInverter[[#This Row],[Active power TX2-INV-3]] &lt;= 0, Tabella01MarzoInverter[[#This Row],[TX2 - Min Power]] &lt;= 0),
    MIN(($H90 / 1000) * AG$10 * $BN$4, AG$11 * 0.876) * 0.25,
    IF(
        AND($H90 &gt; $BN$7, Tabella01MarzoInverter[[#This Row],[Active power TX2-INV-3]] &lt;= 0),
        Tabella01MarzoInverter[[#This Row],[TX2 - Min Power]] * 0.25,
        0
    )
    +
    IF(
        $N90 &lt; 0.875,
        MAX(0, MIN(($H90 / 1000) * AG$10 * $BN$4, AG$11 * 0.876) - (AG$11 * $N90)) * 0.25,
        0
    )
)</f>
        <v>0</v>
      </c>
      <c r="AH90" s="36">
        <f>IF(
    AND($H90 &gt; $BN$7, Tabella01MarzoInverter[[#This Row],[Active power TX2-INV-4]] &lt;= 0, Tabella01MarzoInverter[[#This Row],[Active power TX3-INV-1]] &lt;= 0),
    MIN(($H90 / 1000) * AH$10 * $BN$4, AH$11 * 0.876) * 0.25,
    IF(
        AND($H90 &gt; $BN$7, Tabella01MarzoInverter[[#This Row],[Active power TX2-INV-4]] &lt;= 0),
        Tabella01MarzoInverter[[#This Row],[Active power TX3-INV-1]] * 0.25,
        0
    )
    +
    IF(
        $N90 &lt; 0.875,
        MAX(0, MIN(($H90 / 1000) * AH$10 * $BN$4, AH$11 * 0.876) - (AH$11 * $N90)) * 0.25,
        0
    )
)</f>
        <v>0</v>
      </c>
      <c r="AI90" s="36">
        <f>IF(
    AND($H90 &gt; $BN$7, Tabella01MarzoInverter[[#This Row],[Active power TX2-INV-5]] &lt;= 0, Tabella01MarzoInverter[[#This Row],[Active power TX3-INV-2]] &lt;= 0),
    MIN(($H90 / 1000) * AI$10 * $BN$4, AI$11 * 0.876) * 0.25,
    IF(
        AND($H90 &gt; $BN$7, Tabella01MarzoInverter[[#This Row],[Active power TX2-INV-5]] &lt;= 0),
        Tabella01MarzoInverter[[#This Row],[Active power TX3-INV-2]] * 0.25,
        0
    )
    +
    IF(
        $N90 &lt; 0.875,
        MAX(0, MIN(($H90 / 1000) * AI$10 * $BN$4, AI$11 * 0.876) - (AI$11 * $N90)) * 0.25,
        0
    )
)</f>
        <v>0</v>
      </c>
      <c r="AJ90" s="36">
        <f>IF(
    AND($H90 &gt; $BN$7, Tabella01MarzoInverter[[#This Row],[Active power TX2-INV-6]] &lt;= 0, Tabella01MarzoInverter[[#This Row],[Active power TX3-INV-3]] &lt;= 0),
    MIN(($H90 / 1000) * AJ$10 * $BN$4, AJ$11 * 0.876) * 0.25,
    IF(
        AND($H90 &gt; $BN$7, Tabella01MarzoInverter[[#This Row],[Active power TX2-INV-6]] &lt;= 0),
        Tabella01MarzoInverter[[#This Row],[Active power TX3-INV-3]] * 0.25,
        0
    )
    +
    IF(
        $N90 &lt; 0.875,
        MAX(0, MIN(($H90 / 1000) * AJ$10 * $BN$4, AJ$11 * 0.876) - (AJ$11 * $N90)) * 0.25,
        0
    )
)</f>
        <v>0</v>
      </c>
      <c r="AK90" s="36">
        <f>IF(
    AND($H90 &gt; $BN$7, Tabella01MarzoInverter[[#This Row],[Active power TX2-INV-7]] &lt;= 0, Tabella01MarzoInverter[[#This Row],[Active power TX3-INV-4]] &lt;= 0),
    MIN(($H90 / 1000) * AK$10 * $BN$4, AK$11 * 0.876) * 0.25,
    IF(
        AND($H90 &gt; $BN$7, Tabella01MarzoInverter[[#This Row],[Active power TX2-INV-7]] &lt;= 0),
        Tabella01MarzoInverter[[#This Row],[Active power TX3-INV-4]] * 0.25,
        0
    )
    +
    IF(
        $N90 &lt; 0.875,
        MAX(0, MIN(($H90 / 1000) * AK$10 * $BN$4, AK$11 * 0.876) - (AK$11 * $N90)) * 0.25,
        0
    )
)</f>
        <v>0</v>
      </c>
      <c r="AL90" s="36">
        <f>IF(
    AND($H90 &gt; $BN$7, Tabella01MarzoInverter[[#This Row],[Active power TX2-INV-8]] &lt;= 0, Tabella01MarzoInverter[[#This Row],[Active power TX3-INV-5]] &lt;= 0),
    MIN(($H90 / 1000) * AL$10 * $BN$4, AL$11 * 0.876) * 0.25,
    IF(
        AND($H90 &gt; $BN$7, Tabella01MarzoInverter[[#This Row],[Active power TX2-INV-8]] &lt;= 0),
        Tabella01MarzoInverter[[#This Row],[Active power TX3-INV-5]] * 0.25,
        0
    )
    +
    IF(
        $N90 &lt; 0.875,
        MAX(0, MIN(($H90 / 1000) * AL$10 * $BN$4, AL$11 * 0.876) - (AL$11 * $N90)) * 0.25,
        0
    )
)</f>
        <v>0</v>
      </c>
      <c r="AM90" s="36">
        <f>IF(
    AND($H90 &gt; $BN$7, Tabella01MarzoInverter[[#This Row],[Active power TX2-INV-9]] &lt;= 0, Tabella01MarzoInverter[[#This Row],[Active power TX3-INV-6]] &lt;= 0),
    MIN(($H90 / 1000) * AM$10 * $BN$4, AM$11 * 0.876) * 0.25,
    IF(
        AND($H90 &gt; $BN$7, Tabella01MarzoInverter[[#This Row],[Active power TX2-INV-9]] &lt;= 0),
        Tabella01MarzoInverter[[#This Row],[Active power TX3-INV-6]] * 0.25,
        0
    )
    +
    IF(
        $N90 &lt; 0.875,
        MAX(0, MIN(($H90 / 1000) * AM$10 * $BN$4, AM$11 * 0.876) - (AM$11 * $N90)) * 0.25,
        0
    )
)</f>
        <v>0</v>
      </c>
      <c r="AN90" s="36">
        <f>IF(
    AND($H90 &gt; $BN$7, Tabella01MarzoInverter[[#This Row],[Active power TX2-INV-10]] &lt;= 0, Tabella01MarzoInverter[[#This Row],[Active power TX3-INV-7]] &lt;= 0),
    MIN(($H90 / 1000) * AN$10 * $BN$4, AN$11 * 0.876) * 0.25,
    IF(
        AND($H90 &gt; $BN$7, Tabella01MarzoInverter[[#This Row],[Active power TX2-INV-10]] &lt;= 0),
        Tabella01MarzoInverter[[#This Row],[Active power TX3-INV-7]] * 0.25,
        0
    )
    +
    IF(
        $N90 &lt; 0.875,
        MAX(0, MIN(($H90 / 1000) * AN$10 * $BN$4, AN$11 * 0.876) - (AN$11 * $N90)) * 0.25,
        0
    )
)</f>
        <v>0</v>
      </c>
      <c r="AO90" s="36">
        <f>IF(
    AND($H90 &gt; $BN$7, Tabella01MarzoInverter[[#This Row],[Active power TX2-INV-11]] &lt;= 0, Tabella01MarzoInverter[[#This Row],[Active power TX3-INV-8]] &lt;= 0),
    MIN(($H90 / 1000) * AO$10 * $BN$4, AO$11 * 0.876) * 0.25,
    IF(
        AND($H90 &gt; $BN$7, Tabella01MarzoInverter[[#This Row],[Active power TX2-INV-11]] &lt;= 0),
        Tabella01MarzoInverter[[#This Row],[Active power TX3-INV-8]] * 0.25,
        0
    )
    +
    IF(
        $N90 &lt; 0.875,
        MAX(0, MIN(($H90 / 1000) * AO$10 * $BN$4, AO$11 * 0.876) - (AO$11 * $N90)) * 0.25,
        0
    )
)</f>
        <v>0</v>
      </c>
      <c r="AP90" s="36">
        <f>IF(
    AND($H90 &gt; $BN$7, Tabella01MarzoInverter[[#This Row],[Active power TX2-INV-12]] &lt;= 0, Tabella01MarzoInverter[[#This Row],[Active power TX3-INV-9]] &lt;= 0),
    MIN(($H90 / 1000) * AP$10 * $BN$4, AP$11 * 0.876) * 0.25,
    IF(
        AND($H90 &gt; $BN$7, Tabella01MarzoInverter[[#This Row],[Active power TX2-INV-12]] &lt;= 0),
        Tabella01MarzoInverter[[#This Row],[Active power TX3-INV-9]] * 0.25,
        0
    )
    +
    IF(
        $N90 &lt; 0.875,
        MAX(0, MIN(($H90 / 1000) * AP$10 * $BN$4, AP$11 * 0.876) - (AP$11 * $N90)) * 0.25,
        0
    )
)</f>
        <v>0</v>
      </c>
      <c r="AQ90" s="8">
        <f>AVERAGE(TabellaMar2026[[#This Row],[Colonna39]:[Colonna6]])</f>
        <v>0</v>
      </c>
      <c r="AR90" s="8">
        <f>MAX(TabellaMar2026[[#This Row],[Colonna39]:[Colonna6]])</f>
        <v>0</v>
      </c>
      <c r="AS90" s="35">
        <f>MIN(TabellaMar2026[[#This Row],[Colonna39]:[Colonna6]])</f>
        <v>0</v>
      </c>
      <c r="AT90" s="48">
        <f>SUM(TabellaMar2026[[#This Row],[Colonna39]:[Colonna6]])</f>
        <v>0</v>
      </c>
      <c r="AU90" s="36" cm="1">
        <f t="array" ref="AU90">IF(
    AND($H90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($H90 / 1000) * AU$10 * $BN$4 * 0.25
    ),
    0
)
+
IF(
    $N90 &lt; 0.875,
    MAX(0, MIN(($H90 / 1000) * AU$10 * $BN$4, AU$11 * 0.876) - (AU$11 * $N90)) * 0.25,
    0
)</f>
        <v>0</v>
      </c>
      <c r="AV90" s="36" cm="1">
        <f t="array" ref="AV90">IF(
    AND($H90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($H90 / 1000) * AV$10 * $BN$4 * 0.25
    ),
    0
)
+
IF(
    $N90 &lt; 0.875,
    MAX(0, MIN(($H90 / 1000) * AV$10 * $BN$4, AV$11 * 0.876) - (AV$11 * $N90)) * 0.25,
    0
)</f>
        <v>0</v>
      </c>
      <c r="AW90" s="36" cm="1">
        <f t="array" ref="AW90">IF(
    AND($H90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($H90 / 1000) * AW$10 * $BN$4 * 0.25
    ),
    0
)
+
IF(
    $N90 &lt; 0.875,
    MAX(0, MIN(($H90 / 1000) * AW$10 * $BN$4, AW$11 * 0.876) - (AW$11 * $N90)) * 0.25,
    0
)</f>
        <v>0</v>
      </c>
      <c r="AX90" s="36" cm="1">
        <f t="array" ref="AX90">IF(
    AND($H90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($H90 / 1000) * AX$10 * $BN$4 * 0.25
    ),
    0
)
+
IF(
    $N90 &lt; 0.875,
    MAX(0, MIN(($H90 / 1000) * AX$10 * $BN$4, AX$11 * 0.876) - (AX$11 * $N90)) * 0.25,
    0
)</f>
        <v>0</v>
      </c>
      <c r="AY90" s="36" cm="1">
        <f t="array" ref="AY90">IF(
    AND($H90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($H90 / 1000) * AY$10 * $BN$4 * 0.25
    ),
    0
)
+
IF(
    $N90 &lt; 0.875,
    MAX(0, MIN(($H90 / 1000) * AY$10 * $BN$4, AY$11 * 0.876) - (AY$11 * $N90)) * 0.25,
    0
)</f>
        <v>0</v>
      </c>
      <c r="AZ90" s="36" cm="1">
        <f t="array" ref="AZ90">IF(
    AND($H90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($H90 / 1000) * AZ$10 * $BN$4 * 0.25
    ),
    0
)
+
IF(
    $N90 &lt; 0.875,
    MAX(0, MIN(($H90 / 1000) * AZ$10 * $BN$4, AZ$11 * 0.876) - (AZ$11 * $N90)) * 0.25,
    0
)</f>
        <v>0</v>
      </c>
      <c r="BA90" s="36" cm="1">
        <f t="array" ref="BA90">IF(
    AND($H90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($H90 / 1000) * BA$10 * $BN$4 * 0.25
    ),
    0
)
+
IF(
    $N90 &lt; 0.875,
    MAX(0, MIN(($H90 / 1000) * BA$10 * $BN$4, BA$11 * 0.876) - (BA$11 * $N90)) * 0.25,
    0
)</f>
        <v>0</v>
      </c>
      <c r="BB90" s="36" cm="1">
        <f t="array" ref="BB90">IF(
    AND($H90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($H90 / 1000) * BB$10 * $BN$4 * 0.25
    ),
    0
)
+
IF(
    $N90 &lt; 0.875,
    MAX(0, MIN(($H90 / 1000) * BB$10 * $BN$4, BB$11 * 0.876) - (BB$11 * $N90)) * 0.25,
    0
)</f>
        <v>0</v>
      </c>
      <c r="BC90" s="36" cm="1">
        <f t="array" ref="BC90">IF(
    AND($H90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($H90 / 1000) * BC$10 * $BN$4 * 0.25
    ),
    0
)
+
IF(
    $N90 &lt; 0.875,
    MAX(0, MIN(($H90 / 1000) * BC$10 * $BN$4, BC$11 * 0.876) - (BC$11 * $N90)) * 0.25,
    0
)</f>
        <v>0</v>
      </c>
      <c r="BD90" s="36" cm="1">
        <f t="array" ref="BD90">IF(
    AND($H90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($H90 / 1000) * BD$10 * $BN$4 * 0.25
    ),
    0
)
+
IF(
    $N90 &lt; 0.875,
    MAX(0, MIN(($H90 / 1000) * BD$10 * $BN$4, BD$11 * 0.876) - (BD$11 * $N90)) * 0.25,
    0
)</f>
        <v>0</v>
      </c>
      <c r="BE90" s="36" cm="1">
        <f t="array" ref="BE90">IF(
    AND($H90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($H90 / 1000) * BE$10 * $BN$4 * 0.25
    ),
    0
)
+
IF(
    $N90 &lt; 0.875,
    MAX(0, MIN(($H90 / 1000) * BE$10 * $BN$4, BE$11 * 0.876) - (BE$11 * $N90)) * 0.25,
    0
)</f>
        <v>0</v>
      </c>
      <c r="BF90" s="36" cm="1">
        <f t="array" ref="BF90">IF(
    AND($H90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($H90 / 1000) * BF$10 * $BN$4 * 0.25
    ),
    0
)
+
IF(
    $N90 &lt; 0.875,
    MAX(0, MIN(($H90 / 1000) * BF$10 * $BN$4, BF$11 * 0.876) - (BF$11 * $N90)) * 0.25,
    0
)</f>
        <v>0</v>
      </c>
      <c r="BG90" s="8">
        <f>AVERAGE(TabellaMar2026[[#This Row],[Colonna55]:[Colonna53]])</f>
        <v>0</v>
      </c>
      <c r="BH90" s="8">
        <f>MAX(TabellaMar2026[[#This Row],[Colonna55]:[Colonna53]])</f>
        <v>0</v>
      </c>
      <c r="BI90" s="35">
        <f>MIN(TabellaMar2026[[#This Row],[Colonna55]:[Colonna53]])</f>
        <v>0</v>
      </c>
      <c r="BJ90" s="48">
        <f>SUM(TabellaMar2026[[#This Row],[Colonna54]:[Colonna53]])</f>
        <v>0</v>
      </c>
      <c r="BK90" s="54">
        <f>(SUM(Tabella01MarzoInverter[[Active power TX1-INV-1]:[Active power TX3-INV-12]]) * 0.25) / (12625 * (SUM($G$15:$H$110) * 0.25 / 1000))</f>
        <v>1.014229628761051</v>
      </c>
      <c r="BL90" s="5"/>
      <c r="BM90" s="5"/>
      <c r="BN90" s="5"/>
      <c r="BO90" s="8"/>
      <c r="BP90" s="19"/>
    </row>
    <row r="91" spans="1:68" x14ac:dyDescent="0.25">
      <c r="A91" s="18">
        <v>46147</v>
      </c>
      <c r="B91" t="s">
        <v>91</v>
      </c>
      <c r="C91" s="5">
        <v>85.6</v>
      </c>
      <c r="D91" s="6">
        <v>2.1399999999999999E-2</v>
      </c>
      <c r="E91" s="6">
        <v>89.9</v>
      </c>
      <c r="F91" s="6">
        <v>2.2475000000000002E-2</v>
      </c>
      <c r="G91" s="6">
        <f>IFERROR((D91+F91)/2, 0)</f>
        <v>2.1937499999999999E-2</v>
      </c>
      <c r="H91" s="7">
        <f>IFERROR(IF(AVERAGE(C91,E91)&gt;$BN$7,AVERAGE(C91,E91),0), 0)</f>
        <v>87.75</v>
      </c>
      <c r="I91" s="7">
        <f>IFERROR(IF(AND(D91=0,F91=0),0,IF(H91&gt;$BN$6,MAX(D91,F91),G91)), 0)</f>
        <v>2.2475000000000002E-2</v>
      </c>
      <c r="J91" s="6">
        <f>IFERROR(IF(AND(D91&gt;0,F91&gt;0),ABS(D91-F91)/AVERAGE(D91,F91),0), 0)</f>
        <v>4.9002849002849146E-2</v>
      </c>
      <c r="K91" s="6">
        <v>30467.1</v>
      </c>
      <c r="L91" s="6">
        <v>30467.3</v>
      </c>
      <c r="M91" s="8">
        <f>IFERROR((L91-K91)*1000, 0)</f>
        <v>200.0000000007276</v>
      </c>
      <c r="N91" s="6">
        <v>0.87599999999999989</v>
      </c>
      <c r="O91" s="8" cm="1">
        <f t="array" ref="O91">IF(
    AND($H91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($H91 / 1000) * O$10 * $BN$4 * 0.25
    ),
    0
)
+
IF(
    $N91 &lt; 0.875,
    MAX(0, MIN(($H91 / 1000) * O$10 * $BN$4, O$11 * 0.876) - (O$11 * $N91)) * 0.25,
    0
)</f>
        <v>0</v>
      </c>
      <c r="P91" s="8" cm="1">
        <f t="array" ref="P91">IF(
    AND($H91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($H91 / 1000) * P$10 * $BN$4 * 0.25
    ),
    0
)
+
IF(
    $N91 &lt; 0.875,
    MAX(0, MIN(($H91 / 1000) * P$10 * $BN$4, P$11 * 0.876) - (P$11 * $N91)) * 0.25,
    0
)</f>
        <v>0</v>
      </c>
      <c r="Q91" s="8" cm="1">
        <f t="array" ref="Q91">IF(
    AND($H91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($H91 / 1000) * Q$10 * $BN$4 * 0.25
    ),
    0
)
+
IF(
    $N91 &lt; 0.875,
    MAX(0, MIN(($H91 / 1000) * Q$10 * $BN$4, Q$11 * 0.876) - (Q$11 * $N91)) * 0.25,
    0
)</f>
        <v>0</v>
      </c>
      <c r="R91" s="8" cm="1">
        <f t="array" ref="R91">IF(
    AND($H91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($H91 / 1000) * R$10 * $BN$4 * 0.25
    ),
    0
)
+
IF(
    $N91 &lt; 0.875,
    MAX(0, MIN(($H91 / 1000) * R$10 * $BN$4, R$11 * 0.876) - (R$11 * $N91)) * 0.25,
    0
)</f>
        <v>0</v>
      </c>
      <c r="S91" s="8" cm="1">
        <f t="array" ref="S91">IF(
    AND($H91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($H91 / 1000) * S$10 * $BN$4 * 0.25
    ),
    0
)
+
IF(
    $N91 &lt; 0.875,
    MAX(0, MIN(($H91 / 1000) * S$10 * $BN$4, S$11 * 0.876) - (S$11 * $N91)) * 0.25,
    0
)</f>
        <v>0</v>
      </c>
      <c r="T91" s="8" cm="1">
        <f t="array" ref="T91">IF(
    AND($H91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($H91 / 1000) * T$10 * $BN$4 * 0.25
    ),
    0
)
+
IF(
    $N91 &lt; 0.875,
    MAX(0, MIN(($H91 / 1000) * T$10 * $BN$4, T$11 * 0.876) - (T$11 * $N91)) * 0.25,
    0
)</f>
        <v>0</v>
      </c>
      <c r="U91" s="8" cm="1">
        <f t="array" ref="U91">IF(
    AND($H91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($H91 / 1000) * U$10 * $BN$4 * 0.25
    ),
    0
)
+
IF(
    $N91 &lt; 0.875,
    MAX(0, MIN(($H91 / 1000) * U$10 * $BN$4, U$11 * 0.876) - (U$11 * $N91)) * 0.25,
    0
)</f>
        <v>0</v>
      </c>
      <c r="V91" s="8" cm="1">
        <f t="array" ref="V91">IF(
    AND($H91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($H91 / 1000) * V$10 * $BN$4 * 0.25
    ),
    0
)
+
IF(
    $N91 &lt; 0.875,
    MAX(0, MIN(($H91 / 1000) * V$10 * $BN$4, V$11 * 0.876) - (V$11 * $N91)) * 0.25,
    0
)</f>
        <v>0</v>
      </c>
      <c r="W91" s="8" cm="1">
        <f t="array" ref="W91">IF(
    AND($H91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($H91 / 1000) * W$10 * $BN$4 * 0.25
    ),
    0
)
+
IF(
    $N91 &lt; 0.875,
    MAX(0, MIN(($H91 / 1000) * W$10 * $BN$4, W$11 * 0.876) - (W$11 * $N91)) * 0.25,
    0
)</f>
        <v>0</v>
      </c>
      <c r="X91" s="8" cm="1">
        <f t="array" ref="X91">IF(
    AND($H91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($H91 / 1000) * X$10 * $BN$4 * 0.25
    ),
    0
)
+
IF(
    $N91 &lt; 0.875,
    MAX(0, MIN(($H91 / 1000) * X$10 * $BN$4, X$11 * 0.876) - (X$11 * $N91)) * 0.25,
    0
)</f>
        <v>0</v>
      </c>
      <c r="Y91" s="8" cm="1">
        <f t="array" ref="Y91">IF(
    AND($H91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($H91 / 1000) * Y$10 * $BN$4 * 0.25
    ),
    0
)
+
IF(
    $N91 &lt; 0.875,
    MAX(0, MIN(($H91 / 1000) * Y$10 * $BN$4, Y$11 * 0.876) - (Y$11 * $N91)) * 0.25,
    0
)</f>
        <v>0</v>
      </c>
      <c r="Z91" s="8" cm="1">
        <f t="array" ref="Z91">IF(
    AND($H91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($H91 / 1000) * Z$10 * $BN$4 * 0.25
    ),
    0
)
+
IF(
    $N91 &lt; 0.875,
    MAX(0, MIN(($H91 / 1000) * Z$10 * $BN$4, Z$11 * 0.876) - (Z$11 * $N91)) * 0.25,
    0
)</f>
        <v>0</v>
      </c>
      <c r="AA91" s="8">
        <f>AVERAGE(TabellaMar2026[[#This Row],[Colonna24]:[Colonna20]])</f>
        <v>0</v>
      </c>
      <c r="AB91" s="8">
        <f>MAX(TabellaMar2026[[#This Row],[Colonna24]:[Colonna20]])</f>
        <v>0</v>
      </c>
      <c r="AC91" s="35">
        <f>MIN(TabellaMar2026[[#This Row],[Colonna24]:[Colonna20]])</f>
        <v>0</v>
      </c>
      <c r="AD91" s="44">
        <f>SUM(TabellaMar2026[[#This Row],[Colonna24]:[Colonna20]])</f>
        <v>0</v>
      </c>
      <c r="AE91" s="36">
        <f>IF(
    AND($H91 &gt; $BN$7, Tabella01MarzoInverter[[#This Row],[Active power TX2-INV-1]] &lt;= 0, Tabella01MarzoInverter[[#This Row],[TX2 - Average Power]] &lt;= 0),
    MIN(($H91 / 1000) * AE$10 * $BN$4, AE$11 * 0.876) * 0.25,
    IF(
        AND($H91 &gt; $BN$7, Tabella01MarzoInverter[[#This Row],[Active power TX2-INV-1]] &lt;= 0),
        Tabella01MarzoInverter[[#This Row],[TX2 - Average Power]] * 0.25,
        0
    )
    +
    IF(
        $N91 &lt; 0.875,
        MAX(0, MIN(($H91 / 1000) * AE$10 * $BN$4, AE$11 * 0.876) - (AE$11 * $N91)) * 0.25,
        0
    )
)</f>
        <v>0</v>
      </c>
      <c r="AF91" s="36">
        <f>IF(
    AND($H91 &gt; $BN$7, Tabella01MarzoInverter[[#This Row],[Active power TX2-INV-2]] &lt;= 0, Tabella01MarzoInverter[[#This Row],[TX2 - Max Power]] &lt;= 0),
    MIN(($H91 / 1000) * AF$10 * $BN$4, AF$11 * 0.876) * 0.25,
    IF(
        AND($H91 &gt; $BN$7, Tabella01MarzoInverter[[#This Row],[Active power TX2-INV-2]] &lt;= 0),
        Tabella01MarzoInverter[[#This Row],[TX2 - Max Power]] * 0.25,
        0
    )
    +
    IF(
        $N91 &lt; 0.875,
        MAX(0, MIN(($H91 / 1000) * AF$10 * $BN$4, AF$11 * 0.876) - (AF$11 * $N91)) * 0.25,
        0
    )
)</f>
        <v>0</v>
      </c>
      <c r="AG91" s="36">
        <f>IF(
    AND($H91 &gt; $BN$7, Tabella01MarzoInverter[[#This Row],[Active power TX2-INV-3]] &lt;= 0, Tabella01MarzoInverter[[#This Row],[TX2 - Min Power]] &lt;= 0),
    MIN(($H91 / 1000) * AG$10 * $BN$4, AG$11 * 0.876) * 0.25,
    IF(
        AND($H91 &gt; $BN$7, Tabella01MarzoInverter[[#This Row],[Active power TX2-INV-3]] &lt;= 0),
        Tabella01MarzoInverter[[#This Row],[TX2 - Min Power]] * 0.25,
        0
    )
    +
    IF(
        $N91 &lt; 0.875,
        MAX(0, MIN(($H91 / 1000) * AG$10 * $BN$4, AG$11 * 0.876) - (AG$11 * $N91)) * 0.25,
        0
    )
)</f>
        <v>0</v>
      </c>
      <c r="AH91" s="36">
        <f>IF(
    AND($H91 &gt; $BN$7, Tabella01MarzoInverter[[#This Row],[Active power TX2-INV-4]] &lt;= 0, Tabella01MarzoInverter[[#This Row],[Active power TX3-INV-1]] &lt;= 0),
    MIN(($H91 / 1000) * AH$10 * $BN$4, AH$11 * 0.876) * 0.25,
    IF(
        AND($H91 &gt; $BN$7, Tabella01MarzoInverter[[#This Row],[Active power TX2-INV-4]] &lt;= 0),
        Tabella01MarzoInverter[[#This Row],[Active power TX3-INV-1]] * 0.25,
        0
    )
    +
    IF(
        $N91 &lt; 0.875,
        MAX(0, MIN(($H91 / 1000) * AH$10 * $BN$4, AH$11 * 0.876) - (AH$11 * $N91)) * 0.25,
        0
    )
)</f>
        <v>0</v>
      </c>
      <c r="AI91" s="36">
        <f>IF(
    AND($H91 &gt; $BN$7, Tabella01MarzoInverter[[#This Row],[Active power TX2-INV-5]] &lt;= 0, Tabella01MarzoInverter[[#This Row],[Active power TX3-INV-2]] &lt;= 0),
    MIN(($H91 / 1000) * AI$10 * $BN$4, AI$11 * 0.876) * 0.25,
    IF(
        AND($H91 &gt; $BN$7, Tabella01MarzoInverter[[#This Row],[Active power TX2-INV-5]] &lt;= 0),
        Tabella01MarzoInverter[[#This Row],[Active power TX3-INV-2]] * 0.25,
        0
    )
    +
    IF(
        $N91 &lt; 0.875,
        MAX(0, MIN(($H91 / 1000) * AI$10 * $BN$4, AI$11 * 0.876) - (AI$11 * $N91)) * 0.25,
        0
    )
)</f>
        <v>0</v>
      </c>
      <c r="AJ91" s="36">
        <f>IF(
    AND($H91 &gt; $BN$7, Tabella01MarzoInverter[[#This Row],[Active power TX2-INV-6]] &lt;= 0, Tabella01MarzoInverter[[#This Row],[Active power TX3-INV-3]] &lt;= 0),
    MIN(($H91 / 1000) * AJ$10 * $BN$4, AJ$11 * 0.876) * 0.25,
    IF(
        AND($H91 &gt; $BN$7, Tabella01MarzoInverter[[#This Row],[Active power TX2-INV-6]] &lt;= 0),
        Tabella01MarzoInverter[[#This Row],[Active power TX3-INV-3]] * 0.25,
        0
    )
    +
    IF(
        $N91 &lt; 0.875,
        MAX(0, MIN(($H91 / 1000) * AJ$10 * $BN$4, AJ$11 * 0.876) - (AJ$11 * $N91)) * 0.25,
        0
    )
)</f>
        <v>0</v>
      </c>
      <c r="AK91" s="36">
        <f>IF(
    AND($H91 &gt; $BN$7, Tabella01MarzoInverter[[#This Row],[Active power TX2-INV-7]] &lt;= 0, Tabella01MarzoInverter[[#This Row],[Active power TX3-INV-4]] &lt;= 0),
    MIN(($H91 / 1000) * AK$10 * $BN$4, AK$11 * 0.876) * 0.25,
    IF(
        AND($H91 &gt; $BN$7, Tabella01MarzoInverter[[#This Row],[Active power TX2-INV-7]] &lt;= 0),
        Tabella01MarzoInverter[[#This Row],[Active power TX3-INV-4]] * 0.25,
        0
    )
    +
    IF(
        $N91 &lt; 0.875,
        MAX(0, MIN(($H91 / 1000) * AK$10 * $BN$4, AK$11 * 0.876) - (AK$11 * $N91)) * 0.25,
        0
    )
)</f>
        <v>0</v>
      </c>
      <c r="AL91" s="36">
        <f>IF(
    AND($H91 &gt; $BN$7, Tabella01MarzoInverter[[#This Row],[Active power TX2-INV-8]] &lt;= 0, Tabella01MarzoInverter[[#This Row],[Active power TX3-INV-5]] &lt;= 0),
    MIN(($H91 / 1000) * AL$10 * $BN$4, AL$11 * 0.876) * 0.25,
    IF(
        AND($H91 &gt; $BN$7, Tabella01MarzoInverter[[#This Row],[Active power TX2-INV-8]] &lt;= 0),
        Tabella01MarzoInverter[[#This Row],[Active power TX3-INV-5]] * 0.25,
        0
    )
    +
    IF(
        $N91 &lt; 0.875,
        MAX(0, MIN(($H91 / 1000) * AL$10 * $BN$4, AL$11 * 0.876) - (AL$11 * $N91)) * 0.25,
        0
    )
)</f>
        <v>0</v>
      </c>
      <c r="AM91" s="36">
        <f>IF(
    AND($H91 &gt; $BN$7, Tabella01MarzoInverter[[#This Row],[Active power TX2-INV-9]] &lt;= 0, Tabella01MarzoInverter[[#This Row],[Active power TX3-INV-6]] &lt;= 0),
    MIN(($H91 / 1000) * AM$10 * $BN$4, AM$11 * 0.876) * 0.25,
    IF(
        AND($H91 &gt; $BN$7, Tabella01MarzoInverter[[#This Row],[Active power TX2-INV-9]] &lt;= 0),
        Tabella01MarzoInverter[[#This Row],[Active power TX3-INV-6]] * 0.25,
        0
    )
    +
    IF(
        $N91 &lt; 0.875,
        MAX(0, MIN(($H91 / 1000) * AM$10 * $BN$4, AM$11 * 0.876) - (AM$11 * $N91)) * 0.25,
        0
    )
)</f>
        <v>0</v>
      </c>
      <c r="AN91" s="36">
        <f>IF(
    AND($H91 &gt; $BN$7, Tabella01MarzoInverter[[#This Row],[Active power TX2-INV-10]] &lt;= 0, Tabella01MarzoInverter[[#This Row],[Active power TX3-INV-7]] &lt;= 0),
    MIN(($H91 / 1000) * AN$10 * $BN$4, AN$11 * 0.876) * 0.25,
    IF(
        AND($H91 &gt; $BN$7, Tabella01MarzoInverter[[#This Row],[Active power TX2-INV-10]] &lt;= 0),
        Tabella01MarzoInverter[[#This Row],[Active power TX3-INV-7]] * 0.25,
        0
    )
    +
    IF(
        $N91 &lt; 0.875,
        MAX(0, MIN(($H91 / 1000) * AN$10 * $BN$4, AN$11 * 0.876) - (AN$11 * $N91)) * 0.25,
        0
    )
)</f>
        <v>0</v>
      </c>
      <c r="AO91" s="36">
        <f>IF(
    AND($H91 &gt; $BN$7, Tabella01MarzoInverter[[#This Row],[Active power TX2-INV-11]] &lt;= 0, Tabella01MarzoInverter[[#This Row],[Active power TX3-INV-8]] &lt;= 0),
    MIN(($H91 / 1000) * AO$10 * $BN$4, AO$11 * 0.876) * 0.25,
    IF(
        AND($H91 &gt; $BN$7, Tabella01MarzoInverter[[#This Row],[Active power TX2-INV-11]] &lt;= 0),
        Tabella01MarzoInverter[[#This Row],[Active power TX3-INV-8]] * 0.25,
        0
    )
    +
    IF(
        $N91 &lt; 0.875,
        MAX(0, MIN(($H91 / 1000) * AO$10 * $BN$4, AO$11 * 0.876) - (AO$11 * $N91)) * 0.25,
        0
    )
)</f>
        <v>0</v>
      </c>
      <c r="AP91" s="36">
        <f>IF(
    AND($H91 &gt; $BN$7, Tabella01MarzoInverter[[#This Row],[Active power TX2-INV-12]] &lt;= 0, Tabella01MarzoInverter[[#This Row],[Active power TX3-INV-9]] &lt;= 0),
    MIN(($H91 / 1000) * AP$10 * $BN$4, AP$11 * 0.876) * 0.25,
    IF(
        AND($H91 &gt; $BN$7, Tabella01MarzoInverter[[#This Row],[Active power TX2-INV-12]] &lt;= 0),
        Tabella01MarzoInverter[[#This Row],[Active power TX3-INV-9]] * 0.25,
        0
    )
    +
    IF(
        $N91 &lt; 0.875,
        MAX(0, MIN(($H91 / 1000) * AP$10 * $BN$4, AP$11 * 0.876) - (AP$11 * $N91)) * 0.25,
        0
    )
)</f>
        <v>0</v>
      </c>
      <c r="AQ91" s="8">
        <f>AVERAGE(TabellaMar2026[[#This Row],[Colonna39]:[Colonna6]])</f>
        <v>0</v>
      </c>
      <c r="AR91" s="8">
        <f>MAX(TabellaMar2026[[#This Row],[Colonna39]:[Colonna6]])</f>
        <v>0</v>
      </c>
      <c r="AS91" s="35">
        <f>MIN(TabellaMar2026[[#This Row],[Colonna39]:[Colonna6]])</f>
        <v>0</v>
      </c>
      <c r="AT91" s="48">
        <f>SUM(TabellaMar2026[[#This Row],[Colonna39]:[Colonna6]])</f>
        <v>0</v>
      </c>
      <c r="AU91" s="36" cm="1">
        <f t="array" ref="AU91">IF(
    AND($H91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($H91 / 1000) * AU$10 * $BN$4 * 0.25
    ),
    0
)
+
IF(
    $N91 &lt; 0.875,
    MAX(0, MIN(($H91 / 1000) * AU$10 * $BN$4, AU$11 * 0.876) - (AU$11 * $N91)) * 0.25,
    0
)</f>
        <v>0</v>
      </c>
      <c r="AV91" s="36" cm="1">
        <f t="array" ref="AV91">IF(
    AND($H91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($H91 / 1000) * AV$10 * $BN$4 * 0.25
    ),
    0
)
+
IF(
    $N91 &lt; 0.875,
    MAX(0, MIN(($H91 / 1000) * AV$10 * $BN$4, AV$11 * 0.876) - (AV$11 * $N91)) * 0.25,
    0
)</f>
        <v>0</v>
      </c>
      <c r="AW91" s="36" cm="1">
        <f t="array" ref="AW91">IF(
    AND($H91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($H91 / 1000) * AW$10 * $BN$4 * 0.25
    ),
    0
)
+
IF(
    $N91 &lt; 0.875,
    MAX(0, MIN(($H91 / 1000) * AW$10 * $BN$4, AW$11 * 0.876) - (AW$11 * $N91)) * 0.25,
    0
)</f>
        <v>0</v>
      </c>
      <c r="AX91" s="36" cm="1">
        <f t="array" ref="AX91">IF(
    AND($H91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($H91 / 1000) * AX$10 * $BN$4 * 0.25
    ),
    0
)
+
IF(
    $N91 &lt; 0.875,
    MAX(0, MIN(($H91 / 1000) * AX$10 * $BN$4, AX$11 * 0.876) - (AX$11 * $N91)) * 0.25,
    0
)</f>
        <v>0</v>
      </c>
      <c r="AY91" s="36" cm="1">
        <f t="array" ref="AY91">IF(
    AND($H91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($H91 / 1000) * AY$10 * $BN$4 * 0.25
    ),
    0
)
+
IF(
    $N91 &lt; 0.875,
    MAX(0, MIN(($H91 / 1000) * AY$10 * $BN$4, AY$11 * 0.876) - (AY$11 * $N91)) * 0.25,
    0
)</f>
        <v>0</v>
      </c>
      <c r="AZ91" s="36" cm="1">
        <f t="array" ref="AZ91">IF(
    AND($H91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($H91 / 1000) * AZ$10 * $BN$4 * 0.25
    ),
    0
)
+
IF(
    $N91 &lt; 0.875,
    MAX(0, MIN(($H91 / 1000) * AZ$10 * $BN$4, AZ$11 * 0.876) - (AZ$11 * $N91)) * 0.25,
    0
)</f>
        <v>0</v>
      </c>
      <c r="BA91" s="36" cm="1">
        <f t="array" ref="BA91">IF(
    AND($H91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($H91 / 1000) * BA$10 * $BN$4 * 0.25
    ),
    0
)
+
IF(
    $N91 &lt; 0.875,
    MAX(0, MIN(($H91 / 1000) * BA$10 * $BN$4, BA$11 * 0.876) - (BA$11 * $N91)) * 0.25,
    0
)</f>
        <v>0</v>
      </c>
      <c r="BB91" s="36" cm="1">
        <f t="array" ref="BB91">IF(
    AND($H91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($H91 / 1000) * BB$10 * $BN$4 * 0.25
    ),
    0
)
+
IF(
    $N91 &lt; 0.875,
    MAX(0, MIN(($H91 / 1000) * BB$10 * $BN$4, BB$11 * 0.876) - (BB$11 * $N91)) * 0.25,
    0
)</f>
        <v>0</v>
      </c>
      <c r="BC91" s="36" cm="1">
        <f t="array" ref="BC91">IF(
    AND($H91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($H91 / 1000) * BC$10 * $BN$4 * 0.25
    ),
    0
)
+
IF(
    $N91 &lt; 0.875,
    MAX(0, MIN(($H91 / 1000) * BC$10 * $BN$4, BC$11 * 0.876) - (BC$11 * $N91)) * 0.25,
    0
)</f>
        <v>0</v>
      </c>
      <c r="BD91" s="36" cm="1">
        <f t="array" ref="BD91">IF(
    AND($H91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($H91 / 1000) * BD$10 * $BN$4 * 0.25
    ),
    0
)
+
IF(
    $N91 &lt; 0.875,
    MAX(0, MIN(($H91 / 1000) * BD$10 * $BN$4, BD$11 * 0.876) - (BD$11 * $N91)) * 0.25,
    0
)</f>
        <v>0</v>
      </c>
      <c r="BE91" s="36" cm="1">
        <f t="array" ref="BE91">IF(
    AND($H91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($H91 / 1000) * BE$10 * $BN$4 * 0.25
    ),
    0
)
+
IF(
    $N91 &lt; 0.875,
    MAX(0, MIN(($H91 / 1000) * BE$10 * $BN$4, BE$11 * 0.876) - (BE$11 * $N91)) * 0.25,
    0
)</f>
        <v>0</v>
      </c>
      <c r="BF91" s="36" cm="1">
        <f t="array" ref="BF91">IF(
    AND($H91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($H91 / 1000) * BF$10 * $BN$4 * 0.25
    ),
    0
)
+
IF(
    $N91 &lt; 0.875,
    MAX(0, MIN(($H91 / 1000) * BF$10 * $BN$4, BF$11 * 0.876) - (BF$11 * $N91)) * 0.25,
    0
)</f>
        <v>0</v>
      </c>
      <c r="BG91" s="8">
        <f>AVERAGE(TabellaMar2026[[#This Row],[Colonna55]:[Colonna53]])</f>
        <v>0</v>
      </c>
      <c r="BH91" s="8">
        <f>MAX(TabellaMar2026[[#This Row],[Colonna55]:[Colonna53]])</f>
        <v>0</v>
      </c>
      <c r="BI91" s="35">
        <f>MIN(TabellaMar2026[[#This Row],[Colonna55]:[Colonna53]])</f>
        <v>0</v>
      </c>
      <c r="BJ91" s="48">
        <f>SUM(TabellaMar2026[[#This Row],[Colonna54]:[Colonna53]])</f>
        <v>0</v>
      </c>
      <c r="BK91" s="54">
        <f>(SUM(Tabella01MarzoInverter[[Active power TX1-INV-1]:[Active power TX3-INV-12]]) * 0.25) / (12625 * (SUM($G$15:$H$110) * 0.25 / 1000))</f>
        <v>1.014229628761051</v>
      </c>
      <c r="BL91" s="5"/>
      <c r="BM91" s="5"/>
      <c r="BN91" s="5"/>
      <c r="BO91" s="8"/>
      <c r="BP91" s="19"/>
    </row>
    <row r="92" spans="1:68" x14ac:dyDescent="0.25">
      <c r="A92" s="18">
        <v>46147</v>
      </c>
      <c r="B92" t="s">
        <v>92</v>
      </c>
      <c r="C92" s="5">
        <v>67.3</v>
      </c>
      <c r="D92" s="6">
        <v>1.6825E-2</v>
      </c>
      <c r="E92" s="6">
        <v>70.2</v>
      </c>
      <c r="F92" s="6">
        <v>1.755E-2</v>
      </c>
      <c r="G92" s="6">
        <f>IFERROR((D92+F92)/2, 0)</f>
        <v>1.7187500000000001E-2</v>
      </c>
      <c r="H92" s="7">
        <f>IFERROR(IF(AVERAGE(C92,E92)&gt;$BN$7,AVERAGE(C92,E92),0), 0)</f>
        <v>68.75</v>
      </c>
      <c r="I92" s="7">
        <f>IFERROR(IF(AND(D92=0,F92=0),0,IF(H92&gt;$BN$6,MAX(D92,F92),G92)), 0)</f>
        <v>1.755E-2</v>
      </c>
      <c r="J92" s="6">
        <f>IFERROR(IF(AND(D92&gt;0,F92&gt;0),ABS(D92-F92)/AVERAGE(D92,F92),0), 0)</f>
        <v>4.2181818181818174E-2</v>
      </c>
      <c r="K92" s="6">
        <v>30467.3</v>
      </c>
      <c r="L92" s="6">
        <v>30467.599999999999</v>
      </c>
      <c r="M92" s="8">
        <f>IFERROR((L92-K92)*1000, 0)</f>
        <v>299.9999999992724</v>
      </c>
      <c r="N92" s="6">
        <v>0.87599999999999989</v>
      </c>
      <c r="O92" s="8" cm="1">
        <f t="array" ref="O92">IF(
    AND($H92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($H92 / 1000) * O$10 * $BN$4 * 0.25
    ),
    0
)
+
IF(
    $N92 &lt; 0.875,
    MAX(0, MIN(($H92 / 1000) * O$10 * $BN$4, O$11 * 0.876) - (O$11 * $N92)) * 0.25,
    0
)</f>
        <v>0</v>
      </c>
      <c r="P92" s="8" cm="1">
        <f t="array" ref="P92">IF(
    AND($H92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($H92 / 1000) * P$10 * $BN$4 * 0.25
    ),
    0
)
+
IF(
    $N92 &lt; 0.875,
    MAX(0, MIN(($H92 / 1000) * P$10 * $BN$4, P$11 * 0.876) - (P$11 * $N92)) * 0.25,
    0
)</f>
        <v>0</v>
      </c>
      <c r="Q92" s="8" cm="1">
        <f t="array" ref="Q92">IF(
    AND($H92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($H92 / 1000) * Q$10 * $BN$4 * 0.25
    ),
    0
)
+
IF(
    $N92 &lt; 0.875,
    MAX(0, MIN(($H92 / 1000) * Q$10 * $BN$4, Q$11 * 0.876) - (Q$11 * $N92)) * 0.25,
    0
)</f>
        <v>0</v>
      </c>
      <c r="R92" s="8" cm="1">
        <f t="array" ref="R92">IF(
    AND($H92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($H92 / 1000) * R$10 * $BN$4 * 0.25
    ),
    0
)
+
IF(
    $N92 &lt; 0.875,
    MAX(0, MIN(($H92 / 1000) * R$10 * $BN$4, R$11 * 0.876) - (R$11 * $N92)) * 0.25,
    0
)</f>
        <v>0</v>
      </c>
      <c r="S92" s="8" cm="1">
        <f t="array" ref="S92">IF(
    AND($H92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($H92 / 1000) * S$10 * $BN$4 * 0.25
    ),
    0
)
+
IF(
    $N92 &lt; 0.875,
    MAX(0, MIN(($H92 / 1000) * S$10 * $BN$4, S$11 * 0.876) - (S$11 * $N92)) * 0.25,
    0
)</f>
        <v>0</v>
      </c>
      <c r="T92" s="8" cm="1">
        <f t="array" ref="T92">IF(
    AND($H92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($H92 / 1000) * T$10 * $BN$4 * 0.25
    ),
    0
)
+
IF(
    $N92 &lt; 0.875,
    MAX(0, MIN(($H92 / 1000) * T$10 * $BN$4, T$11 * 0.876) - (T$11 * $N92)) * 0.25,
    0
)</f>
        <v>0</v>
      </c>
      <c r="U92" s="8" cm="1">
        <f t="array" ref="U92">IF(
    AND($H92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($H92 / 1000) * U$10 * $BN$4 * 0.25
    ),
    0
)
+
IF(
    $N92 &lt; 0.875,
    MAX(0, MIN(($H92 / 1000) * U$10 * $BN$4, U$11 * 0.876) - (U$11 * $N92)) * 0.25,
    0
)</f>
        <v>0</v>
      </c>
      <c r="V92" s="8" cm="1">
        <f t="array" ref="V92">IF(
    AND($H92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($H92 / 1000) * V$10 * $BN$4 * 0.25
    ),
    0
)
+
IF(
    $N92 &lt; 0.875,
    MAX(0, MIN(($H92 / 1000) * V$10 * $BN$4, V$11 * 0.876) - (V$11 * $N92)) * 0.25,
    0
)</f>
        <v>0</v>
      </c>
      <c r="W92" s="8" cm="1">
        <f t="array" ref="W92">IF(
    AND($H92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($H92 / 1000) * W$10 * $BN$4 * 0.25
    ),
    0
)
+
IF(
    $N92 &lt; 0.875,
    MAX(0, MIN(($H92 / 1000) * W$10 * $BN$4, W$11 * 0.876) - (W$11 * $N92)) * 0.25,
    0
)</f>
        <v>0</v>
      </c>
      <c r="X92" s="8" cm="1">
        <f t="array" ref="X92">IF(
    AND($H92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($H92 / 1000) * X$10 * $BN$4 * 0.25
    ),
    0
)
+
IF(
    $N92 &lt; 0.875,
    MAX(0, MIN(($H92 / 1000) * X$10 * $BN$4, X$11 * 0.876) - (X$11 * $N92)) * 0.25,
    0
)</f>
        <v>0</v>
      </c>
      <c r="Y92" s="8" cm="1">
        <f t="array" ref="Y92">IF(
    AND($H92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($H92 / 1000) * Y$10 * $BN$4 * 0.25
    ),
    0
)
+
IF(
    $N92 &lt; 0.875,
    MAX(0, MIN(($H92 / 1000) * Y$10 * $BN$4, Y$11 * 0.876) - (Y$11 * $N92)) * 0.25,
    0
)</f>
        <v>0</v>
      </c>
      <c r="Z92" s="8" cm="1">
        <f t="array" ref="Z92">IF(
    AND($H92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($H92 / 1000) * Z$10 * $BN$4 * 0.25
    ),
    0
)
+
IF(
    $N92 &lt; 0.875,
    MAX(0, MIN(($H92 / 1000) * Z$10 * $BN$4, Z$11 * 0.876) - (Z$11 * $N92)) * 0.25,
    0
)</f>
        <v>0</v>
      </c>
      <c r="AA92" s="8">
        <f>AVERAGE(TabellaMar2026[[#This Row],[Colonna24]:[Colonna20]])</f>
        <v>0</v>
      </c>
      <c r="AB92" s="8">
        <f>MAX(TabellaMar2026[[#This Row],[Colonna24]:[Colonna20]])</f>
        <v>0</v>
      </c>
      <c r="AC92" s="35">
        <f>MIN(TabellaMar2026[[#This Row],[Colonna24]:[Colonna20]])</f>
        <v>0</v>
      </c>
      <c r="AD92" s="44">
        <f>SUM(TabellaMar2026[[#This Row],[Colonna24]:[Colonna20]])</f>
        <v>0</v>
      </c>
      <c r="AE92" s="36">
        <f>IF(
    AND($H92 &gt; $BN$7, Tabella01MarzoInverter[[#This Row],[Active power TX2-INV-1]] &lt;= 0, Tabella01MarzoInverter[[#This Row],[TX2 - Average Power]] &lt;= 0),
    MIN(($H92 / 1000) * AE$10 * $BN$4, AE$11 * 0.876) * 0.25,
    IF(
        AND($H92 &gt; $BN$7, Tabella01MarzoInverter[[#This Row],[Active power TX2-INV-1]] &lt;= 0),
        Tabella01MarzoInverter[[#This Row],[TX2 - Average Power]] * 0.25,
        0
    )
    +
    IF(
        $N92 &lt; 0.875,
        MAX(0, MIN(($H92 / 1000) * AE$10 * $BN$4, AE$11 * 0.876) - (AE$11 * $N92)) * 0.25,
        0
    )
)</f>
        <v>0</v>
      </c>
      <c r="AF92" s="36">
        <f>IF(
    AND($H92 &gt; $BN$7, Tabella01MarzoInverter[[#This Row],[Active power TX2-INV-2]] &lt;= 0, Tabella01MarzoInverter[[#This Row],[TX2 - Max Power]] &lt;= 0),
    MIN(($H92 / 1000) * AF$10 * $BN$4, AF$11 * 0.876) * 0.25,
    IF(
        AND($H92 &gt; $BN$7, Tabella01MarzoInverter[[#This Row],[Active power TX2-INV-2]] &lt;= 0),
        Tabella01MarzoInverter[[#This Row],[TX2 - Max Power]] * 0.25,
        0
    )
    +
    IF(
        $N92 &lt; 0.875,
        MAX(0, MIN(($H92 / 1000) * AF$10 * $BN$4, AF$11 * 0.876) - (AF$11 * $N92)) * 0.25,
        0
    )
)</f>
        <v>0</v>
      </c>
      <c r="AG92" s="36">
        <f>IF(
    AND($H92 &gt; $BN$7, Tabella01MarzoInverter[[#This Row],[Active power TX2-INV-3]] &lt;= 0, Tabella01MarzoInverter[[#This Row],[TX2 - Min Power]] &lt;= 0),
    MIN(($H92 / 1000) * AG$10 * $BN$4, AG$11 * 0.876) * 0.25,
    IF(
        AND($H92 &gt; $BN$7, Tabella01MarzoInverter[[#This Row],[Active power TX2-INV-3]] &lt;= 0),
        Tabella01MarzoInverter[[#This Row],[TX2 - Min Power]] * 0.25,
        0
    )
    +
    IF(
        $N92 &lt; 0.875,
        MAX(0, MIN(($H92 / 1000) * AG$10 * $BN$4, AG$11 * 0.876) - (AG$11 * $N92)) * 0.25,
        0
    )
)</f>
        <v>0</v>
      </c>
      <c r="AH92" s="36">
        <f>IF(
    AND($H92 &gt; $BN$7, Tabella01MarzoInverter[[#This Row],[Active power TX2-INV-4]] &lt;= 0, Tabella01MarzoInverter[[#This Row],[Active power TX3-INV-1]] &lt;= 0),
    MIN(($H92 / 1000) * AH$10 * $BN$4, AH$11 * 0.876) * 0.25,
    IF(
        AND($H92 &gt; $BN$7, Tabella01MarzoInverter[[#This Row],[Active power TX2-INV-4]] &lt;= 0),
        Tabella01MarzoInverter[[#This Row],[Active power TX3-INV-1]] * 0.25,
        0
    )
    +
    IF(
        $N92 &lt; 0.875,
        MAX(0, MIN(($H92 / 1000) * AH$10 * $BN$4, AH$11 * 0.876) - (AH$11 * $N92)) * 0.25,
        0
    )
)</f>
        <v>0</v>
      </c>
      <c r="AI92" s="36">
        <f>IF(
    AND($H92 &gt; $BN$7, Tabella01MarzoInverter[[#This Row],[Active power TX2-INV-5]] &lt;= 0, Tabella01MarzoInverter[[#This Row],[Active power TX3-INV-2]] &lt;= 0),
    MIN(($H92 / 1000) * AI$10 * $BN$4, AI$11 * 0.876) * 0.25,
    IF(
        AND($H92 &gt; $BN$7, Tabella01MarzoInverter[[#This Row],[Active power TX2-INV-5]] &lt;= 0),
        Tabella01MarzoInverter[[#This Row],[Active power TX3-INV-2]] * 0.25,
        0
    )
    +
    IF(
        $N92 &lt; 0.875,
        MAX(0, MIN(($H92 / 1000) * AI$10 * $BN$4, AI$11 * 0.876) - (AI$11 * $N92)) * 0.25,
        0
    )
)</f>
        <v>0</v>
      </c>
      <c r="AJ92" s="36">
        <f>IF(
    AND($H92 &gt; $BN$7, Tabella01MarzoInverter[[#This Row],[Active power TX2-INV-6]] &lt;= 0, Tabella01MarzoInverter[[#This Row],[Active power TX3-INV-3]] &lt;= 0),
    MIN(($H92 / 1000) * AJ$10 * $BN$4, AJ$11 * 0.876) * 0.25,
    IF(
        AND($H92 &gt; $BN$7, Tabella01MarzoInverter[[#This Row],[Active power TX2-INV-6]] &lt;= 0),
        Tabella01MarzoInverter[[#This Row],[Active power TX3-INV-3]] * 0.25,
        0
    )
    +
    IF(
        $N92 &lt; 0.875,
        MAX(0, MIN(($H92 / 1000) * AJ$10 * $BN$4, AJ$11 * 0.876) - (AJ$11 * $N92)) * 0.25,
        0
    )
)</f>
        <v>0</v>
      </c>
      <c r="AK92" s="36">
        <f>IF(
    AND($H92 &gt; $BN$7, Tabella01MarzoInverter[[#This Row],[Active power TX2-INV-7]] &lt;= 0, Tabella01MarzoInverter[[#This Row],[Active power TX3-INV-4]] &lt;= 0),
    MIN(($H92 / 1000) * AK$10 * $BN$4, AK$11 * 0.876) * 0.25,
    IF(
        AND($H92 &gt; $BN$7, Tabella01MarzoInverter[[#This Row],[Active power TX2-INV-7]] &lt;= 0),
        Tabella01MarzoInverter[[#This Row],[Active power TX3-INV-4]] * 0.25,
        0
    )
    +
    IF(
        $N92 &lt; 0.875,
        MAX(0, MIN(($H92 / 1000) * AK$10 * $BN$4, AK$11 * 0.876) - (AK$11 * $N92)) * 0.25,
        0
    )
)</f>
        <v>0</v>
      </c>
      <c r="AL92" s="36">
        <f>IF(
    AND($H92 &gt; $BN$7, Tabella01MarzoInverter[[#This Row],[Active power TX2-INV-8]] &lt;= 0, Tabella01MarzoInverter[[#This Row],[Active power TX3-INV-5]] &lt;= 0),
    MIN(($H92 / 1000) * AL$10 * $BN$4, AL$11 * 0.876) * 0.25,
    IF(
        AND($H92 &gt; $BN$7, Tabella01MarzoInverter[[#This Row],[Active power TX2-INV-8]] &lt;= 0),
        Tabella01MarzoInverter[[#This Row],[Active power TX3-INV-5]] * 0.25,
        0
    )
    +
    IF(
        $N92 &lt; 0.875,
        MAX(0, MIN(($H92 / 1000) * AL$10 * $BN$4, AL$11 * 0.876) - (AL$11 * $N92)) * 0.25,
        0
    )
)</f>
        <v>0</v>
      </c>
      <c r="AM92" s="36">
        <f>IF(
    AND($H92 &gt; $BN$7, Tabella01MarzoInverter[[#This Row],[Active power TX2-INV-9]] &lt;= 0, Tabella01MarzoInverter[[#This Row],[Active power TX3-INV-6]] &lt;= 0),
    MIN(($H92 / 1000) * AM$10 * $BN$4, AM$11 * 0.876) * 0.25,
    IF(
        AND($H92 &gt; $BN$7, Tabella01MarzoInverter[[#This Row],[Active power TX2-INV-9]] &lt;= 0),
        Tabella01MarzoInverter[[#This Row],[Active power TX3-INV-6]] * 0.25,
        0
    )
    +
    IF(
        $N92 &lt; 0.875,
        MAX(0, MIN(($H92 / 1000) * AM$10 * $BN$4, AM$11 * 0.876) - (AM$11 * $N92)) * 0.25,
        0
    )
)</f>
        <v>0</v>
      </c>
      <c r="AN92" s="36">
        <f>IF(
    AND($H92 &gt; $BN$7, Tabella01MarzoInverter[[#This Row],[Active power TX2-INV-10]] &lt;= 0, Tabella01MarzoInverter[[#This Row],[Active power TX3-INV-7]] &lt;= 0),
    MIN(($H92 / 1000) * AN$10 * $BN$4, AN$11 * 0.876) * 0.25,
    IF(
        AND($H92 &gt; $BN$7, Tabella01MarzoInverter[[#This Row],[Active power TX2-INV-10]] &lt;= 0),
        Tabella01MarzoInverter[[#This Row],[Active power TX3-INV-7]] * 0.25,
        0
    )
    +
    IF(
        $N92 &lt; 0.875,
        MAX(0, MIN(($H92 / 1000) * AN$10 * $BN$4, AN$11 * 0.876) - (AN$11 * $N92)) * 0.25,
        0
    )
)</f>
        <v>0</v>
      </c>
      <c r="AO92" s="36">
        <f>IF(
    AND($H92 &gt; $BN$7, Tabella01MarzoInverter[[#This Row],[Active power TX2-INV-11]] &lt;= 0, Tabella01MarzoInverter[[#This Row],[Active power TX3-INV-8]] &lt;= 0),
    MIN(($H92 / 1000) * AO$10 * $BN$4, AO$11 * 0.876) * 0.25,
    IF(
        AND($H92 &gt; $BN$7, Tabella01MarzoInverter[[#This Row],[Active power TX2-INV-11]] &lt;= 0),
        Tabella01MarzoInverter[[#This Row],[Active power TX3-INV-8]] * 0.25,
        0
    )
    +
    IF(
        $N92 &lt; 0.875,
        MAX(0, MIN(($H92 / 1000) * AO$10 * $BN$4, AO$11 * 0.876) - (AO$11 * $N92)) * 0.25,
        0
    )
)</f>
        <v>0</v>
      </c>
      <c r="AP92" s="36">
        <f>IF(
    AND($H92 &gt; $BN$7, Tabella01MarzoInverter[[#This Row],[Active power TX2-INV-12]] &lt;= 0, Tabella01MarzoInverter[[#This Row],[Active power TX3-INV-9]] &lt;= 0),
    MIN(($H92 / 1000) * AP$10 * $BN$4, AP$11 * 0.876) * 0.25,
    IF(
        AND($H92 &gt; $BN$7, Tabella01MarzoInverter[[#This Row],[Active power TX2-INV-12]] &lt;= 0),
        Tabella01MarzoInverter[[#This Row],[Active power TX3-INV-9]] * 0.25,
        0
    )
    +
    IF(
        $N92 &lt; 0.875,
        MAX(0, MIN(($H92 / 1000) * AP$10 * $BN$4, AP$11 * 0.876) - (AP$11 * $N92)) * 0.25,
        0
    )
)</f>
        <v>0</v>
      </c>
      <c r="AQ92" s="8">
        <f>AVERAGE(TabellaMar2026[[#This Row],[Colonna39]:[Colonna6]])</f>
        <v>0</v>
      </c>
      <c r="AR92" s="8">
        <f>MAX(TabellaMar2026[[#This Row],[Colonna39]:[Colonna6]])</f>
        <v>0</v>
      </c>
      <c r="AS92" s="35">
        <f>MIN(TabellaMar2026[[#This Row],[Colonna39]:[Colonna6]])</f>
        <v>0</v>
      </c>
      <c r="AT92" s="48">
        <f>SUM(TabellaMar2026[[#This Row],[Colonna39]:[Colonna6]])</f>
        <v>0</v>
      </c>
      <c r="AU92" s="36" cm="1">
        <f t="array" ref="AU92">IF(
    AND($H92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($H92 / 1000) * AU$10 * $BN$4 * 0.25
    ),
    0
)
+
IF(
    $N92 &lt; 0.875,
    MAX(0, MIN(($H92 / 1000) * AU$10 * $BN$4, AU$11 * 0.876) - (AU$11 * $N92)) * 0.25,
    0
)</f>
        <v>0</v>
      </c>
      <c r="AV92" s="36" cm="1">
        <f t="array" ref="AV92">IF(
    AND($H92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($H92 / 1000) * AV$10 * $BN$4 * 0.25
    ),
    0
)
+
IF(
    $N92 &lt; 0.875,
    MAX(0, MIN(($H92 / 1000) * AV$10 * $BN$4, AV$11 * 0.876) - (AV$11 * $N92)) * 0.25,
    0
)</f>
        <v>0</v>
      </c>
      <c r="AW92" s="36" cm="1">
        <f t="array" ref="AW92">IF(
    AND($H92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($H92 / 1000) * AW$10 * $BN$4 * 0.25
    ),
    0
)
+
IF(
    $N92 &lt; 0.875,
    MAX(0, MIN(($H92 / 1000) * AW$10 * $BN$4, AW$11 * 0.876) - (AW$11 * $N92)) * 0.25,
    0
)</f>
        <v>0</v>
      </c>
      <c r="AX92" s="36" cm="1">
        <f t="array" ref="AX92">IF(
    AND($H92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($H92 / 1000) * AX$10 * $BN$4 * 0.25
    ),
    0
)
+
IF(
    $N92 &lt; 0.875,
    MAX(0, MIN(($H92 / 1000) * AX$10 * $BN$4, AX$11 * 0.876) - (AX$11 * $N92)) * 0.25,
    0
)</f>
        <v>0</v>
      </c>
      <c r="AY92" s="36" cm="1">
        <f t="array" ref="AY92">IF(
    AND($H92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($H92 / 1000) * AY$10 * $BN$4 * 0.25
    ),
    0
)
+
IF(
    $N92 &lt; 0.875,
    MAX(0, MIN(($H92 / 1000) * AY$10 * $BN$4, AY$11 * 0.876) - (AY$11 * $N92)) * 0.25,
    0
)</f>
        <v>0</v>
      </c>
      <c r="AZ92" s="36" cm="1">
        <f t="array" ref="AZ92">IF(
    AND($H92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($H92 / 1000) * AZ$10 * $BN$4 * 0.25
    ),
    0
)
+
IF(
    $N92 &lt; 0.875,
    MAX(0, MIN(($H92 / 1000) * AZ$10 * $BN$4, AZ$11 * 0.876) - (AZ$11 * $N92)) * 0.25,
    0
)</f>
        <v>0</v>
      </c>
      <c r="BA92" s="36" cm="1">
        <f t="array" ref="BA92">IF(
    AND($H92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($H92 / 1000) * BA$10 * $BN$4 * 0.25
    ),
    0
)
+
IF(
    $N92 &lt; 0.875,
    MAX(0, MIN(($H92 / 1000) * BA$10 * $BN$4, BA$11 * 0.876) - (BA$11 * $N92)) * 0.25,
    0
)</f>
        <v>0</v>
      </c>
      <c r="BB92" s="36" cm="1">
        <f t="array" ref="BB92">IF(
    AND($H92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($H92 / 1000) * BB$10 * $BN$4 * 0.25
    ),
    0
)
+
IF(
    $N92 &lt; 0.875,
    MAX(0, MIN(($H92 / 1000) * BB$10 * $BN$4, BB$11 * 0.876) - (BB$11 * $N92)) * 0.25,
    0
)</f>
        <v>0</v>
      </c>
      <c r="BC92" s="36" cm="1">
        <f t="array" ref="BC92">IF(
    AND($H92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($H92 / 1000) * BC$10 * $BN$4 * 0.25
    ),
    0
)
+
IF(
    $N92 &lt; 0.875,
    MAX(0, MIN(($H92 / 1000) * BC$10 * $BN$4, BC$11 * 0.876) - (BC$11 * $N92)) * 0.25,
    0
)</f>
        <v>0</v>
      </c>
      <c r="BD92" s="36" cm="1">
        <f t="array" ref="BD92">IF(
    AND($H92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($H92 / 1000) * BD$10 * $BN$4 * 0.25
    ),
    0
)
+
IF(
    $N92 &lt; 0.875,
    MAX(0, MIN(($H92 / 1000) * BD$10 * $BN$4, BD$11 * 0.876) - (BD$11 * $N92)) * 0.25,
    0
)</f>
        <v>0</v>
      </c>
      <c r="BE92" s="36" cm="1">
        <f t="array" ref="BE92">IF(
    AND($H92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($H92 / 1000) * BE$10 * $BN$4 * 0.25
    ),
    0
)
+
IF(
    $N92 &lt; 0.875,
    MAX(0, MIN(($H92 / 1000) * BE$10 * $BN$4, BE$11 * 0.876) - (BE$11 * $N92)) * 0.25,
    0
)</f>
        <v>0</v>
      </c>
      <c r="BF92" s="36" cm="1">
        <f t="array" ref="BF92">IF(
    AND($H92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($H92 / 1000) * BF$10 * $BN$4 * 0.25
    ),
    0
)
+
IF(
    $N92 &lt; 0.875,
    MAX(0, MIN(($H92 / 1000) * BF$10 * $BN$4, BF$11 * 0.876) - (BF$11 * $N92)) * 0.25,
    0
)</f>
        <v>0</v>
      </c>
      <c r="BG92" s="8">
        <f>AVERAGE(TabellaMar2026[[#This Row],[Colonna55]:[Colonna53]])</f>
        <v>0</v>
      </c>
      <c r="BH92" s="8">
        <f>MAX(TabellaMar2026[[#This Row],[Colonna55]:[Colonna53]])</f>
        <v>0</v>
      </c>
      <c r="BI92" s="35">
        <f>MIN(TabellaMar2026[[#This Row],[Colonna55]:[Colonna53]])</f>
        <v>0</v>
      </c>
      <c r="BJ92" s="48">
        <f>SUM(TabellaMar2026[[#This Row],[Colonna54]:[Colonna53]])</f>
        <v>0</v>
      </c>
      <c r="BK92" s="54">
        <f>(SUM(Tabella01MarzoInverter[[Active power TX1-INV-1]:[Active power TX3-INV-12]]) * 0.25) / (12625 * (SUM($G$15:$H$110) * 0.25 / 1000))</f>
        <v>1.014229628761051</v>
      </c>
      <c r="BL92" s="5"/>
      <c r="BM92" s="5"/>
      <c r="BN92" s="5"/>
      <c r="BO92" s="8"/>
      <c r="BP92" s="19"/>
    </row>
    <row r="93" spans="1:68" x14ac:dyDescent="0.25">
      <c r="A93" s="18">
        <v>46147</v>
      </c>
      <c r="B93" t="s">
        <v>93</v>
      </c>
      <c r="C93" s="5">
        <v>43.4</v>
      </c>
      <c r="D93" s="6">
        <v>1.085E-2</v>
      </c>
      <c r="E93" s="6">
        <v>45.6</v>
      </c>
      <c r="F93" s="6">
        <v>1.14E-2</v>
      </c>
      <c r="G93" s="6">
        <f>IFERROR((D93+F93)/2, 0)</f>
        <v>1.1124999999999999E-2</v>
      </c>
      <c r="H93" s="7">
        <f>IFERROR(IF(AVERAGE(C93,E93)&gt;$BN$7,AVERAGE(C93,E93),0), 0)</f>
        <v>0</v>
      </c>
      <c r="I93" s="7">
        <f>IFERROR(IF(AND(D93=0,F93=0),0,IF(H93&gt;$BN$6,MAX(D93,F93),G93)), 0)</f>
        <v>1.1124999999999999E-2</v>
      </c>
      <c r="J93" s="6">
        <f>IFERROR(IF(AND(D93&gt;0,F93&gt;0),ABS(D93-F93)/AVERAGE(D93,F93),0), 0)</f>
        <v>4.9438202247191025E-2</v>
      </c>
      <c r="K93" s="6">
        <v>30467.599999999999</v>
      </c>
      <c r="L93" s="6">
        <v>30467.7</v>
      </c>
      <c r="M93" s="8">
        <f>IFERROR((L93-K93)*1000, 0)</f>
        <v>100.00000000218279</v>
      </c>
      <c r="N93" s="6">
        <v>0.87599999999999989</v>
      </c>
      <c r="O93" s="8" cm="1">
        <f t="array" ref="O93">IF(
    AND($H93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($H93 / 1000) * O$10 * $BN$4 * 0.25
    ),
    0
)
+
IF(
    $N93 &lt; 0.875,
    MAX(0, MIN(($H93 / 1000) * O$10 * $BN$4, O$11 * 0.876) - (O$11 * $N93)) * 0.25,
    0
)</f>
        <v>0</v>
      </c>
      <c r="P93" s="8" cm="1">
        <f t="array" ref="P93">IF(
    AND($H93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($H93 / 1000) * P$10 * $BN$4 * 0.25
    ),
    0
)
+
IF(
    $N93 &lt; 0.875,
    MAX(0, MIN(($H93 / 1000) * P$10 * $BN$4, P$11 * 0.876) - (P$11 * $N93)) * 0.25,
    0
)</f>
        <v>0</v>
      </c>
      <c r="Q93" s="8" cm="1">
        <f t="array" ref="Q93">IF(
    AND($H93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($H93 / 1000) * Q$10 * $BN$4 * 0.25
    ),
    0
)
+
IF(
    $N93 &lt; 0.875,
    MAX(0, MIN(($H93 / 1000) * Q$10 * $BN$4, Q$11 * 0.876) - (Q$11 * $N93)) * 0.25,
    0
)</f>
        <v>0</v>
      </c>
      <c r="R93" s="8" cm="1">
        <f t="array" ref="R93">IF(
    AND($H93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($H93 / 1000) * R$10 * $BN$4 * 0.25
    ),
    0
)
+
IF(
    $N93 &lt; 0.875,
    MAX(0, MIN(($H93 / 1000) * R$10 * $BN$4, R$11 * 0.876) - (R$11 * $N93)) * 0.25,
    0
)</f>
        <v>0</v>
      </c>
      <c r="S93" s="8" cm="1">
        <f t="array" ref="S93">IF(
    AND($H93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($H93 / 1000) * S$10 * $BN$4 * 0.25
    ),
    0
)
+
IF(
    $N93 &lt; 0.875,
    MAX(0, MIN(($H93 / 1000) * S$10 * $BN$4, S$11 * 0.876) - (S$11 * $N93)) * 0.25,
    0
)</f>
        <v>0</v>
      </c>
      <c r="T93" s="8" cm="1">
        <f t="array" ref="T93">IF(
    AND($H93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($H93 / 1000) * T$10 * $BN$4 * 0.25
    ),
    0
)
+
IF(
    $N93 &lt; 0.875,
    MAX(0, MIN(($H93 / 1000) * T$10 * $BN$4, T$11 * 0.876) - (T$11 * $N93)) * 0.25,
    0
)</f>
        <v>0</v>
      </c>
      <c r="U93" s="8" cm="1">
        <f t="array" ref="U93">IF(
    AND($H93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($H93 / 1000) * U$10 * $BN$4 * 0.25
    ),
    0
)
+
IF(
    $N93 &lt; 0.875,
    MAX(0, MIN(($H93 / 1000) * U$10 * $BN$4, U$11 * 0.876) - (U$11 * $N93)) * 0.25,
    0
)</f>
        <v>0</v>
      </c>
      <c r="V93" s="8" cm="1">
        <f t="array" ref="V93">IF(
    AND($H93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($H93 / 1000) * V$10 * $BN$4 * 0.25
    ),
    0
)
+
IF(
    $N93 &lt; 0.875,
    MAX(0, MIN(($H93 / 1000) * V$10 * $BN$4, V$11 * 0.876) - (V$11 * $N93)) * 0.25,
    0
)</f>
        <v>0</v>
      </c>
      <c r="W93" s="8" cm="1">
        <f t="array" ref="W93">IF(
    AND($H93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($H93 / 1000) * W$10 * $BN$4 * 0.25
    ),
    0
)
+
IF(
    $N93 &lt; 0.875,
    MAX(0, MIN(($H93 / 1000) * W$10 * $BN$4, W$11 * 0.876) - (W$11 * $N93)) * 0.25,
    0
)</f>
        <v>0</v>
      </c>
      <c r="X93" s="8" cm="1">
        <f t="array" ref="X93">IF(
    AND($H93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($H93 / 1000) * X$10 * $BN$4 * 0.25
    ),
    0
)
+
IF(
    $N93 &lt; 0.875,
    MAX(0, MIN(($H93 / 1000) * X$10 * $BN$4, X$11 * 0.876) - (X$11 * $N93)) * 0.25,
    0
)</f>
        <v>0</v>
      </c>
      <c r="Y93" s="8" cm="1">
        <f t="array" ref="Y93">IF(
    AND($H93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($H93 / 1000) * Y$10 * $BN$4 * 0.25
    ),
    0
)
+
IF(
    $N93 &lt; 0.875,
    MAX(0, MIN(($H93 / 1000) * Y$10 * $BN$4, Y$11 * 0.876) - (Y$11 * $N93)) * 0.25,
    0
)</f>
        <v>0</v>
      </c>
      <c r="Z93" s="8" cm="1">
        <f t="array" ref="Z93">IF(
    AND($H93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($H93 / 1000) * Z$10 * $BN$4 * 0.25
    ),
    0
)
+
IF(
    $N93 &lt; 0.875,
    MAX(0, MIN(($H93 / 1000) * Z$10 * $BN$4, Z$11 * 0.876) - (Z$11 * $N93)) * 0.25,
    0
)</f>
        <v>0</v>
      </c>
      <c r="AA93" s="8">
        <f>AVERAGE(TabellaMar2026[[#This Row],[Colonna24]:[Colonna20]])</f>
        <v>0</v>
      </c>
      <c r="AB93" s="8">
        <f>MAX(TabellaMar2026[[#This Row],[Colonna24]:[Colonna20]])</f>
        <v>0</v>
      </c>
      <c r="AC93" s="35">
        <f>MIN(TabellaMar2026[[#This Row],[Colonna24]:[Colonna20]])</f>
        <v>0</v>
      </c>
      <c r="AD93" s="44">
        <f>SUM(TabellaMar2026[[#This Row],[Colonna24]:[Colonna20]])</f>
        <v>0</v>
      </c>
      <c r="AE93" s="36">
        <f>IF(
    AND($H93 &gt; $BN$7, Tabella01MarzoInverter[[#This Row],[Active power TX2-INV-1]] &lt;= 0, Tabella01MarzoInverter[[#This Row],[TX2 - Average Power]] &lt;= 0),
    MIN(($H93 / 1000) * AE$10 * $BN$4, AE$11 * 0.876) * 0.25,
    IF(
        AND($H93 &gt; $BN$7, Tabella01MarzoInverter[[#This Row],[Active power TX2-INV-1]] &lt;= 0),
        Tabella01MarzoInverter[[#This Row],[TX2 - Average Power]] * 0.25,
        0
    )
    +
    IF(
        $N93 &lt; 0.875,
        MAX(0, MIN(($H93 / 1000) * AE$10 * $BN$4, AE$11 * 0.876) - (AE$11 * $N93)) * 0.25,
        0
    )
)</f>
        <v>0</v>
      </c>
      <c r="AF93" s="36">
        <f>IF(
    AND($H93 &gt; $BN$7, Tabella01MarzoInverter[[#This Row],[Active power TX2-INV-2]] &lt;= 0, Tabella01MarzoInverter[[#This Row],[TX2 - Max Power]] &lt;= 0),
    MIN(($H93 / 1000) * AF$10 * $BN$4, AF$11 * 0.876) * 0.25,
    IF(
        AND($H93 &gt; $BN$7, Tabella01MarzoInverter[[#This Row],[Active power TX2-INV-2]] &lt;= 0),
        Tabella01MarzoInverter[[#This Row],[TX2 - Max Power]] * 0.25,
        0
    )
    +
    IF(
        $N93 &lt; 0.875,
        MAX(0, MIN(($H93 / 1000) * AF$10 * $BN$4, AF$11 * 0.876) - (AF$11 * $N93)) * 0.25,
        0
    )
)</f>
        <v>0</v>
      </c>
      <c r="AG93" s="36">
        <f>IF(
    AND($H93 &gt; $BN$7, Tabella01MarzoInverter[[#This Row],[Active power TX2-INV-3]] &lt;= 0, Tabella01MarzoInverter[[#This Row],[TX2 - Min Power]] &lt;= 0),
    MIN(($H93 / 1000) * AG$10 * $BN$4, AG$11 * 0.876) * 0.25,
    IF(
        AND($H93 &gt; $BN$7, Tabella01MarzoInverter[[#This Row],[Active power TX2-INV-3]] &lt;= 0),
        Tabella01MarzoInverter[[#This Row],[TX2 - Min Power]] * 0.25,
        0
    )
    +
    IF(
        $N93 &lt; 0.875,
        MAX(0, MIN(($H93 / 1000) * AG$10 * $BN$4, AG$11 * 0.876) - (AG$11 * $N93)) * 0.25,
        0
    )
)</f>
        <v>0</v>
      </c>
      <c r="AH93" s="36">
        <f>IF(
    AND($H93 &gt; $BN$7, Tabella01MarzoInverter[[#This Row],[Active power TX2-INV-4]] &lt;= 0, Tabella01MarzoInverter[[#This Row],[Active power TX3-INV-1]] &lt;= 0),
    MIN(($H93 / 1000) * AH$10 * $BN$4, AH$11 * 0.876) * 0.25,
    IF(
        AND($H93 &gt; $BN$7, Tabella01MarzoInverter[[#This Row],[Active power TX2-INV-4]] &lt;= 0),
        Tabella01MarzoInverter[[#This Row],[Active power TX3-INV-1]] * 0.25,
        0
    )
    +
    IF(
        $N93 &lt; 0.875,
        MAX(0, MIN(($H93 / 1000) * AH$10 * $BN$4, AH$11 * 0.876) - (AH$11 * $N93)) * 0.25,
        0
    )
)</f>
        <v>0</v>
      </c>
      <c r="AI93" s="36">
        <f>IF(
    AND($H93 &gt; $BN$7, Tabella01MarzoInverter[[#This Row],[Active power TX2-INV-5]] &lt;= 0, Tabella01MarzoInverter[[#This Row],[Active power TX3-INV-2]] &lt;= 0),
    MIN(($H93 / 1000) * AI$10 * $BN$4, AI$11 * 0.876) * 0.25,
    IF(
        AND($H93 &gt; $BN$7, Tabella01MarzoInverter[[#This Row],[Active power TX2-INV-5]] &lt;= 0),
        Tabella01MarzoInverter[[#This Row],[Active power TX3-INV-2]] * 0.25,
        0
    )
    +
    IF(
        $N93 &lt; 0.875,
        MAX(0, MIN(($H93 / 1000) * AI$10 * $BN$4, AI$11 * 0.876) - (AI$11 * $N93)) * 0.25,
        0
    )
)</f>
        <v>0</v>
      </c>
      <c r="AJ93" s="36">
        <f>IF(
    AND($H93 &gt; $BN$7, Tabella01MarzoInverter[[#This Row],[Active power TX2-INV-6]] &lt;= 0, Tabella01MarzoInverter[[#This Row],[Active power TX3-INV-3]] &lt;= 0),
    MIN(($H93 / 1000) * AJ$10 * $BN$4, AJ$11 * 0.876) * 0.25,
    IF(
        AND($H93 &gt; $BN$7, Tabella01MarzoInverter[[#This Row],[Active power TX2-INV-6]] &lt;= 0),
        Tabella01MarzoInverter[[#This Row],[Active power TX3-INV-3]] * 0.25,
        0
    )
    +
    IF(
        $N93 &lt; 0.875,
        MAX(0, MIN(($H93 / 1000) * AJ$10 * $BN$4, AJ$11 * 0.876) - (AJ$11 * $N93)) * 0.25,
        0
    )
)</f>
        <v>0</v>
      </c>
      <c r="AK93" s="36">
        <f>IF(
    AND($H93 &gt; $BN$7, Tabella01MarzoInverter[[#This Row],[Active power TX2-INV-7]] &lt;= 0, Tabella01MarzoInverter[[#This Row],[Active power TX3-INV-4]] &lt;= 0),
    MIN(($H93 / 1000) * AK$10 * $BN$4, AK$11 * 0.876) * 0.25,
    IF(
        AND($H93 &gt; $BN$7, Tabella01MarzoInverter[[#This Row],[Active power TX2-INV-7]] &lt;= 0),
        Tabella01MarzoInverter[[#This Row],[Active power TX3-INV-4]] * 0.25,
        0
    )
    +
    IF(
        $N93 &lt; 0.875,
        MAX(0, MIN(($H93 / 1000) * AK$10 * $BN$4, AK$11 * 0.876) - (AK$11 * $N93)) * 0.25,
        0
    )
)</f>
        <v>0</v>
      </c>
      <c r="AL93" s="36">
        <f>IF(
    AND($H93 &gt; $BN$7, Tabella01MarzoInverter[[#This Row],[Active power TX2-INV-8]] &lt;= 0, Tabella01MarzoInverter[[#This Row],[Active power TX3-INV-5]] &lt;= 0),
    MIN(($H93 / 1000) * AL$10 * $BN$4, AL$11 * 0.876) * 0.25,
    IF(
        AND($H93 &gt; $BN$7, Tabella01MarzoInverter[[#This Row],[Active power TX2-INV-8]] &lt;= 0),
        Tabella01MarzoInverter[[#This Row],[Active power TX3-INV-5]] * 0.25,
        0
    )
    +
    IF(
        $N93 &lt; 0.875,
        MAX(0, MIN(($H93 / 1000) * AL$10 * $BN$4, AL$11 * 0.876) - (AL$11 * $N93)) * 0.25,
        0
    )
)</f>
        <v>0</v>
      </c>
      <c r="AM93" s="36">
        <f>IF(
    AND($H93 &gt; $BN$7, Tabella01MarzoInverter[[#This Row],[Active power TX2-INV-9]] &lt;= 0, Tabella01MarzoInverter[[#This Row],[Active power TX3-INV-6]] &lt;= 0),
    MIN(($H93 / 1000) * AM$10 * $BN$4, AM$11 * 0.876) * 0.25,
    IF(
        AND($H93 &gt; $BN$7, Tabella01MarzoInverter[[#This Row],[Active power TX2-INV-9]] &lt;= 0),
        Tabella01MarzoInverter[[#This Row],[Active power TX3-INV-6]] * 0.25,
        0
    )
    +
    IF(
        $N93 &lt; 0.875,
        MAX(0, MIN(($H93 / 1000) * AM$10 * $BN$4, AM$11 * 0.876) - (AM$11 * $N93)) * 0.25,
        0
    )
)</f>
        <v>0</v>
      </c>
      <c r="AN93" s="36">
        <f>IF(
    AND($H93 &gt; $BN$7, Tabella01MarzoInverter[[#This Row],[Active power TX2-INV-10]] &lt;= 0, Tabella01MarzoInverter[[#This Row],[Active power TX3-INV-7]] &lt;= 0),
    MIN(($H93 / 1000) * AN$10 * $BN$4, AN$11 * 0.876) * 0.25,
    IF(
        AND($H93 &gt; $BN$7, Tabella01MarzoInverter[[#This Row],[Active power TX2-INV-10]] &lt;= 0),
        Tabella01MarzoInverter[[#This Row],[Active power TX3-INV-7]] * 0.25,
        0
    )
    +
    IF(
        $N93 &lt; 0.875,
        MAX(0, MIN(($H93 / 1000) * AN$10 * $BN$4, AN$11 * 0.876) - (AN$11 * $N93)) * 0.25,
        0
    )
)</f>
        <v>0</v>
      </c>
      <c r="AO93" s="36">
        <f>IF(
    AND($H93 &gt; $BN$7, Tabella01MarzoInverter[[#This Row],[Active power TX2-INV-11]] &lt;= 0, Tabella01MarzoInverter[[#This Row],[Active power TX3-INV-8]] &lt;= 0),
    MIN(($H93 / 1000) * AO$10 * $BN$4, AO$11 * 0.876) * 0.25,
    IF(
        AND($H93 &gt; $BN$7, Tabella01MarzoInverter[[#This Row],[Active power TX2-INV-11]] &lt;= 0),
        Tabella01MarzoInverter[[#This Row],[Active power TX3-INV-8]] * 0.25,
        0
    )
    +
    IF(
        $N93 &lt; 0.875,
        MAX(0, MIN(($H93 / 1000) * AO$10 * $BN$4, AO$11 * 0.876) - (AO$11 * $N93)) * 0.25,
        0
    )
)</f>
        <v>0</v>
      </c>
      <c r="AP93" s="36">
        <f>IF(
    AND($H93 &gt; $BN$7, Tabella01MarzoInverter[[#This Row],[Active power TX2-INV-12]] &lt;= 0, Tabella01MarzoInverter[[#This Row],[Active power TX3-INV-9]] &lt;= 0),
    MIN(($H93 / 1000) * AP$10 * $BN$4, AP$11 * 0.876) * 0.25,
    IF(
        AND($H93 &gt; $BN$7, Tabella01MarzoInverter[[#This Row],[Active power TX2-INV-12]] &lt;= 0),
        Tabella01MarzoInverter[[#This Row],[Active power TX3-INV-9]] * 0.25,
        0
    )
    +
    IF(
        $N93 &lt; 0.875,
        MAX(0, MIN(($H93 / 1000) * AP$10 * $BN$4, AP$11 * 0.876) - (AP$11 * $N93)) * 0.25,
        0
    )
)</f>
        <v>0</v>
      </c>
      <c r="AQ93" s="8">
        <f>AVERAGE(TabellaMar2026[[#This Row],[Colonna39]:[Colonna6]])</f>
        <v>0</v>
      </c>
      <c r="AR93" s="8">
        <f>MAX(TabellaMar2026[[#This Row],[Colonna39]:[Colonna6]])</f>
        <v>0</v>
      </c>
      <c r="AS93" s="35">
        <f>MIN(TabellaMar2026[[#This Row],[Colonna39]:[Colonna6]])</f>
        <v>0</v>
      </c>
      <c r="AT93" s="48">
        <f>SUM(TabellaMar2026[[#This Row],[Colonna39]:[Colonna6]])</f>
        <v>0</v>
      </c>
      <c r="AU93" s="36" cm="1">
        <f t="array" ref="AU93">IF(
    AND($H93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($H93 / 1000) * AU$10 * $BN$4 * 0.25
    ),
    0
)
+
IF(
    $N93 &lt; 0.875,
    MAX(0, MIN(($H93 / 1000) * AU$10 * $BN$4, AU$11 * 0.876) - (AU$11 * $N93)) * 0.25,
    0
)</f>
        <v>0</v>
      </c>
      <c r="AV93" s="36" cm="1">
        <f t="array" ref="AV93">IF(
    AND($H93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($H93 / 1000) * AV$10 * $BN$4 * 0.25
    ),
    0
)
+
IF(
    $N93 &lt; 0.875,
    MAX(0, MIN(($H93 / 1000) * AV$10 * $BN$4, AV$11 * 0.876) - (AV$11 * $N93)) * 0.25,
    0
)</f>
        <v>0</v>
      </c>
      <c r="AW93" s="36" cm="1">
        <f t="array" ref="AW93">IF(
    AND($H93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($H93 / 1000) * AW$10 * $BN$4 * 0.25
    ),
    0
)
+
IF(
    $N93 &lt; 0.875,
    MAX(0, MIN(($H93 / 1000) * AW$10 * $BN$4, AW$11 * 0.876) - (AW$11 * $N93)) * 0.25,
    0
)</f>
        <v>0</v>
      </c>
      <c r="AX93" s="36" cm="1">
        <f t="array" ref="AX93">IF(
    AND($H93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($H93 / 1000) * AX$10 * $BN$4 * 0.25
    ),
    0
)
+
IF(
    $N93 &lt; 0.875,
    MAX(0, MIN(($H93 / 1000) * AX$10 * $BN$4, AX$11 * 0.876) - (AX$11 * $N93)) * 0.25,
    0
)</f>
        <v>0</v>
      </c>
      <c r="AY93" s="36" cm="1">
        <f t="array" ref="AY93">IF(
    AND($H93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($H93 / 1000) * AY$10 * $BN$4 * 0.25
    ),
    0
)
+
IF(
    $N93 &lt; 0.875,
    MAX(0, MIN(($H93 / 1000) * AY$10 * $BN$4, AY$11 * 0.876) - (AY$11 * $N93)) * 0.25,
    0
)</f>
        <v>0</v>
      </c>
      <c r="AZ93" s="36" cm="1">
        <f t="array" ref="AZ93">IF(
    AND($H93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($H93 / 1000) * AZ$10 * $BN$4 * 0.25
    ),
    0
)
+
IF(
    $N93 &lt; 0.875,
    MAX(0, MIN(($H93 / 1000) * AZ$10 * $BN$4, AZ$11 * 0.876) - (AZ$11 * $N93)) * 0.25,
    0
)</f>
        <v>0</v>
      </c>
      <c r="BA93" s="36" cm="1">
        <f t="array" ref="BA93">IF(
    AND($H93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($H93 / 1000) * BA$10 * $BN$4 * 0.25
    ),
    0
)
+
IF(
    $N93 &lt; 0.875,
    MAX(0, MIN(($H93 / 1000) * BA$10 * $BN$4, BA$11 * 0.876) - (BA$11 * $N93)) * 0.25,
    0
)</f>
        <v>0</v>
      </c>
      <c r="BB93" s="36" cm="1">
        <f t="array" ref="BB93">IF(
    AND($H93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($H93 / 1000) * BB$10 * $BN$4 * 0.25
    ),
    0
)
+
IF(
    $N93 &lt; 0.875,
    MAX(0, MIN(($H93 / 1000) * BB$10 * $BN$4, BB$11 * 0.876) - (BB$11 * $N93)) * 0.25,
    0
)</f>
        <v>0</v>
      </c>
      <c r="BC93" s="36" cm="1">
        <f t="array" ref="BC93">IF(
    AND($H93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($H93 / 1000) * BC$10 * $BN$4 * 0.25
    ),
    0
)
+
IF(
    $N93 &lt; 0.875,
    MAX(0, MIN(($H93 / 1000) * BC$10 * $BN$4, BC$11 * 0.876) - (BC$11 * $N93)) * 0.25,
    0
)</f>
        <v>0</v>
      </c>
      <c r="BD93" s="36" cm="1">
        <f t="array" ref="BD93">IF(
    AND($H93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($H93 / 1000) * BD$10 * $BN$4 * 0.25
    ),
    0
)
+
IF(
    $N93 &lt; 0.875,
    MAX(0, MIN(($H93 / 1000) * BD$10 * $BN$4, BD$11 * 0.876) - (BD$11 * $N93)) * 0.25,
    0
)</f>
        <v>0</v>
      </c>
      <c r="BE93" s="36" cm="1">
        <f t="array" ref="BE93">IF(
    AND($H93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($H93 / 1000) * BE$10 * $BN$4 * 0.25
    ),
    0
)
+
IF(
    $N93 &lt; 0.875,
    MAX(0, MIN(($H93 / 1000) * BE$10 * $BN$4, BE$11 * 0.876) - (BE$11 * $N93)) * 0.25,
    0
)</f>
        <v>0</v>
      </c>
      <c r="BF93" s="36" cm="1">
        <f t="array" ref="BF93">IF(
    AND($H93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($H93 / 1000) * BF$10 * $BN$4 * 0.25
    ),
    0
)
+
IF(
    $N93 &lt; 0.875,
    MAX(0, MIN(($H93 / 1000) * BF$10 * $BN$4, BF$11 * 0.876) - (BF$11 * $N93)) * 0.25,
    0
)</f>
        <v>0</v>
      </c>
      <c r="BG93" s="8">
        <f>AVERAGE(TabellaMar2026[[#This Row],[Colonna55]:[Colonna53]])</f>
        <v>0</v>
      </c>
      <c r="BH93" s="8">
        <f>MAX(TabellaMar2026[[#This Row],[Colonna55]:[Colonna53]])</f>
        <v>0</v>
      </c>
      <c r="BI93" s="35">
        <f>MIN(TabellaMar2026[[#This Row],[Colonna55]:[Colonna53]])</f>
        <v>0</v>
      </c>
      <c r="BJ93" s="48">
        <f>SUM(TabellaMar2026[[#This Row],[Colonna54]:[Colonna53]])</f>
        <v>0</v>
      </c>
      <c r="BK93" s="54">
        <f>(SUM(Tabella01MarzoInverter[[Active power TX1-INV-1]:[Active power TX3-INV-12]]) * 0.25) / (12625 * (SUM($G$15:$H$110) * 0.25 / 1000))</f>
        <v>1.014229628761051</v>
      </c>
      <c r="BL93" s="5"/>
      <c r="BM93" s="5"/>
      <c r="BN93" s="5"/>
      <c r="BO93" s="8"/>
      <c r="BP93" s="19"/>
    </row>
    <row r="94" spans="1:68" x14ac:dyDescent="0.25">
      <c r="A94" s="18">
        <v>46147</v>
      </c>
      <c r="B94" t="s">
        <v>94</v>
      </c>
      <c r="C94" s="5">
        <v>17.5</v>
      </c>
      <c r="D94" s="6">
        <v>4.3750000000000004E-3</v>
      </c>
      <c r="E94" s="6">
        <v>17.8</v>
      </c>
      <c r="F94" s="6">
        <v>4.45E-3</v>
      </c>
      <c r="G94" s="6">
        <f>IFERROR((D94+F94)/2, 0)</f>
        <v>4.4124999999999998E-3</v>
      </c>
      <c r="H94" s="7">
        <f>IFERROR(IF(AVERAGE(C94,E94)&gt;$BN$7,AVERAGE(C94,E94),0), 0)</f>
        <v>0</v>
      </c>
      <c r="I94" s="7">
        <f>IFERROR(IF(AND(D94=0,F94=0),0,IF(H94&gt;$BN$6,MAX(D94,F94),G94)), 0)</f>
        <v>4.4124999999999998E-3</v>
      </c>
      <c r="J94" s="6">
        <f>IFERROR(IF(AND(D94&gt;0,F94&gt;0),ABS(D94-F94)/AVERAGE(D94,F94),0), 0)</f>
        <v>1.6997167138810096E-2</v>
      </c>
      <c r="K94" s="6">
        <v>30467.7</v>
      </c>
      <c r="L94" s="6">
        <v>30467.8</v>
      </c>
      <c r="M94" s="8">
        <f>IFERROR((L94-K94)*1000, 0)</f>
        <v>99.999999998544808</v>
      </c>
      <c r="N94" s="6">
        <v>0.87599999999999989</v>
      </c>
      <c r="O94" s="8" cm="1">
        <f t="array" ref="O94">IF(
    AND($H94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($H94 / 1000) * O$10 * $BN$4 * 0.25
    ),
    0
)
+
IF(
    $N94 &lt; 0.875,
    MAX(0, MIN(($H94 / 1000) * O$10 * $BN$4, O$11 * 0.876) - (O$11 * $N94)) * 0.25,
    0
)</f>
        <v>0</v>
      </c>
      <c r="P94" s="8" cm="1">
        <f t="array" ref="P94">IF(
    AND($H94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($H94 / 1000) * P$10 * $BN$4 * 0.25
    ),
    0
)
+
IF(
    $N94 &lt; 0.875,
    MAX(0, MIN(($H94 / 1000) * P$10 * $BN$4, P$11 * 0.876) - (P$11 * $N94)) * 0.25,
    0
)</f>
        <v>0</v>
      </c>
      <c r="Q94" s="8" cm="1">
        <f t="array" ref="Q94">IF(
    AND($H94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($H94 / 1000) * Q$10 * $BN$4 * 0.25
    ),
    0
)
+
IF(
    $N94 &lt; 0.875,
    MAX(0, MIN(($H94 / 1000) * Q$10 * $BN$4, Q$11 * 0.876) - (Q$11 * $N94)) * 0.25,
    0
)</f>
        <v>0</v>
      </c>
      <c r="R94" s="8" cm="1">
        <f t="array" ref="R94">IF(
    AND($H94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($H94 / 1000) * R$10 * $BN$4 * 0.25
    ),
    0
)
+
IF(
    $N94 &lt; 0.875,
    MAX(0, MIN(($H94 / 1000) * R$10 * $BN$4, R$11 * 0.876) - (R$11 * $N94)) * 0.25,
    0
)</f>
        <v>0</v>
      </c>
      <c r="S94" s="8" cm="1">
        <f t="array" ref="S94">IF(
    AND($H94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($H94 / 1000) * S$10 * $BN$4 * 0.25
    ),
    0
)
+
IF(
    $N94 &lt; 0.875,
    MAX(0, MIN(($H94 / 1000) * S$10 * $BN$4, S$11 * 0.876) - (S$11 * $N94)) * 0.25,
    0
)</f>
        <v>0</v>
      </c>
      <c r="T94" s="8" cm="1">
        <f t="array" ref="T94">IF(
    AND($H94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($H94 / 1000) * T$10 * $BN$4 * 0.25
    ),
    0
)
+
IF(
    $N94 &lt; 0.875,
    MAX(0, MIN(($H94 / 1000) * T$10 * $BN$4, T$11 * 0.876) - (T$11 * $N94)) * 0.25,
    0
)</f>
        <v>0</v>
      </c>
      <c r="U94" s="8" cm="1">
        <f t="array" ref="U94">IF(
    AND($H94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($H94 / 1000) * U$10 * $BN$4 * 0.25
    ),
    0
)
+
IF(
    $N94 &lt; 0.875,
    MAX(0, MIN(($H94 / 1000) * U$10 * $BN$4, U$11 * 0.876) - (U$11 * $N94)) * 0.25,
    0
)</f>
        <v>0</v>
      </c>
      <c r="V94" s="8" cm="1">
        <f t="array" ref="V94">IF(
    AND($H94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($H94 / 1000) * V$10 * $BN$4 * 0.25
    ),
    0
)
+
IF(
    $N94 &lt; 0.875,
    MAX(0, MIN(($H94 / 1000) * V$10 * $BN$4, V$11 * 0.876) - (V$11 * $N94)) * 0.25,
    0
)</f>
        <v>0</v>
      </c>
      <c r="W94" s="8" cm="1">
        <f t="array" ref="W94">IF(
    AND($H94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($H94 / 1000) * W$10 * $BN$4 * 0.25
    ),
    0
)
+
IF(
    $N94 &lt; 0.875,
    MAX(0, MIN(($H94 / 1000) * W$10 * $BN$4, W$11 * 0.876) - (W$11 * $N94)) * 0.25,
    0
)</f>
        <v>0</v>
      </c>
      <c r="X94" s="8" cm="1">
        <f t="array" ref="X94">IF(
    AND($H94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($H94 / 1000) * X$10 * $BN$4 * 0.25
    ),
    0
)
+
IF(
    $N94 &lt; 0.875,
    MAX(0, MIN(($H94 / 1000) * X$10 * $BN$4, X$11 * 0.876) - (X$11 * $N94)) * 0.25,
    0
)</f>
        <v>0</v>
      </c>
      <c r="Y94" s="8" cm="1">
        <f t="array" ref="Y94">IF(
    AND($H94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($H94 / 1000) * Y$10 * $BN$4 * 0.25
    ),
    0
)
+
IF(
    $N94 &lt; 0.875,
    MAX(0, MIN(($H94 / 1000) * Y$10 * $BN$4, Y$11 * 0.876) - (Y$11 * $N94)) * 0.25,
    0
)</f>
        <v>0</v>
      </c>
      <c r="Z94" s="8" cm="1">
        <f t="array" ref="Z94">IF(
    AND($H94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($H94 / 1000) * Z$10 * $BN$4 * 0.25
    ),
    0
)
+
IF(
    $N94 &lt; 0.875,
    MAX(0, MIN(($H94 / 1000) * Z$10 * $BN$4, Z$11 * 0.876) - (Z$11 * $N94)) * 0.25,
    0
)</f>
        <v>0</v>
      </c>
      <c r="AA94" s="8">
        <f>AVERAGE(TabellaMar2026[[#This Row],[Colonna24]:[Colonna20]])</f>
        <v>0</v>
      </c>
      <c r="AB94" s="8">
        <f>MAX(TabellaMar2026[[#This Row],[Colonna24]:[Colonna20]])</f>
        <v>0</v>
      </c>
      <c r="AC94" s="35">
        <f>MIN(TabellaMar2026[[#This Row],[Colonna24]:[Colonna20]])</f>
        <v>0</v>
      </c>
      <c r="AD94" s="44">
        <f>SUM(TabellaMar2026[[#This Row],[Colonna24]:[Colonna20]])</f>
        <v>0</v>
      </c>
      <c r="AE94" s="36">
        <f>IF(
    AND($H94 &gt; $BN$7, Tabella01MarzoInverter[[#This Row],[Active power TX2-INV-1]] &lt;= 0, Tabella01MarzoInverter[[#This Row],[TX2 - Average Power]] &lt;= 0),
    MIN(($H94 / 1000) * AE$10 * $BN$4, AE$11 * 0.876) * 0.25,
    IF(
        AND($H94 &gt; $BN$7, Tabella01MarzoInverter[[#This Row],[Active power TX2-INV-1]] &lt;= 0),
        Tabella01MarzoInverter[[#This Row],[TX2 - Average Power]] * 0.25,
        0
    )
    +
    IF(
        $N94 &lt; 0.875,
        MAX(0, MIN(($H94 / 1000) * AE$10 * $BN$4, AE$11 * 0.876) - (AE$11 * $N94)) * 0.25,
        0
    )
)</f>
        <v>0</v>
      </c>
      <c r="AF94" s="36">
        <f>IF(
    AND($H94 &gt; $BN$7, Tabella01MarzoInverter[[#This Row],[Active power TX2-INV-2]] &lt;= 0, Tabella01MarzoInverter[[#This Row],[TX2 - Max Power]] &lt;= 0),
    MIN(($H94 / 1000) * AF$10 * $BN$4, AF$11 * 0.876) * 0.25,
    IF(
        AND($H94 &gt; $BN$7, Tabella01MarzoInverter[[#This Row],[Active power TX2-INV-2]] &lt;= 0),
        Tabella01MarzoInverter[[#This Row],[TX2 - Max Power]] * 0.25,
        0
    )
    +
    IF(
        $N94 &lt; 0.875,
        MAX(0, MIN(($H94 / 1000) * AF$10 * $BN$4, AF$11 * 0.876) - (AF$11 * $N94)) * 0.25,
        0
    )
)</f>
        <v>0</v>
      </c>
      <c r="AG94" s="36">
        <f>IF(
    AND($H94 &gt; $BN$7, Tabella01MarzoInverter[[#This Row],[Active power TX2-INV-3]] &lt;= 0, Tabella01MarzoInverter[[#This Row],[TX2 - Min Power]] &lt;= 0),
    MIN(($H94 / 1000) * AG$10 * $BN$4, AG$11 * 0.876) * 0.25,
    IF(
        AND($H94 &gt; $BN$7, Tabella01MarzoInverter[[#This Row],[Active power TX2-INV-3]] &lt;= 0),
        Tabella01MarzoInverter[[#This Row],[TX2 - Min Power]] * 0.25,
        0
    )
    +
    IF(
        $N94 &lt; 0.875,
        MAX(0, MIN(($H94 / 1000) * AG$10 * $BN$4, AG$11 * 0.876) - (AG$11 * $N94)) * 0.25,
        0
    )
)</f>
        <v>0</v>
      </c>
      <c r="AH94" s="36">
        <f>IF(
    AND($H94 &gt; $BN$7, Tabella01MarzoInverter[[#This Row],[Active power TX2-INV-4]] &lt;= 0, Tabella01MarzoInverter[[#This Row],[Active power TX3-INV-1]] &lt;= 0),
    MIN(($H94 / 1000) * AH$10 * $BN$4, AH$11 * 0.876) * 0.25,
    IF(
        AND($H94 &gt; $BN$7, Tabella01MarzoInverter[[#This Row],[Active power TX2-INV-4]] &lt;= 0),
        Tabella01MarzoInverter[[#This Row],[Active power TX3-INV-1]] * 0.25,
        0
    )
    +
    IF(
        $N94 &lt; 0.875,
        MAX(0, MIN(($H94 / 1000) * AH$10 * $BN$4, AH$11 * 0.876) - (AH$11 * $N94)) * 0.25,
        0
    )
)</f>
        <v>0</v>
      </c>
      <c r="AI94" s="36">
        <f>IF(
    AND($H94 &gt; $BN$7, Tabella01MarzoInverter[[#This Row],[Active power TX2-INV-5]] &lt;= 0, Tabella01MarzoInverter[[#This Row],[Active power TX3-INV-2]] &lt;= 0),
    MIN(($H94 / 1000) * AI$10 * $BN$4, AI$11 * 0.876) * 0.25,
    IF(
        AND($H94 &gt; $BN$7, Tabella01MarzoInverter[[#This Row],[Active power TX2-INV-5]] &lt;= 0),
        Tabella01MarzoInverter[[#This Row],[Active power TX3-INV-2]] * 0.25,
        0
    )
    +
    IF(
        $N94 &lt; 0.875,
        MAX(0, MIN(($H94 / 1000) * AI$10 * $BN$4, AI$11 * 0.876) - (AI$11 * $N94)) * 0.25,
        0
    )
)</f>
        <v>0</v>
      </c>
      <c r="AJ94" s="36">
        <f>IF(
    AND($H94 &gt; $BN$7, Tabella01MarzoInverter[[#This Row],[Active power TX2-INV-6]] &lt;= 0, Tabella01MarzoInverter[[#This Row],[Active power TX3-INV-3]] &lt;= 0),
    MIN(($H94 / 1000) * AJ$10 * $BN$4, AJ$11 * 0.876) * 0.25,
    IF(
        AND($H94 &gt; $BN$7, Tabella01MarzoInverter[[#This Row],[Active power TX2-INV-6]] &lt;= 0),
        Tabella01MarzoInverter[[#This Row],[Active power TX3-INV-3]] * 0.25,
        0
    )
    +
    IF(
        $N94 &lt; 0.875,
        MAX(0, MIN(($H94 / 1000) * AJ$10 * $BN$4, AJ$11 * 0.876) - (AJ$11 * $N94)) * 0.25,
        0
    )
)</f>
        <v>0</v>
      </c>
      <c r="AK94" s="36">
        <f>IF(
    AND($H94 &gt; $BN$7, Tabella01MarzoInverter[[#This Row],[Active power TX2-INV-7]] &lt;= 0, Tabella01MarzoInverter[[#This Row],[Active power TX3-INV-4]] &lt;= 0),
    MIN(($H94 / 1000) * AK$10 * $BN$4, AK$11 * 0.876) * 0.25,
    IF(
        AND($H94 &gt; $BN$7, Tabella01MarzoInverter[[#This Row],[Active power TX2-INV-7]] &lt;= 0),
        Tabella01MarzoInverter[[#This Row],[Active power TX3-INV-4]] * 0.25,
        0
    )
    +
    IF(
        $N94 &lt; 0.875,
        MAX(0, MIN(($H94 / 1000) * AK$10 * $BN$4, AK$11 * 0.876) - (AK$11 * $N94)) * 0.25,
        0
    )
)</f>
        <v>0</v>
      </c>
      <c r="AL94" s="36">
        <f>IF(
    AND($H94 &gt; $BN$7, Tabella01MarzoInverter[[#This Row],[Active power TX2-INV-8]] &lt;= 0, Tabella01MarzoInverter[[#This Row],[Active power TX3-INV-5]] &lt;= 0),
    MIN(($H94 / 1000) * AL$10 * $BN$4, AL$11 * 0.876) * 0.25,
    IF(
        AND($H94 &gt; $BN$7, Tabella01MarzoInverter[[#This Row],[Active power TX2-INV-8]] &lt;= 0),
        Tabella01MarzoInverter[[#This Row],[Active power TX3-INV-5]] * 0.25,
        0
    )
    +
    IF(
        $N94 &lt; 0.875,
        MAX(0, MIN(($H94 / 1000) * AL$10 * $BN$4, AL$11 * 0.876) - (AL$11 * $N94)) * 0.25,
        0
    )
)</f>
        <v>0</v>
      </c>
      <c r="AM94" s="36">
        <f>IF(
    AND($H94 &gt; $BN$7, Tabella01MarzoInverter[[#This Row],[Active power TX2-INV-9]] &lt;= 0, Tabella01MarzoInverter[[#This Row],[Active power TX3-INV-6]] &lt;= 0),
    MIN(($H94 / 1000) * AM$10 * $BN$4, AM$11 * 0.876) * 0.25,
    IF(
        AND($H94 &gt; $BN$7, Tabella01MarzoInverter[[#This Row],[Active power TX2-INV-9]] &lt;= 0),
        Tabella01MarzoInverter[[#This Row],[Active power TX3-INV-6]] * 0.25,
        0
    )
    +
    IF(
        $N94 &lt; 0.875,
        MAX(0, MIN(($H94 / 1000) * AM$10 * $BN$4, AM$11 * 0.876) - (AM$11 * $N94)) * 0.25,
        0
    )
)</f>
        <v>0</v>
      </c>
      <c r="AN94" s="36">
        <f>IF(
    AND($H94 &gt; $BN$7, Tabella01MarzoInverter[[#This Row],[Active power TX2-INV-10]] &lt;= 0, Tabella01MarzoInverter[[#This Row],[Active power TX3-INV-7]] &lt;= 0),
    MIN(($H94 / 1000) * AN$10 * $BN$4, AN$11 * 0.876) * 0.25,
    IF(
        AND($H94 &gt; $BN$7, Tabella01MarzoInverter[[#This Row],[Active power TX2-INV-10]] &lt;= 0),
        Tabella01MarzoInverter[[#This Row],[Active power TX3-INV-7]] * 0.25,
        0
    )
    +
    IF(
        $N94 &lt; 0.875,
        MAX(0, MIN(($H94 / 1000) * AN$10 * $BN$4, AN$11 * 0.876) - (AN$11 * $N94)) * 0.25,
        0
    )
)</f>
        <v>0</v>
      </c>
      <c r="AO94" s="36">
        <f>IF(
    AND($H94 &gt; $BN$7, Tabella01MarzoInverter[[#This Row],[Active power TX2-INV-11]] &lt;= 0, Tabella01MarzoInverter[[#This Row],[Active power TX3-INV-8]] &lt;= 0),
    MIN(($H94 / 1000) * AO$10 * $BN$4, AO$11 * 0.876) * 0.25,
    IF(
        AND($H94 &gt; $BN$7, Tabella01MarzoInverter[[#This Row],[Active power TX2-INV-11]] &lt;= 0),
        Tabella01MarzoInverter[[#This Row],[Active power TX3-INV-8]] * 0.25,
        0
    )
    +
    IF(
        $N94 &lt; 0.875,
        MAX(0, MIN(($H94 / 1000) * AO$10 * $BN$4, AO$11 * 0.876) - (AO$11 * $N94)) * 0.25,
        0
    )
)</f>
        <v>0</v>
      </c>
      <c r="AP94" s="36">
        <f>IF(
    AND($H94 &gt; $BN$7, Tabella01MarzoInverter[[#This Row],[Active power TX2-INV-12]] &lt;= 0, Tabella01MarzoInverter[[#This Row],[Active power TX3-INV-9]] &lt;= 0),
    MIN(($H94 / 1000) * AP$10 * $BN$4, AP$11 * 0.876) * 0.25,
    IF(
        AND($H94 &gt; $BN$7, Tabella01MarzoInverter[[#This Row],[Active power TX2-INV-12]] &lt;= 0),
        Tabella01MarzoInverter[[#This Row],[Active power TX3-INV-9]] * 0.25,
        0
    )
    +
    IF(
        $N94 &lt; 0.875,
        MAX(0, MIN(($H94 / 1000) * AP$10 * $BN$4, AP$11 * 0.876) - (AP$11 * $N94)) * 0.25,
        0
    )
)</f>
        <v>0</v>
      </c>
      <c r="AQ94" s="8">
        <f>AVERAGE(TabellaMar2026[[#This Row],[Colonna39]:[Colonna6]])</f>
        <v>0</v>
      </c>
      <c r="AR94" s="8">
        <f>MAX(TabellaMar2026[[#This Row],[Colonna39]:[Colonna6]])</f>
        <v>0</v>
      </c>
      <c r="AS94" s="35">
        <f>MIN(TabellaMar2026[[#This Row],[Colonna39]:[Colonna6]])</f>
        <v>0</v>
      </c>
      <c r="AT94" s="48">
        <f>SUM(TabellaMar2026[[#This Row],[Colonna39]:[Colonna6]])</f>
        <v>0</v>
      </c>
      <c r="AU94" s="36" cm="1">
        <f t="array" ref="AU94">IF(
    AND($H94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($H94 / 1000) * AU$10 * $BN$4 * 0.25
    ),
    0
)
+
IF(
    $N94 &lt; 0.875,
    MAX(0, MIN(($H94 / 1000) * AU$10 * $BN$4, AU$11 * 0.876) - (AU$11 * $N94)) * 0.25,
    0
)</f>
        <v>0</v>
      </c>
      <c r="AV94" s="36" cm="1">
        <f t="array" ref="AV94">IF(
    AND($H94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($H94 / 1000) * AV$10 * $BN$4 * 0.25
    ),
    0
)
+
IF(
    $N94 &lt; 0.875,
    MAX(0, MIN(($H94 / 1000) * AV$10 * $BN$4, AV$11 * 0.876) - (AV$11 * $N94)) * 0.25,
    0
)</f>
        <v>0</v>
      </c>
      <c r="AW94" s="36" cm="1">
        <f t="array" ref="AW94">IF(
    AND($H94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($H94 / 1000) * AW$10 * $BN$4 * 0.25
    ),
    0
)
+
IF(
    $N94 &lt; 0.875,
    MAX(0, MIN(($H94 / 1000) * AW$10 * $BN$4, AW$11 * 0.876) - (AW$11 * $N94)) * 0.25,
    0
)</f>
        <v>0</v>
      </c>
      <c r="AX94" s="36" cm="1">
        <f t="array" ref="AX94">IF(
    AND($H94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($H94 / 1000) * AX$10 * $BN$4 * 0.25
    ),
    0
)
+
IF(
    $N94 &lt; 0.875,
    MAX(0, MIN(($H94 / 1000) * AX$10 * $BN$4, AX$11 * 0.876) - (AX$11 * $N94)) * 0.25,
    0
)</f>
        <v>0</v>
      </c>
      <c r="AY94" s="36" cm="1">
        <f t="array" ref="AY94">IF(
    AND($H94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($H94 / 1000) * AY$10 * $BN$4 * 0.25
    ),
    0
)
+
IF(
    $N94 &lt; 0.875,
    MAX(0, MIN(($H94 / 1000) * AY$10 * $BN$4, AY$11 * 0.876) - (AY$11 * $N94)) * 0.25,
    0
)</f>
        <v>0</v>
      </c>
      <c r="AZ94" s="36" cm="1">
        <f t="array" ref="AZ94">IF(
    AND($H94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($H94 / 1000) * AZ$10 * $BN$4 * 0.25
    ),
    0
)
+
IF(
    $N94 &lt; 0.875,
    MAX(0, MIN(($H94 / 1000) * AZ$10 * $BN$4, AZ$11 * 0.876) - (AZ$11 * $N94)) * 0.25,
    0
)</f>
        <v>0</v>
      </c>
      <c r="BA94" s="36" cm="1">
        <f t="array" ref="BA94">IF(
    AND($H94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($H94 / 1000) * BA$10 * $BN$4 * 0.25
    ),
    0
)
+
IF(
    $N94 &lt; 0.875,
    MAX(0, MIN(($H94 / 1000) * BA$10 * $BN$4, BA$11 * 0.876) - (BA$11 * $N94)) * 0.25,
    0
)</f>
        <v>0</v>
      </c>
      <c r="BB94" s="36" cm="1">
        <f t="array" ref="BB94">IF(
    AND($H94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($H94 / 1000) * BB$10 * $BN$4 * 0.25
    ),
    0
)
+
IF(
    $N94 &lt; 0.875,
    MAX(0, MIN(($H94 / 1000) * BB$10 * $BN$4, BB$11 * 0.876) - (BB$11 * $N94)) * 0.25,
    0
)</f>
        <v>0</v>
      </c>
      <c r="BC94" s="36" cm="1">
        <f t="array" ref="BC94">IF(
    AND($H94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($H94 / 1000) * BC$10 * $BN$4 * 0.25
    ),
    0
)
+
IF(
    $N94 &lt; 0.875,
    MAX(0, MIN(($H94 / 1000) * BC$10 * $BN$4, BC$11 * 0.876) - (BC$11 * $N94)) * 0.25,
    0
)</f>
        <v>0</v>
      </c>
      <c r="BD94" s="36" cm="1">
        <f t="array" ref="BD94">IF(
    AND($H94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($H94 / 1000) * BD$10 * $BN$4 * 0.25
    ),
    0
)
+
IF(
    $N94 &lt; 0.875,
    MAX(0, MIN(($H94 / 1000) * BD$10 * $BN$4, BD$11 * 0.876) - (BD$11 * $N94)) * 0.25,
    0
)</f>
        <v>0</v>
      </c>
      <c r="BE94" s="36" cm="1">
        <f t="array" ref="BE94">IF(
    AND($H94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($H94 / 1000) * BE$10 * $BN$4 * 0.25
    ),
    0
)
+
IF(
    $N94 &lt; 0.875,
    MAX(0, MIN(($H94 / 1000) * BE$10 * $BN$4, BE$11 * 0.876) - (BE$11 * $N94)) * 0.25,
    0
)</f>
        <v>0</v>
      </c>
      <c r="BF94" s="36" cm="1">
        <f t="array" ref="BF94">IF(
    AND($H94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($H94 / 1000) * BF$10 * $BN$4 * 0.25
    ),
    0
)
+
IF(
    $N94 &lt; 0.875,
    MAX(0, MIN(($H94 / 1000) * BF$10 * $BN$4, BF$11 * 0.876) - (BF$11 * $N94)) * 0.25,
    0
)</f>
        <v>0</v>
      </c>
      <c r="BG94" s="8">
        <f>AVERAGE(TabellaMar2026[[#This Row],[Colonna55]:[Colonna53]])</f>
        <v>0</v>
      </c>
      <c r="BH94" s="8">
        <f>MAX(TabellaMar2026[[#This Row],[Colonna55]:[Colonna53]])</f>
        <v>0</v>
      </c>
      <c r="BI94" s="35">
        <f>MIN(TabellaMar2026[[#This Row],[Colonna55]:[Colonna53]])</f>
        <v>0</v>
      </c>
      <c r="BJ94" s="48">
        <f>SUM(TabellaMar2026[[#This Row],[Colonna54]:[Colonna53]])</f>
        <v>0</v>
      </c>
      <c r="BK94" s="54">
        <f>(SUM(Tabella01MarzoInverter[[Active power TX1-INV-1]:[Active power TX3-INV-12]]) * 0.25) / (12625 * (SUM($G$15:$H$110) * 0.25 / 1000))</f>
        <v>1.014229628761051</v>
      </c>
      <c r="BL94" s="5"/>
      <c r="BM94" s="5"/>
      <c r="BN94" s="5"/>
      <c r="BO94" s="8"/>
      <c r="BP94" s="19"/>
    </row>
    <row r="95" spans="1:68" x14ac:dyDescent="0.25">
      <c r="A95" s="18">
        <v>46147</v>
      </c>
      <c r="B95" t="s">
        <v>95</v>
      </c>
      <c r="C95" s="5">
        <v>4.9000000000000004</v>
      </c>
      <c r="D95" s="6">
        <v>1.2250000000000002E-3</v>
      </c>
      <c r="E95" s="6">
        <v>5.0999999999999996</v>
      </c>
      <c r="F95" s="6">
        <v>1.2749999999999999E-3</v>
      </c>
      <c r="G95" s="6">
        <f>IFERROR((D95+F95)/2, 0)</f>
        <v>1.25E-3</v>
      </c>
      <c r="H95" s="7">
        <f>IFERROR(IF(AVERAGE(C95,E95)&gt;$BN$7,AVERAGE(C95,E95),0), 0)</f>
        <v>0</v>
      </c>
      <c r="I95" s="7">
        <f>IFERROR(IF(AND(D95=0,F95=0),0,IF(H95&gt;$BN$6,MAX(D95,F95),G95)), 0)</f>
        <v>1.25E-3</v>
      </c>
      <c r="J95" s="6">
        <f>IFERROR(IF(AND(D95&gt;0,F95&gt;0),ABS(D95-F95)/AVERAGE(D95,F95),0), 0)</f>
        <v>3.9999999999999758E-2</v>
      </c>
      <c r="K95" s="6">
        <v>30467.8</v>
      </c>
      <c r="L95" s="6">
        <v>30467.8</v>
      </c>
      <c r="M95" s="8">
        <f>IFERROR((L95-K95)*1000, 0)</f>
        <v>0</v>
      </c>
      <c r="N95" s="6">
        <v>0.87599999999999989</v>
      </c>
      <c r="O95" s="8" cm="1">
        <f t="array" ref="O95">IF(
    AND($H95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($H95 / 1000) * O$10 * $BN$4 * 0.25
    ),
    0
)
+
IF(
    $N95 &lt; 0.875,
    MAX(0, MIN(($H95 / 1000) * O$10 * $BN$4, O$11 * 0.876) - (O$11 * $N95)) * 0.25,
    0
)</f>
        <v>0</v>
      </c>
      <c r="P95" s="8" cm="1">
        <f t="array" ref="P95">IF(
    AND($H95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($H95 / 1000) * P$10 * $BN$4 * 0.25
    ),
    0
)
+
IF(
    $N95 &lt; 0.875,
    MAX(0, MIN(($H95 / 1000) * P$10 * $BN$4, P$11 * 0.876) - (P$11 * $N95)) * 0.25,
    0
)</f>
        <v>0</v>
      </c>
      <c r="Q95" s="8" cm="1">
        <f t="array" ref="Q95">IF(
    AND($H95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($H95 / 1000) * Q$10 * $BN$4 * 0.25
    ),
    0
)
+
IF(
    $N95 &lt; 0.875,
    MAX(0, MIN(($H95 / 1000) * Q$10 * $BN$4, Q$11 * 0.876) - (Q$11 * $N95)) * 0.25,
    0
)</f>
        <v>0</v>
      </c>
      <c r="R95" s="8" cm="1">
        <f t="array" ref="R95">IF(
    AND($H95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($H95 / 1000) * R$10 * $BN$4 * 0.25
    ),
    0
)
+
IF(
    $N95 &lt; 0.875,
    MAX(0, MIN(($H95 / 1000) * R$10 * $BN$4, R$11 * 0.876) - (R$11 * $N95)) * 0.25,
    0
)</f>
        <v>0</v>
      </c>
      <c r="S95" s="8" cm="1">
        <f t="array" ref="S95">IF(
    AND($H95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($H95 / 1000) * S$10 * $BN$4 * 0.25
    ),
    0
)
+
IF(
    $N95 &lt; 0.875,
    MAX(0, MIN(($H95 / 1000) * S$10 * $BN$4, S$11 * 0.876) - (S$11 * $N95)) * 0.25,
    0
)</f>
        <v>0</v>
      </c>
      <c r="T95" s="8" cm="1">
        <f t="array" ref="T95">IF(
    AND($H95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($H95 / 1000) * T$10 * $BN$4 * 0.25
    ),
    0
)
+
IF(
    $N95 &lt; 0.875,
    MAX(0, MIN(($H95 / 1000) * T$10 * $BN$4, T$11 * 0.876) - (T$11 * $N95)) * 0.25,
    0
)</f>
        <v>0</v>
      </c>
      <c r="U95" s="8" cm="1">
        <f t="array" ref="U95">IF(
    AND($H95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($H95 / 1000) * U$10 * $BN$4 * 0.25
    ),
    0
)
+
IF(
    $N95 &lt; 0.875,
    MAX(0, MIN(($H95 / 1000) * U$10 * $BN$4, U$11 * 0.876) - (U$11 * $N95)) * 0.25,
    0
)</f>
        <v>0</v>
      </c>
      <c r="V95" s="8" cm="1">
        <f t="array" ref="V95">IF(
    AND($H95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($H95 / 1000) * V$10 * $BN$4 * 0.25
    ),
    0
)
+
IF(
    $N95 &lt; 0.875,
    MAX(0, MIN(($H95 / 1000) * V$10 * $BN$4, V$11 * 0.876) - (V$11 * $N95)) * 0.25,
    0
)</f>
        <v>0</v>
      </c>
      <c r="W95" s="8" cm="1">
        <f t="array" ref="W95">IF(
    AND($H95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($H95 / 1000) * W$10 * $BN$4 * 0.25
    ),
    0
)
+
IF(
    $N95 &lt; 0.875,
    MAX(0, MIN(($H95 / 1000) * W$10 * $BN$4, W$11 * 0.876) - (W$11 * $N95)) * 0.25,
    0
)</f>
        <v>0</v>
      </c>
      <c r="X95" s="8" cm="1">
        <f t="array" ref="X95">IF(
    AND($H95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($H95 / 1000) * X$10 * $BN$4 * 0.25
    ),
    0
)
+
IF(
    $N95 &lt; 0.875,
    MAX(0, MIN(($H95 / 1000) * X$10 * $BN$4, X$11 * 0.876) - (X$11 * $N95)) * 0.25,
    0
)</f>
        <v>0</v>
      </c>
      <c r="Y95" s="8" cm="1">
        <f t="array" ref="Y95">IF(
    AND($H95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($H95 / 1000) * Y$10 * $BN$4 * 0.25
    ),
    0
)
+
IF(
    $N95 &lt; 0.875,
    MAX(0, MIN(($H95 / 1000) * Y$10 * $BN$4, Y$11 * 0.876) - (Y$11 * $N95)) * 0.25,
    0
)</f>
        <v>0</v>
      </c>
      <c r="Z95" s="8" cm="1">
        <f t="array" ref="Z95">IF(
    AND($H95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($H95 / 1000) * Z$10 * $BN$4 * 0.25
    ),
    0
)
+
IF(
    $N95 &lt; 0.875,
    MAX(0, MIN(($H95 / 1000) * Z$10 * $BN$4, Z$11 * 0.876) - (Z$11 * $N95)) * 0.25,
    0
)</f>
        <v>0</v>
      </c>
      <c r="AA95" s="8">
        <f>AVERAGE(TabellaMar2026[[#This Row],[Colonna24]:[Colonna20]])</f>
        <v>0</v>
      </c>
      <c r="AB95" s="8">
        <f>MAX(TabellaMar2026[[#This Row],[Colonna24]:[Colonna20]])</f>
        <v>0</v>
      </c>
      <c r="AC95" s="35">
        <f>MIN(TabellaMar2026[[#This Row],[Colonna24]:[Colonna20]])</f>
        <v>0</v>
      </c>
      <c r="AD95" s="44">
        <f>SUM(TabellaMar2026[[#This Row],[Colonna24]:[Colonna20]])</f>
        <v>0</v>
      </c>
      <c r="AE95" s="36">
        <f>IF(
    AND($H95 &gt; $BN$7, Tabella01MarzoInverter[[#This Row],[Active power TX2-INV-1]] &lt;= 0, Tabella01MarzoInverter[[#This Row],[TX2 - Average Power]] &lt;= 0),
    MIN(($H95 / 1000) * AE$10 * $BN$4, AE$11 * 0.876) * 0.25,
    IF(
        AND($H95 &gt; $BN$7, Tabella01MarzoInverter[[#This Row],[Active power TX2-INV-1]] &lt;= 0),
        Tabella01MarzoInverter[[#This Row],[TX2 - Average Power]] * 0.25,
        0
    )
    +
    IF(
        $N95 &lt; 0.875,
        MAX(0, MIN(($H95 / 1000) * AE$10 * $BN$4, AE$11 * 0.876) - (AE$11 * $N95)) * 0.25,
        0
    )
)</f>
        <v>0</v>
      </c>
      <c r="AF95" s="36">
        <f>IF(
    AND($H95 &gt; $BN$7, Tabella01MarzoInverter[[#This Row],[Active power TX2-INV-2]] &lt;= 0, Tabella01MarzoInverter[[#This Row],[TX2 - Max Power]] &lt;= 0),
    MIN(($H95 / 1000) * AF$10 * $BN$4, AF$11 * 0.876) * 0.25,
    IF(
        AND($H95 &gt; $BN$7, Tabella01MarzoInverter[[#This Row],[Active power TX2-INV-2]] &lt;= 0),
        Tabella01MarzoInverter[[#This Row],[TX2 - Max Power]] * 0.25,
        0
    )
    +
    IF(
        $N95 &lt; 0.875,
        MAX(0, MIN(($H95 / 1000) * AF$10 * $BN$4, AF$11 * 0.876) - (AF$11 * $N95)) * 0.25,
        0
    )
)</f>
        <v>0</v>
      </c>
      <c r="AG95" s="36">
        <f>IF(
    AND($H95 &gt; $BN$7, Tabella01MarzoInverter[[#This Row],[Active power TX2-INV-3]] &lt;= 0, Tabella01MarzoInverter[[#This Row],[TX2 - Min Power]] &lt;= 0),
    MIN(($H95 / 1000) * AG$10 * $BN$4, AG$11 * 0.876) * 0.25,
    IF(
        AND($H95 &gt; $BN$7, Tabella01MarzoInverter[[#This Row],[Active power TX2-INV-3]] &lt;= 0),
        Tabella01MarzoInverter[[#This Row],[TX2 - Min Power]] * 0.25,
        0
    )
    +
    IF(
        $N95 &lt; 0.875,
        MAX(0, MIN(($H95 / 1000) * AG$10 * $BN$4, AG$11 * 0.876) - (AG$11 * $N95)) * 0.25,
        0
    )
)</f>
        <v>0</v>
      </c>
      <c r="AH95" s="36">
        <f>IF(
    AND($H95 &gt; $BN$7, Tabella01MarzoInverter[[#This Row],[Active power TX2-INV-4]] &lt;= 0, Tabella01MarzoInverter[[#This Row],[Active power TX3-INV-1]] &lt;= 0),
    MIN(($H95 / 1000) * AH$10 * $BN$4, AH$11 * 0.876) * 0.25,
    IF(
        AND($H95 &gt; $BN$7, Tabella01MarzoInverter[[#This Row],[Active power TX2-INV-4]] &lt;= 0),
        Tabella01MarzoInverter[[#This Row],[Active power TX3-INV-1]] * 0.25,
        0
    )
    +
    IF(
        $N95 &lt; 0.875,
        MAX(0, MIN(($H95 / 1000) * AH$10 * $BN$4, AH$11 * 0.876) - (AH$11 * $N95)) * 0.25,
        0
    )
)</f>
        <v>0</v>
      </c>
      <c r="AI95" s="36">
        <f>IF(
    AND($H95 &gt; $BN$7, Tabella01MarzoInverter[[#This Row],[Active power TX2-INV-5]] &lt;= 0, Tabella01MarzoInverter[[#This Row],[Active power TX3-INV-2]] &lt;= 0),
    MIN(($H95 / 1000) * AI$10 * $BN$4, AI$11 * 0.876) * 0.25,
    IF(
        AND($H95 &gt; $BN$7, Tabella01MarzoInverter[[#This Row],[Active power TX2-INV-5]] &lt;= 0),
        Tabella01MarzoInverter[[#This Row],[Active power TX3-INV-2]] * 0.25,
        0
    )
    +
    IF(
        $N95 &lt; 0.875,
        MAX(0, MIN(($H95 / 1000) * AI$10 * $BN$4, AI$11 * 0.876) - (AI$11 * $N95)) * 0.25,
        0
    )
)</f>
        <v>0</v>
      </c>
      <c r="AJ95" s="36">
        <f>IF(
    AND($H95 &gt; $BN$7, Tabella01MarzoInverter[[#This Row],[Active power TX2-INV-6]] &lt;= 0, Tabella01MarzoInverter[[#This Row],[Active power TX3-INV-3]] &lt;= 0),
    MIN(($H95 / 1000) * AJ$10 * $BN$4, AJ$11 * 0.876) * 0.25,
    IF(
        AND($H95 &gt; $BN$7, Tabella01MarzoInverter[[#This Row],[Active power TX2-INV-6]] &lt;= 0),
        Tabella01MarzoInverter[[#This Row],[Active power TX3-INV-3]] * 0.25,
        0
    )
    +
    IF(
        $N95 &lt; 0.875,
        MAX(0, MIN(($H95 / 1000) * AJ$10 * $BN$4, AJ$11 * 0.876) - (AJ$11 * $N95)) * 0.25,
        0
    )
)</f>
        <v>0</v>
      </c>
      <c r="AK95" s="36">
        <f>IF(
    AND($H95 &gt; $BN$7, Tabella01MarzoInverter[[#This Row],[Active power TX2-INV-7]] &lt;= 0, Tabella01MarzoInverter[[#This Row],[Active power TX3-INV-4]] &lt;= 0),
    MIN(($H95 / 1000) * AK$10 * $BN$4, AK$11 * 0.876) * 0.25,
    IF(
        AND($H95 &gt; $BN$7, Tabella01MarzoInverter[[#This Row],[Active power TX2-INV-7]] &lt;= 0),
        Tabella01MarzoInverter[[#This Row],[Active power TX3-INV-4]] * 0.25,
        0
    )
    +
    IF(
        $N95 &lt; 0.875,
        MAX(0, MIN(($H95 / 1000) * AK$10 * $BN$4, AK$11 * 0.876) - (AK$11 * $N95)) * 0.25,
        0
    )
)</f>
        <v>0</v>
      </c>
      <c r="AL95" s="36">
        <f>IF(
    AND($H95 &gt; $BN$7, Tabella01MarzoInverter[[#This Row],[Active power TX2-INV-8]] &lt;= 0, Tabella01MarzoInverter[[#This Row],[Active power TX3-INV-5]] &lt;= 0),
    MIN(($H95 / 1000) * AL$10 * $BN$4, AL$11 * 0.876) * 0.25,
    IF(
        AND($H95 &gt; $BN$7, Tabella01MarzoInverter[[#This Row],[Active power TX2-INV-8]] &lt;= 0),
        Tabella01MarzoInverter[[#This Row],[Active power TX3-INV-5]] * 0.25,
        0
    )
    +
    IF(
        $N95 &lt; 0.875,
        MAX(0, MIN(($H95 / 1000) * AL$10 * $BN$4, AL$11 * 0.876) - (AL$11 * $N95)) * 0.25,
        0
    )
)</f>
        <v>0</v>
      </c>
      <c r="AM95" s="36">
        <f>IF(
    AND($H95 &gt; $BN$7, Tabella01MarzoInverter[[#This Row],[Active power TX2-INV-9]] &lt;= 0, Tabella01MarzoInverter[[#This Row],[Active power TX3-INV-6]] &lt;= 0),
    MIN(($H95 / 1000) * AM$10 * $BN$4, AM$11 * 0.876) * 0.25,
    IF(
        AND($H95 &gt; $BN$7, Tabella01MarzoInverter[[#This Row],[Active power TX2-INV-9]] &lt;= 0),
        Tabella01MarzoInverter[[#This Row],[Active power TX3-INV-6]] * 0.25,
        0
    )
    +
    IF(
        $N95 &lt; 0.875,
        MAX(0, MIN(($H95 / 1000) * AM$10 * $BN$4, AM$11 * 0.876) - (AM$11 * $N95)) * 0.25,
        0
    )
)</f>
        <v>0</v>
      </c>
      <c r="AN95" s="36">
        <f>IF(
    AND($H95 &gt; $BN$7, Tabella01MarzoInverter[[#This Row],[Active power TX2-INV-10]] &lt;= 0, Tabella01MarzoInverter[[#This Row],[Active power TX3-INV-7]] &lt;= 0),
    MIN(($H95 / 1000) * AN$10 * $BN$4, AN$11 * 0.876) * 0.25,
    IF(
        AND($H95 &gt; $BN$7, Tabella01MarzoInverter[[#This Row],[Active power TX2-INV-10]] &lt;= 0),
        Tabella01MarzoInverter[[#This Row],[Active power TX3-INV-7]] * 0.25,
        0
    )
    +
    IF(
        $N95 &lt; 0.875,
        MAX(0, MIN(($H95 / 1000) * AN$10 * $BN$4, AN$11 * 0.876) - (AN$11 * $N95)) * 0.25,
        0
    )
)</f>
        <v>0</v>
      </c>
      <c r="AO95" s="36">
        <f>IF(
    AND($H95 &gt; $BN$7, Tabella01MarzoInverter[[#This Row],[Active power TX2-INV-11]] &lt;= 0, Tabella01MarzoInverter[[#This Row],[Active power TX3-INV-8]] &lt;= 0),
    MIN(($H95 / 1000) * AO$10 * $BN$4, AO$11 * 0.876) * 0.25,
    IF(
        AND($H95 &gt; $BN$7, Tabella01MarzoInverter[[#This Row],[Active power TX2-INV-11]] &lt;= 0),
        Tabella01MarzoInverter[[#This Row],[Active power TX3-INV-8]] * 0.25,
        0
    )
    +
    IF(
        $N95 &lt; 0.875,
        MAX(0, MIN(($H95 / 1000) * AO$10 * $BN$4, AO$11 * 0.876) - (AO$11 * $N95)) * 0.25,
        0
    )
)</f>
        <v>0</v>
      </c>
      <c r="AP95" s="36">
        <f>IF(
    AND($H95 &gt; $BN$7, Tabella01MarzoInverter[[#This Row],[Active power TX2-INV-12]] &lt;= 0, Tabella01MarzoInverter[[#This Row],[Active power TX3-INV-9]] &lt;= 0),
    MIN(($H95 / 1000) * AP$10 * $BN$4, AP$11 * 0.876) * 0.25,
    IF(
        AND($H95 &gt; $BN$7, Tabella01MarzoInverter[[#This Row],[Active power TX2-INV-12]] &lt;= 0),
        Tabella01MarzoInverter[[#This Row],[Active power TX3-INV-9]] * 0.25,
        0
    )
    +
    IF(
        $N95 &lt; 0.875,
        MAX(0, MIN(($H95 / 1000) * AP$10 * $BN$4, AP$11 * 0.876) - (AP$11 * $N95)) * 0.25,
        0
    )
)</f>
        <v>0</v>
      </c>
      <c r="AQ95" s="8">
        <f>AVERAGE(TabellaMar2026[[#This Row],[Colonna39]:[Colonna6]])</f>
        <v>0</v>
      </c>
      <c r="AR95" s="8">
        <f>MAX(TabellaMar2026[[#This Row],[Colonna39]:[Colonna6]])</f>
        <v>0</v>
      </c>
      <c r="AS95" s="35">
        <f>MIN(TabellaMar2026[[#This Row],[Colonna39]:[Colonna6]])</f>
        <v>0</v>
      </c>
      <c r="AT95" s="48">
        <f>SUM(TabellaMar2026[[#This Row],[Colonna39]:[Colonna6]])</f>
        <v>0</v>
      </c>
      <c r="AU95" s="36" cm="1">
        <f t="array" ref="AU95">IF(
    AND($H95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($H95 / 1000) * AU$10 * $BN$4 * 0.25
    ),
    0
)
+
IF(
    $N95 &lt; 0.875,
    MAX(0, MIN(($H95 / 1000) * AU$10 * $BN$4, AU$11 * 0.876) - (AU$11 * $N95)) * 0.25,
    0
)</f>
        <v>0</v>
      </c>
      <c r="AV95" s="36" cm="1">
        <f t="array" ref="AV95">IF(
    AND($H95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($H95 / 1000) * AV$10 * $BN$4 * 0.25
    ),
    0
)
+
IF(
    $N95 &lt; 0.875,
    MAX(0, MIN(($H95 / 1000) * AV$10 * $BN$4, AV$11 * 0.876) - (AV$11 * $N95)) * 0.25,
    0
)</f>
        <v>0</v>
      </c>
      <c r="AW95" s="36" cm="1">
        <f t="array" ref="AW95">IF(
    AND($H95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($H95 / 1000) * AW$10 * $BN$4 * 0.25
    ),
    0
)
+
IF(
    $N95 &lt; 0.875,
    MAX(0, MIN(($H95 / 1000) * AW$10 * $BN$4, AW$11 * 0.876) - (AW$11 * $N95)) * 0.25,
    0
)</f>
        <v>0</v>
      </c>
      <c r="AX95" s="36" cm="1">
        <f t="array" ref="AX95">IF(
    AND($H95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($H95 / 1000) * AX$10 * $BN$4 * 0.25
    ),
    0
)
+
IF(
    $N95 &lt; 0.875,
    MAX(0, MIN(($H95 / 1000) * AX$10 * $BN$4, AX$11 * 0.876) - (AX$11 * $N95)) * 0.25,
    0
)</f>
        <v>0</v>
      </c>
      <c r="AY95" s="36" cm="1">
        <f t="array" ref="AY95">IF(
    AND($H95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($H95 / 1000) * AY$10 * $BN$4 * 0.25
    ),
    0
)
+
IF(
    $N95 &lt; 0.875,
    MAX(0, MIN(($H95 / 1000) * AY$10 * $BN$4, AY$11 * 0.876) - (AY$11 * $N95)) * 0.25,
    0
)</f>
        <v>0</v>
      </c>
      <c r="AZ95" s="36" cm="1">
        <f t="array" ref="AZ95">IF(
    AND($H95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($H95 / 1000) * AZ$10 * $BN$4 * 0.25
    ),
    0
)
+
IF(
    $N95 &lt; 0.875,
    MAX(0, MIN(($H95 / 1000) * AZ$10 * $BN$4, AZ$11 * 0.876) - (AZ$11 * $N95)) * 0.25,
    0
)</f>
        <v>0</v>
      </c>
      <c r="BA95" s="36" cm="1">
        <f t="array" ref="BA95">IF(
    AND($H95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($H95 / 1000) * BA$10 * $BN$4 * 0.25
    ),
    0
)
+
IF(
    $N95 &lt; 0.875,
    MAX(0, MIN(($H95 / 1000) * BA$10 * $BN$4, BA$11 * 0.876) - (BA$11 * $N95)) * 0.25,
    0
)</f>
        <v>0</v>
      </c>
      <c r="BB95" s="36" cm="1">
        <f t="array" ref="BB95">IF(
    AND($H95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($H95 / 1000) * BB$10 * $BN$4 * 0.25
    ),
    0
)
+
IF(
    $N95 &lt; 0.875,
    MAX(0, MIN(($H95 / 1000) * BB$10 * $BN$4, BB$11 * 0.876) - (BB$11 * $N95)) * 0.25,
    0
)</f>
        <v>0</v>
      </c>
      <c r="BC95" s="36" cm="1">
        <f t="array" ref="BC95">IF(
    AND($H95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($H95 / 1000) * BC$10 * $BN$4 * 0.25
    ),
    0
)
+
IF(
    $N95 &lt; 0.875,
    MAX(0, MIN(($H95 / 1000) * BC$10 * $BN$4, BC$11 * 0.876) - (BC$11 * $N95)) * 0.25,
    0
)</f>
        <v>0</v>
      </c>
      <c r="BD95" s="36" cm="1">
        <f t="array" ref="BD95">IF(
    AND($H95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($H95 / 1000) * BD$10 * $BN$4 * 0.25
    ),
    0
)
+
IF(
    $N95 &lt; 0.875,
    MAX(0, MIN(($H95 / 1000) * BD$10 * $BN$4, BD$11 * 0.876) - (BD$11 * $N95)) * 0.25,
    0
)</f>
        <v>0</v>
      </c>
      <c r="BE95" s="36" cm="1">
        <f t="array" ref="BE95">IF(
    AND($H95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($H95 / 1000) * BE$10 * $BN$4 * 0.25
    ),
    0
)
+
IF(
    $N95 &lt; 0.875,
    MAX(0, MIN(($H95 / 1000) * BE$10 * $BN$4, BE$11 * 0.876) - (BE$11 * $N95)) * 0.25,
    0
)</f>
        <v>0</v>
      </c>
      <c r="BF95" s="36" cm="1">
        <f t="array" ref="BF95">IF(
    AND($H95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($H95 / 1000) * BF$10 * $BN$4 * 0.25
    ),
    0
)
+
IF(
    $N95 &lt; 0.875,
    MAX(0, MIN(($H95 / 1000) * BF$10 * $BN$4, BF$11 * 0.876) - (BF$11 * $N95)) * 0.25,
    0
)</f>
        <v>0</v>
      </c>
      <c r="BG95" s="8">
        <f>AVERAGE(TabellaMar2026[[#This Row],[Colonna55]:[Colonna53]])</f>
        <v>0</v>
      </c>
      <c r="BH95" s="8">
        <f>MAX(TabellaMar2026[[#This Row],[Colonna55]:[Colonna53]])</f>
        <v>0</v>
      </c>
      <c r="BI95" s="35">
        <f>MIN(TabellaMar2026[[#This Row],[Colonna55]:[Colonna53]])</f>
        <v>0</v>
      </c>
      <c r="BJ95" s="48">
        <f>SUM(TabellaMar2026[[#This Row],[Colonna54]:[Colonna53]])</f>
        <v>0</v>
      </c>
      <c r="BK95" s="54">
        <f>(SUM(Tabella01MarzoInverter[[Active power TX1-INV-1]:[Active power TX3-INV-12]]) * 0.25) / (12625 * (SUM($G$15:$H$110) * 0.25 / 1000))</f>
        <v>1.014229628761051</v>
      </c>
      <c r="BL95" s="5"/>
      <c r="BM95" s="5"/>
      <c r="BN95" s="5"/>
      <c r="BO95" s="8"/>
      <c r="BP95" s="19"/>
    </row>
    <row r="96" spans="1:68" x14ac:dyDescent="0.25">
      <c r="A96" s="18">
        <v>46147</v>
      </c>
      <c r="B96" t="s">
        <v>96</v>
      </c>
      <c r="C96" s="5">
        <v>0.1</v>
      </c>
      <c r="D96" s="6">
        <v>2.5000000000000001E-5</v>
      </c>
      <c r="E96" s="6">
        <v>0.1</v>
      </c>
      <c r="F96" s="6">
        <v>2.5000000000000001E-5</v>
      </c>
      <c r="G96" s="6">
        <f>IFERROR((D96+F96)/2, 0)</f>
        <v>2.5000000000000001E-5</v>
      </c>
      <c r="H96" s="7">
        <f>IFERROR(IF(AVERAGE(C96,E96)&gt;$BN$7,AVERAGE(C96,E96),0), 0)</f>
        <v>0</v>
      </c>
      <c r="I96" s="7">
        <f>IFERROR(IF(AND(D96=0,F96=0),0,IF(H96&gt;$BN$6,MAX(D96,F96),G96)), 0)</f>
        <v>2.5000000000000001E-5</v>
      </c>
      <c r="J96" s="6">
        <f>IFERROR(IF(AND(D96&gt;0,F96&gt;0),ABS(D96-F96)/AVERAGE(D96,F96),0), 0)</f>
        <v>0</v>
      </c>
      <c r="K96" s="6">
        <v>30467.8</v>
      </c>
      <c r="L96" s="6">
        <v>30467.8</v>
      </c>
      <c r="M96" s="8">
        <f>IFERROR((L96-K96)*1000, 0)</f>
        <v>0</v>
      </c>
      <c r="N96" s="6">
        <v>0.87599999999999989</v>
      </c>
      <c r="O96" s="8" cm="1">
        <f t="array" ref="O96">IF(
    AND($H96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($H96 / 1000) * O$10 * $BN$4 * 0.25
    ),
    0
)
+
IF(
    $N96 &lt; 0.875,
    MAX(0, MIN(($H96 / 1000) * O$10 * $BN$4, O$11 * 0.876) - (O$11 * $N96)) * 0.25,
    0
)</f>
        <v>0</v>
      </c>
      <c r="P96" s="8" cm="1">
        <f t="array" ref="P96">IF(
    AND($H96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($H96 / 1000) * P$10 * $BN$4 * 0.25
    ),
    0
)
+
IF(
    $N96 &lt; 0.875,
    MAX(0, MIN(($H96 / 1000) * P$10 * $BN$4, P$11 * 0.876) - (P$11 * $N96)) * 0.25,
    0
)</f>
        <v>0</v>
      </c>
      <c r="Q96" s="8" cm="1">
        <f t="array" ref="Q96">IF(
    AND($H96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($H96 / 1000) * Q$10 * $BN$4 * 0.25
    ),
    0
)
+
IF(
    $N96 &lt; 0.875,
    MAX(0, MIN(($H96 / 1000) * Q$10 * $BN$4, Q$11 * 0.876) - (Q$11 * $N96)) * 0.25,
    0
)</f>
        <v>0</v>
      </c>
      <c r="R96" s="8" cm="1">
        <f t="array" ref="R96">IF(
    AND($H96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($H96 / 1000) * R$10 * $BN$4 * 0.25
    ),
    0
)
+
IF(
    $N96 &lt; 0.875,
    MAX(0, MIN(($H96 / 1000) * R$10 * $BN$4, R$11 * 0.876) - (R$11 * $N96)) * 0.25,
    0
)</f>
        <v>0</v>
      </c>
      <c r="S96" s="8" cm="1">
        <f t="array" ref="S96">IF(
    AND($H96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($H96 / 1000) * S$10 * $BN$4 * 0.25
    ),
    0
)
+
IF(
    $N96 &lt; 0.875,
    MAX(0, MIN(($H96 / 1000) * S$10 * $BN$4, S$11 * 0.876) - (S$11 * $N96)) * 0.25,
    0
)</f>
        <v>0</v>
      </c>
      <c r="T96" s="8" cm="1">
        <f t="array" ref="T96">IF(
    AND($H96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($H96 / 1000) * T$10 * $BN$4 * 0.25
    ),
    0
)
+
IF(
    $N96 &lt; 0.875,
    MAX(0, MIN(($H96 / 1000) * T$10 * $BN$4, T$11 * 0.876) - (T$11 * $N96)) * 0.25,
    0
)</f>
        <v>0</v>
      </c>
      <c r="U96" s="8" cm="1">
        <f t="array" ref="U96">IF(
    AND($H96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($H96 / 1000) * U$10 * $BN$4 * 0.25
    ),
    0
)
+
IF(
    $N96 &lt; 0.875,
    MAX(0, MIN(($H96 / 1000) * U$10 * $BN$4, U$11 * 0.876) - (U$11 * $N96)) * 0.25,
    0
)</f>
        <v>0</v>
      </c>
      <c r="V96" s="8" cm="1">
        <f t="array" ref="V96">IF(
    AND($H96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($H96 / 1000) * V$10 * $BN$4 * 0.25
    ),
    0
)
+
IF(
    $N96 &lt; 0.875,
    MAX(0, MIN(($H96 / 1000) * V$10 * $BN$4, V$11 * 0.876) - (V$11 * $N96)) * 0.25,
    0
)</f>
        <v>0</v>
      </c>
      <c r="W96" s="8" cm="1">
        <f t="array" ref="W96">IF(
    AND($H96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($H96 / 1000) * W$10 * $BN$4 * 0.25
    ),
    0
)
+
IF(
    $N96 &lt; 0.875,
    MAX(0, MIN(($H96 / 1000) * W$10 * $BN$4, W$11 * 0.876) - (W$11 * $N96)) * 0.25,
    0
)</f>
        <v>0</v>
      </c>
      <c r="X96" s="8" cm="1">
        <f t="array" ref="X96">IF(
    AND($H96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($H96 / 1000) * X$10 * $BN$4 * 0.25
    ),
    0
)
+
IF(
    $N96 &lt; 0.875,
    MAX(0, MIN(($H96 / 1000) * X$10 * $BN$4, X$11 * 0.876) - (X$11 * $N96)) * 0.25,
    0
)</f>
        <v>0</v>
      </c>
      <c r="Y96" s="8" cm="1">
        <f t="array" ref="Y96">IF(
    AND($H96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($H96 / 1000) * Y$10 * $BN$4 * 0.25
    ),
    0
)
+
IF(
    $N96 &lt; 0.875,
    MAX(0, MIN(($H96 / 1000) * Y$10 * $BN$4, Y$11 * 0.876) - (Y$11 * $N96)) * 0.25,
    0
)</f>
        <v>0</v>
      </c>
      <c r="Z96" s="8" cm="1">
        <f t="array" ref="Z96">IF(
    AND($H96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($H96 / 1000) * Z$10 * $BN$4 * 0.25
    ),
    0
)
+
IF(
    $N96 &lt; 0.875,
    MAX(0, MIN(($H96 / 1000) * Z$10 * $BN$4, Z$11 * 0.876) - (Z$11 * $N96)) * 0.25,
    0
)</f>
        <v>0</v>
      </c>
      <c r="AA96" s="8">
        <f>AVERAGE(TabellaMar2026[[#This Row],[Colonna24]:[Colonna20]])</f>
        <v>0</v>
      </c>
      <c r="AB96" s="8">
        <f>MAX(TabellaMar2026[[#This Row],[Colonna24]:[Colonna20]])</f>
        <v>0</v>
      </c>
      <c r="AC96" s="35">
        <f>MIN(TabellaMar2026[[#This Row],[Colonna24]:[Colonna20]])</f>
        <v>0</v>
      </c>
      <c r="AD96" s="44">
        <f>SUM(TabellaMar2026[[#This Row],[Colonna24]:[Colonna20]])</f>
        <v>0</v>
      </c>
      <c r="AE96" s="36">
        <f>IF(
    AND($H96 &gt; $BN$7, Tabella01MarzoInverter[[#This Row],[Active power TX2-INV-1]] &lt;= 0, Tabella01MarzoInverter[[#This Row],[TX2 - Average Power]] &lt;= 0),
    MIN(($H96 / 1000) * AE$10 * $BN$4, AE$11 * 0.876) * 0.25,
    IF(
        AND($H96 &gt; $BN$7, Tabella01MarzoInverter[[#This Row],[Active power TX2-INV-1]] &lt;= 0),
        Tabella01MarzoInverter[[#This Row],[TX2 - Average Power]] * 0.25,
        0
    )
    +
    IF(
        $N96 &lt; 0.875,
        MAX(0, MIN(($H96 / 1000) * AE$10 * $BN$4, AE$11 * 0.876) - (AE$11 * $N96)) * 0.25,
        0
    )
)</f>
        <v>0</v>
      </c>
      <c r="AF96" s="36">
        <f>IF(
    AND($H96 &gt; $BN$7, Tabella01MarzoInverter[[#This Row],[Active power TX2-INV-2]] &lt;= 0, Tabella01MarzoInverter[[#This Row],[TX2 - Max Power]] &lt;= 0),
    MIN(($H96 / 1000) * AF$10 * $BN$4, AF$11 * 0.876) * 0.25,
    IF(
        AND($H96 &gt; $BN$7, Tabella01MarzoInverter[[#This Row],[Active power TX2-INV-2]] &lt;= 0),
        Tabella01MarzoInverter[[#This Row],[TX2 - Max Power]] * 0.25,
        0
    )
    +
    IF(
        $N96 &lt; 0.875,
        MAX(0, MIN(($H96 / 1000) * AF$10 * $BN$4, AF$11 * 0.876) - (AF$11 * $N96)) * 0.25,
        0
    )
)</f>
        <v>0</v>
      </c>
      <c r="AG96" s="36">
        <f>IF(
    AND($H96 &gt; $BN$7, Tabella01MarzoInverter[[#This Row],[Active power TX2-INV-3]] &lt;= 0, Tabella01MarzoInverter[[#This Row],[TX2 - Min Power]] &lt;= 0),
    MIN(($H96 / 1000) * AG$10 * $BN$4, AG$11 * 0.876) * 0.25,
    IF(
        AND($H96 &gt; $BN$7, Tabella01MarzoInverter[[#This Row],[Active power TX2-INV-3]] &lt;= 0),
        Tabella01MarzoInverter[[#This Row],[TX2 - Min Power]] * 0.25,
        0
    )
    +
    IF(
        $N96 &lt; 0.875,
        MAX(0, MIN(($H96 / 1000) * AG$10 * $BN$4, AG$11 * 0.876) - (AG$11 * $N96)) * 0.25,
        0
    )
)</f>
        <v>0</v>
      </c>
      <c r="AH96" s="36">
        <f>IF(
    AND($H96 &gt; $BN$7, Tabella01MarzoInverter[[#This Row],[Active power TX2-INV-4]] &lt;= 0, Tabella01MarzoInverter[[#This Row],[Active power TX3-INV-1]] &lt;= 0),
    MIN(($H96 / 1000) * AH$10 * $BN$4, AH$11 * 0.876) * 0.25,
    IF(
        AND($H96 &gt; $BN$7, Tabella01MarzoInverter[[#This Row],[Active power TX2-INV-4]] &lt;= 0),
        Tabella01MarzoInverter[[#This Row],[Active power TX3-INV-1]] * 0.25,
        0
    )
    +
    IF(
        $N96 &lt; 0.875,
        MAX(0, MIN(($H96 / 1000) * AH$10 * $BN$4, AH$11 * 0.876) - (AH$11 * $N96)) * 0.25,
        0
    )
)</f>
        <v>0</v>
      </c>
      <c r="AI96" s="36">
        <f>IF(
    AND($H96 &gt; $BN$7, Tabella01MarzoInverter[[#This Row],[Active power TX2-INV-5]] &lt;= 0, Tabella01MarzoInverter[[#This Row],[Active power TX3-INV-2]] &lt;= 0),
    MIN(($H96 / 1000) * AI$10 * $BN$4, AI$11 * 0.876) * 0.25,
    IF(
        AND($H96 &gt; $BN$7, Tabella01MarzoInverter[[#This Row],[Active power TX2-INV-5]] &lt;= 0),
        Tabella01MarzoInverter[[#This Row],[Active power TX3-INV-2]] * 0.25,
        0
    )
    +
    IF(
        $N96 &lt; 0.875,
        MAX(0, MIN(($H96 / 1000) * AI$10 * $BN$4, AI$11 * 0.876) - (AI$11 * $N96)) * 0.25,
        0
    )
)</f>
        <v>0</v>
      </c>
      <c r="AJ96" s="36">
        <f>IF(
    AND($H96 &gt; $BN$7, Tabella01MarzoInverter[[#This Row],[Active power TX2-INV-6]] &lt;= 0, Tabella01MarzoInverter[[#This Row],[Active power TX3-INV-3]] &lt;= 0),
    MIN(($H96 / 1000) * AJ$10 * $BN$4, AJ$11 * 0.876) * 0.25,
    IF(
        AND($H96 &gt; $BN$7, Tabella01MarzoInverter[[#This Row],[Active power TX2-INV-6]] &lt;= 0),
        Tabella01MarzoInverter[[#This Row],[Active power TX3-INV-3]] * 0.25,
        0
    )
    +
    IF(
        $N96 &lt; 0.875,
        MAX(0, MIN(($H96 / 1000) * AJ$10 * $BN$4, AJ$11 * 0.876) - (AJ$11 * $N96)) * 0.25,
        0
    )
)</f>
        <v>0</v>
      </c>
      <c r="AK96" s="36">
        <f>IF(
    AND($H96 &gt; $BN$7, Tabella01MarzoInverter[[#This Row],[Active power TX2-INV-7]] &lt;= 0, Tabella01MarzoInverter[[#This Row],[Active power TX3-INV-4]] &lt;= 0),
    MIN(($H96 / 1000) * AK$10 * $BN$4, AK$11 * 0.876) * 0.25,
    IF(
        AND($H96 &gt; $BN$7, Tabella01MarzoInverter[[#This Row],[Active power TX2-INV-7]] &lt;= 0),
        Tabella01MarzoInverter[[#This Row],[Active power TX3-INV-4]] * 0.25,
        0
    )
    +
    IF(
        $N96 &lt; 0.875,
        MAX(0, MIN(($H96 / 1000) * AK$10 * $BN$4, AK$11 * 0.876) - (AK$11 * $N96)) * 0.25,
        0
    )
)</f>
        <v>0</v>
      </c>
      <c r="AL96" s="36">
        <f>IF(
    AND($H96 &gt; $BN$7, Tabella01MarzoInverter[[#This Row],[Active power TX2-INV-8]] &lt;= 0, Tabella01MarzoInverter[[#This Row],[Active power TX3-INV-5]] &lt;= 0),
    MIN(($H96 / 1000) * AL$10 * $BN$4, AL$11 * 0.876) * 0.25,
    IF(
        AND($H96 &gt; $BN$7, Tabella01MarzoInverter[[#This Row],[Active power TX2-INV-8]] &lt;= 0),
        Tabella01MarzoInverter[[#This Row],[Active power TX3-INV-5]] * 0.25,
        0
    )
    +
    IF(
        $N96 &lt; 0.875,
        MAX(0, MIN(($H96 / 1000) * AL$10 * $BN$4, AL$11 * 0.876) - (AL$11 * $N96)) * 0.25,
        0
    )
)</f>
        <v>0</v>
      </c>
      <c r="AM96" s="36">
        <f>IF(
    AND($H96 &gt; $BN$7, Tabella01MarzoInverter[[#This Row],[Active power TX2-INV-9]] &lt;= 0, Tabella01MarzoInverter[[#This Row],[Active power TX3-INV-6]] &lt;= 0),
    MIN(($H96 / 1000) * AM$10 * $BN$4, AM$11 * 0.876) * 0.25,
    IF(
        AND($H96 &gt; $BN$7, Tabella01MarzoInverter[[#This Row],[Active power TX2-INV-9]] &lt;= 0),
        Tabella01MarzoInverter[[#This Row],[Active power TX3-INV-6]] * 0.25,
        0
    )
    +
    IF(
        $N96 &lt; 0.875,
        MAX(0, MIN(($H96 / 1000) * AM$10 * $BN$4, AM$11 * 0.876) - (AM$11 * $N96)) * 0.25,
        0
    )
)</f>
        <v>0</v>
      </c>
      <c r="AN96" s="36">
        <f>IF(
    AND($H96 &gt; $BN$7, Tabella01MarzoInverter[[#This Row],[Active power TX2-INV-10]] &lt;= 0, Tabella01MarzoInverter[[#This Row],[Active power TX3-INV-7]] &lt;= 0),
    MIN(($H96 / 1000) * AN$10 * $BN$4, AN$11 * 0.876) * 0.25,
    IF(
        AND($H96 &gt; $BN$7, Tabella01MarzoInverter[[#This Row],[Active power TX2-INV-10]] &lt;= 0),
        Tabella01MarzoInverter[[#This Row],[Active power TX3-INV-7]] * 0.25,
        0
    )
    +
    IF(
        $N96 &lt; 0.875,
        MAX(0, MIN(($H96 / 1000) * AN$10 * $BN$4, AN$11 * 0.876) - (AN$11 * $N96)) * 0.25,
        0
    )
)</f>
        <v>0</v>
      </c>
      <c r="AO96" s="36">
        <f>IF(
    AND($H96 &gt; $BN$7, Tabella01MarzoInverter[[#This Row],[Active power TX2-INV-11]] &lt;= 0, Tabella01MarzoInverter[[#This Row],[Active power TX3-INV-8]] &lt;= 0),
    MIN(($H96 / 1000) * AO$10 * $BN$4, AO$11 * 0.876) * 0.25,
    IF(
        AND($H96 &gt; $BN$7, Tabella01MarzoInverter[[#This Row],[Active power TX2-INV-11]] &lt;= 0),
        Tabella01MarzoInverter[[#This Row],[Active power TX3-INV-8]] * 0.25,
        0
    )
    +
    IF(
        $N96 &lt; 0.875,
        MAX(0, MIN(($H96 / 1000) * AO$10 * $BN$4, AO$11 * 0.876) - (AO$11 * $N96)) * 0.25,
        0
    )
)</f>
        <v>0</v>
      </c>
      <c r="AP96" s="36">
        <f>IF(
    AND($H96 &gt; $BN$7, Tabella01MarzoInverter[[#This Row],[Active power TX2-INV-12]] &lt;= 0, Tabella01MarzoInverter[[#This Row],[Active power TX3-INV-9]] &lt;= 0),
    MIN(($H96 / 1000) * AP$10 * $BN$4, AP$11 * 0.876) * 0.25,
    IF(
        AND($H96 &gt; $BN$7, Tabella01MarzoInverter[[#This Row],[Active power TX2-INV-12]] &lt;= 0),
        Tabella01MarzoInverter[[#This Row],[Active power TX3-INV-9]] * 0.25,
        0
    )
    +
    IF(
        $N96 &lt; 0.875,
        MAX(0, MIN(($H96 / 1000) * AP$10 * $BN$4, AP$11 * 0.876) - (AP$11 * $N96)) * 0.25,
        0
    )
)</f>
        <v>0</v>
      </c>
      <c r="AQ96" s="8">
        <f>AVERAGE(TabellaMar2026[[#This Row],[Colonna39]:[Colonna6]])</f>
        <v>0</v>
      </c>
      <c r="AR96" s="8">
        <f>MAX(TabellaMar2026[[#This Row],[Colonna39]:[Colonna6]])</f>
        <v>0</v>
      </c>
      <c r="AS96" s="35">
        <f>MIN(TabellaMar2026[[#This Row],[Colonna39]:[Colonna6]])</f>
        <v>0</v>
      </c>
      <c r="AT96" s="48">
        <f>SUM(TabellaMar2026[[#This Row],[Colonna39]:[Colonna6]])</f>
        <v>0</v>
      </c>
      <c r="AU96" s="36" cm="1">
        <f t="array" ref="AU96">IF(
    AND($H96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($H96 / 1000) * AU$10 * $BN$4 * 0.25
    ),
    0
)
+
IF(
    $N96 &lt; 0.875,
    MAX(0, MIN(($H96 / 1000) * AU$10 * $BN$4, AU$11 * 0.876) - (AU$11 * $N96)) * 0.25,
    0
)</f>
        <v>0</v>
      </c>
      <c r="AV96" s="36" cm="1">
        <f t="array" ref="AV96">IF(
    AND($H96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($H96 / 1000) * AV$10 * $BN$4 * 0.25
    ),
    0
)
+
IF(
    $N96 &lt; 0.875,
    MAX(0, MIN(($H96 / 1000) * AV$10 * $BN$4, AV$11 * 0.876) - (AV$11 * $N96)) * 0.25,
    0
)</f>
        <v>0</v>
      </c>
      <c r="AW96" s="36" cm="1">
        <f t="array" ref="AW96">IF(
    AND($H96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($H96 / 1000) * AW$10 * $BN$4 * 0.25
    ),
    0
)
+
IF(
    $N96 &lt; 0.875,
    MAX(0, MIN(($H96 / 1000) * AW$10 * $BN$4, AW$11 * 0.876) - (AW$11 * $N96)) * 0.25,
    0
)</f>
        <v>0</v>
      </c>
      <c r="AX96" s="36" cm="1">
        <f t="array" ref="AX96">IF(
    AND($H96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($H96 / 1000) * AX$10 * $BN$4 * 0.25
    ),
    0
)
+
IF(
    $N96 &lt; 0.875,
    MAX(0, MIN(($H96 / 1000) * AX$10 * $BN$4, AX$11 * 0.876) - (AX$11 * $N96)) * 0.25,
    0
)</f>
        <v>0</v>
      </c>
      <c r="AY96" s="36" cm="1">
        <f t="array" ref="AY96">IF(
    AND($H96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($H96 / 1000) * AY$10 * $BN$4 * 0.25
    ),
    0
)
+
IF(
    $N96 &lt; 0.875,
    MAX(0, MIN(($H96 / 1000) * AY$10 * $BN$4, AY$11 * 0.876) - (AY$11 * $N96)) * 0.25,
    0
)</f>
        <v>0</v>
      </c>
      <c r="AZ96" s="36" cm="1">
        <f t="array" ref="AZ96">IF(
    AND($H96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($H96 / 1000) * AZ$10 * $BN$4 * 0.25
    ),
    0
)
+
IF(
    $N96 &lt; 0.875,
    MAX(0, MIN(($H96 / 1000) * AZ$10 * $BN$4, AZ$11 * 0.876) - (AZ$11 * $N96)) * 0.25,
    0
)</f>
        <v>0</v>
      </c>
      <c r="BA96" s="36" cm="1">
        <f t="array" ref="BA96">IF(
    AND($H96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($H96 / 1000) * BA$10 * $BN$4 * 0.25
    ),
    0
)
+
IF(
    $N96 &lt; 0.875,
    MAX(0, MIN(($H96 / 1000) * BA$10 * $BN$4, BA$11 * 0.876) - (BA$11 * $N96)) * 0.25,
    0
)</f>
        <v>0</v>
      </c>
      <c r="BB96" s="36" cm="1">
        <f t="array" ref="BB96">IF(
    AND($H96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($H96 / 1000) * BB$10 * $BN$4 * 0.25
    ),
    0
)
+
IF(
    $N96 &lt; 0.875,
    MAX(0, MIN(($H96 / 1000) * BB$10 * $BN$4, BB$11 * 0.876) - (BB$11 * $N96)) * 0.25,
    0
)</f>
        <v>0</v>
      </c>
      <c r="BC96" s="36" cm="1">
        <f t="array" ref="BC96">IF(
    AND($H96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($H96 / 1000) * BC$10 * $BN$4 * 0.25
    ),
    0
)
+
IF(
    $N96 &lt; 0.875,
    MAX(0, MIN(($H96 / 1000) * BC$10 * $BN$4, BC$11 * 0.876) - (BC$11 * $N96)) * 0.25,
    0
)</f>
        <v>0</v>
      </c>
      <c r="BD96" s="36" cm="1">
        <f t="array" ref="BD96">IF(
    AND($H96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($H96 / 1000) * BD$10 * $BN$4 * 0.25
    ),
    0
)
+
IF(
    $N96 &lt; 0.875,
    MAX(0, MIN(($H96 / 1000) * BD$10 * $BN$4, BD$11 * 0.876) - (BD$11 * $N96)) * 0.25,
    0
)</f>
        <v>0</v>
      </c>
      <c r="BE96" s="36" cm="1">
        <f t="array" ref="BE96">IF(
    AND($H96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($H96 / 1000) * BE$10 * $BN$4 * 0.25
    ),
    0
)
+
IF(
    $N96 &lt; 0.875,
    MAX(0, MIN(($H96 / 1000) * BE$10 * $BN$4, BE$11 * 0.876) - (BE$11 * $N96)) * 0.25,
    0
)</f>
        <v>0</v>
      </c>
      <c r="BF96" s="36" cm="1">
        <f t="array" ref="BF96">IF(
    AND($H96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($H96 / 1000) * BF$10 * $BN$4 * 0.25
    ),
    0
)
+
IF(
    $N96 &lt; 0.875,
    MAX(0, MIN(($H96 / 1000) * BF$10 * $BN$4, BF$11 * 0.876) - (BF$11 * $N96)) * 0.25,
    0
)</f>
        <v>0</v>
      </c>
      <c r="BG96" s="8">
        <f>AVERAGE(TabellaMar2026[[#This Row],[Colonna55]:[Colonna53]])</f>
        <v>0</v>
      </c>
      <c r="BH96" s="8">
        <f>MAX(TabellaMar2026[[#This Row],[Colonna55]:[Colonna53]])</f>
        <v>0</v>
      </c>
      <c r="BI96" s="35">
        <f>MIN(TabellaMar2026[[#This Row],[Colonna55]:[Colonna53]])</f>
        <v>0</v>
      </c>
      <c r="BJ96" s="48">
        <f>SUM(TabellaMar2026[[#This Row],[Colonna54]:[Colonna53]])</f>
        <v>0</v>
      </c>
      <c r="BK96" s="54">
        <f>(SUM(Tabella01MarzoInverter[[Active power TX1-INV-1]:[Active power TX3-INV-12]]) * 0.25) / (12625 * (SUM($G$15:$H$110) * 0.25 / 1000))</f>
        <v>1.014229628761051</v>
      </c>
      <c r="BL96" s="5"/>
      <c r="BM96" s="5"/>
      <c r="BN96" s="5"/>
      <c r="BO96" s="8"/>
      <c r="BP96" s="19"/>
    </row>
    <row r="97" spans="1:68" x14ac:dyDescent="0.25">
      <c r="A97" s="18">
        <v>46147</v>
      </c>
      <c r="B97" t="s">
        <v>97</v>
      </c>
      <c r="C97" s="5">
        <v>-0.9</v>
      </c>
      <c r="D97" s="6">
        <v>-2.2499999999999999E-4</v>
      </c>
      <c r="E97" s="6">
        <v>0</v>
      </c>
      <c r="F97" s="6">
        <v>0</v>
      </c>
      <c r="G97" s="6">
        <f>IFERROR((D97+F97)/2, 0)</f>
        <v>-1.125E-4</v>
      </c>
      <c r="H97" s="7">
        <f>IFERROR(IF(AVERAGE(C97,E97)&gt;$BN$7,AVERAGE(C97,E97),0), 0)</f>
        <v>0</v>
      </c>
      <c r="I97" s="7">
        <f>IFERROR(IF(AND(D97=0,F97=0),0,IF(H97&gt;$BN$6,MAX(D97,F97),G97)), 0)</f>
        <v>-1.125E-4</v>
      </c>
      <c r="J97" s="6">
        <f>IFERROR(IF(AND(D97&gt;0,F97&gt;0),ABS(D97-F97)/AVERAGE(D97,F97),0), 0)</f>
        <v>0</v>
      </c>
      <c r="K97" s="6">
        <v>30467.8</v>
      </c>
      <c r="L97" s="6">
        <v>30467.8</v>
      </c>
      <c r="M97" s="8">
        <f>IFERROR((L97-K97)*1000, 0)</f>
        <v>0</v>
      </c>
      <c r="N97" s="6">
        <v>0.87599999999999989</v>
      </c>
      <c r="O97" s="8" cm="1">
        <f t="array" ref="O97">IF(
    AND($H97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($H97 / 1000) * O$10 * $BN$4 * 0.25
    ),
    0
)
+
IF(
    $N97 &lt; 0.875,
    MAX(0, MIN(($H97 / 1000) * O$10 * $BN$4, O$11 * 0.876) - (O$11 * $N97)) * 0.25,
    0
)</f>
        <v>0</v>
      </c>
      <c r="P97" s="8" cm="1">
        <f t="array" ref="P97">IF(
    AND($H97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($H97 / 1000) * P$10 * $BN$4 * 0.25
    ),
    0
)
+
IF(
    $N97 &lt; 0.875,
    MAX(0, MIN(($H97 / 1000) * P$10 * $BN$4, P$11 * 0.876) - (P$11 * $N97)) * 0.25,
    0
)</f>
        <v>0</v>
      </c>
      <c r="Q97" s="8" cm="1">
        <f t="array" ref="Q97">IF(
    AND($H97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($H97 / 1000) * Q$10 * $BN$4 * 0.25
    ),
    0
)
+
IF(
    $N97 &lt; 0.875,
    MAX(0, MIN(($H97 / 1000) * Q$10 * $BN$4, Q$11 * 0.876) - (Q$11 * $N97)) * 0.25,
    0
)</f>
        <v>0</v>
      </c>
      <c r="R97" s="8" cm="1">
        <f t="array" ref="R97">IF(
    AND($H97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($H97 / 1000) * R$10 * $BN$4 * 0.25
    ),
    0
)
+
IF(
    $N97 &lt; 0.875,
    MAX(0, MIN(($H97 / 1000) * R$10 * $BN$4, R$11 * 0.876) - (R$11 * $N97)) * 0.25,
    0
)</f>
        <v>0</v>
      </c>
      <c r="S97" s="8" cm="1">
        <f t="array" ref="S97">IF(
    AND($H97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($H97 / 1000) * S$10 * $BN$4 * 0.25
    ),
    0
)
+
IF(
    $N97 &lt; 0.875,
    MAX(0, MIN(($H97 / 1000) * S$10 * $BN$4, S$11 * 0.876) - (S$11 * $N97)) * 0.25,
    0
)</f>
        <v>0</v>
      </c>
      <c r="T97" s="8" cm="1">
        <f t="array" ref="T97">IF(
    AND($H97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($H97 / 1000) * T$10 * $BN$4 * 0.25
    ),
    0
)
+
IF(
    $N97 &lt; 0.875,
    MAX(0, MIN(($H97 / 1000) * T$10 * $BN$4, T$11 * 0.876) - (T$11 * $N97)) * 0.25,
    0
)</f>
        <v>0</v>
      </c>
      <c r="U97" s="8" cm="1">
        <f t="array" ref="U97">IF(
    AND($H97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($H97 / 1000) * U$10 * $BN$4 * 0.25
    ),
    0
)
+
IF(
    $N97 &lt; 0.875,
    MAX(0, MIN(($H97 / 1000) * U$10 * $BN$4, U$11 * 0.876) - (U$11 * $N97)) * 0.25,
    0
)</f>
        <v>0</v>
      </c>
      <c r="V97" s="8" cm="1">
        <f t="array" ref="V97">IF(
    AND($H97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($H97 / 1000) * V$10 * $BN$4 * 0.25
    ),
    0
)
+
IF(
    $N97 &lt; 0.875,
    MAX(0, MIN(($H97 / 1000) * V$10 * $BN$4, V$11 * 0.876) - (V$11 * $N97)) * 0.25,
    0
)</f>
        <v>0</v>
      </c>
      <c r="W97" s="8" cm="1">
        <f t="array" ref="W97">IF(
    AND($H97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($H97 / 1000) * W$10 * $BN$4 * 0.25
    ),
    0
)
+
IF(
    $N97 &lt; 0.875,
    MAX(0, MIN(($H97 / 1000) * W$10 * $BN$4, W$11 * 0.876) - (W$11 * $N97)) * 0.25,
    0
)</f>
        <v>0</v>
      </c>
      <c r="X97" s="8" cm="1">
        <f t="array" ref="X97">IF(
    AND($H97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($H97 / 1000) * X$10 * $BN$4 * 0.25
    ),
    0
)
+
IF(
    $N97 &lt; 0.875,
    MAX(0, MIN(($H97 / 1000) * X$10 * $BN$4, X$11 * 0.876) - (X$11 * $N97)) * 0.25,
    0
)</f>
        <v>0</v>
      </c>
      <c r="Y97" s="8" cm="1">
        <f t="array" ref="Y97">IF(
    AND($H97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($H97 / 1000) * Y$10 * $BN$4 * 0.25
    ),
    0
)
+
IF(
    $N97 &lt; 0.875,
    MAX(0, MIN(($H97 / 1000) * Y$10 * $BN$4, Y$11 * 0.876) - (Y$11 * $N97)) * 0.25,
    0
)</f>
        <v>0</v>
      </c>
      <c r="Z97" s="8" cm="1">
        <f t="array" ref="Z97">IF(
    AND($H97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($H97 / 1000) * Z$10 * $BN$4 * 0.25
    ),
    0
)
+
IF(
    $N97 &lt; 0.875,
    MAX(0, MIN(($H97 / 1000) * Z$10 * $BN$4, Z$11 * 0.876) - (Z$11 * $N97)) * 0.25,
    0
)</f>
        <v>0</v>
      </c>
      <c r="AA97" s="8">
        <f>AVERAGE(TabellaMar2026[[#This Row],[Colonna24]:[Colonna20]])</f>
        <v>0</v>
      </c>
      <c r="AB97" s="8">
        <f>MAX(TabellaMar2026[[#This Row],[Colonna24]:[Colonna20]])</f>
        <v>0</v>
      </c>
      <c r="AC97" s="35">
        <f>MIN(TabellaMar2026[[#This Row],[Colonna24]:[Colonna20]])</f>
        <v>0</v>
      </c>
      <c r="AD97" s="44">
        <f>SUM(TabellaMar2026[[#This Row],[Colonna24]:[Colonna20]])</f>
        <v>0</v>
      </c>
      <c r="AE97" s="36">
        <f>IF(
    AND($H97 &gt; $BN$7, Tabella01MarzoInverter[[#This Row],[Active power TX2-INV-1]] &lt;= 0, Tabella01MarzoInverter[[#This Row],[TX2 - Average Power]] &lt;= 0),
    MIN(($H97 / 1000) * AE$10 * $BN$4, AE$11 * 0.876) * 0.25,
    IF(
        AND($H97 &gt; $BN$7, Tabella01MarzoInverter[[#This Row],[Active power TX2-INV-1]] &lt;= 0),
        Tabella01MarzoInverter[[#This Row],[TX2 - Average Power]] * 0.25,
        0
    )
    +
    IF(
        $N97 &lt; 0.875,
        MAX(0, MIN(($H97 / 1000) * AE$10 * $BN$4, AE$11 * 0.876) - (AE$11 * $N97)) * 0.25,
        0
    )
)</f>
        <v>0</v>
      </c>
      <c r="AF97" s="36">
        <f>IF(
    AND($H97 &gt; $BN$7, Tabella01MarzoInverter[[#This Row],[Active power TX2-INV-2]] &lt;= 0, Tabella01MarzoInverter[[#This Row],[TX2 - Max Power]] &lt;= 0),
    MIN(($H97 / 1000) * AF$10 * $BN$4, AF$11 * 0.876) * 0.25,
    IF(
        AND($H97 &gt; $BN$7, Tabella01MarzoInverter[[#This Row],[Active power TX2-INV-2]] &lt;= 0),
        Tabella01MarzoInverter[[#This Row],[TX2 - Max Power]] * 0.25,
        0
    )
    +
    IF(
        $N97 &lt; 0.875,
        MAX(0, MIN(($H97 / 1000) * AF$10 * $BN$4, AF$11 * 0.876) - (AF$11 * $N97)) * 0.25,
        0
    )
)</f>
        <v>0</v>
      </c>
      <c r="AG97" s="36">
        <f>IF(
    AND($H97 &gt; $BN$7, Tabella01MarzoInverter[[#This Row],[Active power TX2-INV-3]] &lt;= 0, Tabella01MarzoInverter[[#This Row],[TX2 - Min Power]] &lt;= 0),
    MIN(($H97 / 1000) * AG$10 * $BN$4, AG$11 * 0.876) * 0.25,
    IF(
        AND($H97 &gt; $BN$7, Tabella01MarzoInverter[[#This Row],[Active power TX2-INV-3]] &lt;= 0),
        Tabella01MarzoInverter[[#This Row],[TX2 - Min Power]] * 0.25,
        0
    )
    +
    IF(
        $N97 &lt; 0.875,
        MAX(0, MIN(($H97 / 1000) * AG$10 * $BN$4, AG$11 * 0.876) - (AG$11 * $N97)) * 0.25,
        0
    )
)</f>
        <v>0</v>
      </c>
      <c r="AH97" s="36">
        <f>IF(
    AND($H97 &gt; $BN$7, Tabella01MarzoInverter[[#This Row],[Active power TX2-INV-4]] &lt;= 0, Tabella01MarzoInverter[[#This Row],[Active power TX3-INV-1]] &lt;= 0),
    MIN(($H97 / 1000) * AH$10 * $BN$4, AH$11 * 0.876) * 0.25,
    IF(
        AND($H97 &gt; $BN$7, Tabella01MarzoInverter[[#This Row],[Active power TX2-INV-4]] &lt;= 0),
        Tabella01MarzoInverter[[#This Row],[Active power TX3-INV-1]] * 0.25,
        0
    )
    +
    IF(
        $N97 &lt; 0.875,
        MAX(0, MIN(($H97 / 1000) * AH$10 * $BN$4, AH$11 * 0.876) - (AH$11 * $N97)) * 0.25,
        0
    )
)</f>
        <v>0</v>
      </c>
      <c r="AI97" s="36">
        <f>IF(
    AND($H97 &gt; $BN$7, Tabella01MarzoInverter[[#This Row],[Active power TX2-INV-5]] &lt;= 0, Tabella01MarzoInverter[[#This Row],[Active power TX3-INV-2]] &lt;= 0),
    MIN(($H97 / 1000) * AI$10 * $BN$4, AI$11 * 0.876) * 0.25,
    IF(
        AND($H97 &gt; $BN$7, Tabella01MarzoInverter[[#This Row],[Active power TX2-INV-5]] &lt;= 0),
        Tabella01MarzoInverter[[#This Row],[Active power TX3-INV-2]] * 0.25,
        0
    )
    +
    IF(
        $N97 &lt; 0.875,
        MAX(0, MIN(($H97 / 1000) * AI$10 * $BN$4, AI$11 * 0.876) - (AI$11 * $N97)) * 0.25,
        0
    )
)</f>
        <v>0</v>
      </c>
      <c r="AJ97" s="36">
        <f>IF(
    AND($H97 &gt; $BN$7, Tabella01MarzoInverter[[#This Row],[Active power TX2-INV-6]] &lt;= 0, Tabella01MarzoInverter[[#This Row],[Active power TX3-INV-3]] &lt;= 0),
    MIN(($H97 / 1000) * AJ$10 * $BN$4, AJ$11 * 0.876) * 0.25,
    IF(
        AND($H97 &gt; $BN$7, Tabella01MarzoInverter[[#This Row],[Active power TX2-INV-6]] &lt;= 0),
        Tabella01MarzoInverter[[#This Row],[Active power TX3-INV-3]] * 0.25,
        0
    )
    +
    IF(
        $N97 &lt; 0.875,
        MAX(0, MIN(($H97 / 1000) * AJ$10 * $BN$4, AJ$11 * 0.876) - (AJ$11 * $N97)) * 0.25,
        0
    )
)</f>
        <v>0</v>
      </c>
      <c r="AK97" s="36">
        <f>IF(
    AND($H97 &gt; $BN$7, Tabella01MarzoInverter[[#This Row],[Active power TX2-INV-7]] &lt;= 0, Tabella01MarzoInverter[[#This Row],[Active power TX3-INV-4]] &lt;= 0),
    MIN(($H97 / 1000) * AK$10 * $BN$4, AK$11 * 0.876) * 0.25,
    IF(
        AND($H97 &gt; $BN$7, Tabella01MarzoInverter[[#This Row],[Active power TX2-INV-7]] &lt;= 0),
        Tabella01MarzoInverter[[#This Row],[Active power TX3-INV-4]] * 0.25,
        0
    )
    +
    IF(
        $N97 &lt; 0.875,
        MAX(0, MIN(($H97 / 1000) * AK$10 * $BN$4, AK$11 * 0.876) - (AK$11 * $N97)) * 0.25,
        0
    )
)</f>
        <v>0</v>
      </c>
      <c r="AL97" s="36">
        <f>IF(
    AND($H97 &gt; $BN$7, Tabella01MarzoInverter[[#This Row],[Active power TX2-INV-8]] &lt;= 0, Tabella01MarzoInverter[[#This Row],[Active power TX3-INV-5]] &lt;= 0),
    MIN(($H97 / 1000) * AL$10 * $BN$4, AL$11 * 0.876) * 0.25,
    IF(
        AND($H97 &gt; $BN$7, Tabella01MarzoInverter[[#This Row],[Active power TX2-INV-8]] &lt;= 0),
        Tabella01MarzoInverter[[#This Row],[Active power TX3-INV-5]] * 0.25,
        0
    )
    +
    IF(
        $N97 &lt; 0.875,
        MAX(0, MIN(($H97 / 1000) * AL$10 * $BN$4, AL$11 * 0.876) - (AL$11 * $N97)) * 0.25,
        0
    )
)</f>
        <v>0</v>
      </c>
      <c r="AM97" s="36">
        <f>IF(
    AND($H97 &gt; $BN$7, Tabella01MarzoInverter[[#This Row],[Active power TX2-INV-9]] &lt;= 0, Tabella01MarzoInverter[[#This Row],[Active power TX3-INV-6]] &lt;= 0),
    MIN(($H97 / 1000) * AM$10 * $BN$4, AM$11 * 0.876) * 0.25,
    IF(
        AND($H97 &gt; $BN$7, Tabella01MarzoInverter[[#This Row],[Active power TX2-INV-9]] &lt;= 0),
        Tabella01MarzoInverter[[#This Row],[Active power TX3-INV-6]] * 0.25,
        0
    )
    +
    IF(
        $N97 &lt; 0.875,
        MAX(0, MIN(($H97 / 1000) * AM$10 * $BN$4, AM$11 * 0.876) - (AM$11 * $N97)) * 0.25,
        0
    )
)</f>
        <v>0</v>
      </c>
      <c r="AN97" s="36">
        <f>IF(
    AND($H97 &gt; $BN$7, Tabella01MarzoInverter[[#This Row],[Active power TX2-INV-10]] &lt;= 0, Tabella01MarzoInverter[[#This Row],[Active power TX3-INV-7]] &lt;= 0),
    MIN(($H97 / 1000) * AN$10 * $BN$4, AN$11 * 0.876) * 0.25,
    IF(
        AND($H97 &gt; $BN$7, Tabella01MarzoInverter[[#This Row],[Active power TX2-INV-10]] &lt;= 0),
        Tabella01MarzoInverter[[#This Row],[Active power TX3-INV-7]] * 0.25,
        0
    )
    +
    IF(
        $N97 &lt; 0.875,
        MAX(0, MIN(($H97 / 1000) * AN$10 * $BN$4, AN$11 * 0.876) - (AN$11 * $N97)) * 0.25,
        0
    )
)</f>
        <v>0</v>
      </c>
      <c r="AO97" s="36">
        <f>IF(
    AND($H97 &gt; $BN$7, Tabella01MarzoInverter[[#This Row],[Active power TX2-INV-11]] &lt;= 0, Tabella01MarzoInverter[[#This Row],[Active power TX3-INV-8]] &lt;= 0),
    MIN(($H97 / 1000) * AO$10 * $BN$4, AO$11 * 0.876) * 0.25,
    IF(
        AND($H97 &gt; $BN$7, Tabella01MarzoInverter[[#This Row],[Active power TX2-INV-11]] &lt;= 0),
        Tabella01MarzoInverter[[#This Row],[Active power TX3-INV-8]] * 0.25,
        0
    )
    +
    IF(
        $N97 &lt; 0.875,
        MAX(0, MIN(($H97 / 1000) * AO$10 * $BN$4, AO$11 * 0.876) - (AO$11 * $N97)) * 0.25,
        0
    )
)</f>
        <v>0</v>
      </c>
      <c r="AP97" s="36">
        <f>IF(
    AND($H97 &gt; $BN$7, Tabella01MarzoInverter[[#This Row],[Active power TX2-INV-12]] &lt;= 0, Tabella01MarzoInverter[[#This Row],[Active power TX3-INV-9]] &lt;= 0),
    MIN(($H97 / 1000) * AP$10 * $BN$4, AP$11 * 0.876) * 0.25,
    IF(
        AND($H97 &gt; $BN$7, Tabella01MarzoInverter[[#This Row],[Active power TX2-INV-12]] &lt;= 0),
        Tabella01MarzoInverter[[#This Row],[Active power TX3-INV-9]] * 0.25,
        0
    )
    +
    IF(
        $N97 &lt; 0.875,
        MAX(0, MIN(($H97 / 1000) * AP$10 * $BN$4, AP$11 * 0.876) - (AP$11 * $N97)) * 0.25,
        0
    )
)</f>
        <v>0</v>
      </c>
      <c r="AQ97" s="8">
        <f>AVERAGE(TabellaMar2026[[#This Row],[Colonna39]:[Colonna6]])</f>
        <v>0</v>
      </c>
      <c r="AR97" s="8">
        <f>MAX(TabellaMar2026[[#This Row],[Colonna39]:[Colonna6]])</f>
        <v>0</v>
      </c>
      <c r="AS97" s="35">
        <f>MIN(TabellaMar2026[[#This Row],[Colonna39]:[Colonna6]])</f>
        <v>0</v>
      </c>
      <c r="AT97" s="48">
        <f>SUM(TabellaMar2026[[#This Row],[Colonna39]:[Colonna6]])</f>
        <v>0</v>
      </c>
      <c r="AU97" s="36" cm="1">
        <f t="array" ref="AU97">IF(
    AND($H97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($H97 / 1000) * AU$10 * $BN$4 * 0.25
    ),
    0
)
+
IF(
    $N97 &lt; 0.875,
    MAX(0, MIN(($H97 / 1000) * AU$10 * $BN$4, AU$11 * 0.876) - (AU$11 * $N97)) * 0.25,
    0
)</f>
        <v>0</v>
      </c>
      <c r="AV97" s="36" cm="1">
        <f t="array" ref="AV97">IF(
    AND($H97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($H97 / 1000) * AV$10 * $BN$4 * 0.25
    ),
    0
)
+
IF(
    $N97 &lt; 0.875,
    MAX(0, MIN(($H97 / 1000) * AV$10 * $BN$4, AV$11 * 0.876) - (AV$11 * $N97)) * 0.25,
    0
)</f>
        <v>0</v>
      </c>
      <c r="AW97" s="36" cm="1">
        <f t="array" ref="AW97">IF(
    AND($H97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($H97 / 1000) * AW$10 * $BN$4 * 0.25
    ),
    0
)
+
IF(
    $N97 &lt; 0.875,
    MAX(0, MIN(($H97 / 1000) * AW$10 * $BN$4, AW$11 * 0.876) - (AW$11 * $N97)) * 0.25,
    0
)</f>
        <v>0</v>
      </c>
      <c r="AX97" s="36" cm="1">
        <f t="array" ref="AX97">IF(
    AND($H97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($H97 / 1000) * AX$10 * $BN$4 * 0.25
    ),
    0
)
+
IF(
    $N97 &lt; 0.875,
    MAX(0, MIN(($H97 / 1000) * AX$10 * $BN$4, AX$11 * 0.876) - (AX$11 * $N97)) * 0.25,
    0
)</f>
        <v>0</v>
      </c>
      <c r="AY97" s="36" cm="1">
        <f t="array" ref="AY97">IF(
    AND($H97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($H97 / 1000) * AY$10 * $BN$4 * 0.25
    ),
    0
)
+
IF(
    $N97 &lt; 0.875,
    MAX(0, MIN(($H97 / 1000) * AY$10 * $BN$4, AY$11 * 0.876) - (AY$11 * $N97)) * 0.25,
    0
)</f>
        <v>0</v>
      </c>
      <c r="AZ97" s="36" cm="1">
        <f t="array" ref="AZ97">IF(
    AND($H97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($H97 / 1000) * AZ$10 * $BN$4 * 0.25
    ),
    0
)
+
IF(
    $N97 &lt; 0.875,
    MAX(0, MIN(($H97 / 1000) * AZ$10 * $BN$4, AZ$11 * 0.876) - (AZ$11 * $N97)) * 0.25,
    0
)</f>
        <v>0</v>
      </c>
      <c r="BA97" s="36" cm="1">
        <f t="array" ref="BA97">IF(
    AND($H97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($H97 / 1000) * BA$10 * $BN$4 * 0.25
    ),
    0
)
+
IF(
    $N97 &lt; 0.875,
    MAX(0, MIN(($H97 / 1000) * BA$10 * $BN$4, BA$11 * 0.876) - (BA$11 * $N97)) * 0.25,
    0
)</f>
        <v>0</v>
      </c>
      <c r="BB97" s="36" cm="1">
        <f t="array" ref="BB97">IF(
    AND($H97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($H97 / 1000) * BB$10 * $BN$4 * 0.25
    ),
    0
)
+
IF(
    $N97 &lt; 0.875,
    MAX(0, MIN(($H97 / 1000) * BB$10 * $BN$4, BB$11 * 0.876) - (BB$11 * $N97)) * 0.25,
    0
)</f>
        <v>0</v>
      </c>
      <c r="BC97" s="36" cm="1">
        <f t="array" ref="BC97">IF(
    AND($H97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($H97 / 1000) * BC$10 * $BN$4 * 0.25
    ),
    0
)
+
IF(
    $N97 &lt; 0.875,
    MAX(0, MIN(($H97 / 1000) * BC$10 * $BN$4, BC$11 * 0.876) - (BC$11 * $N97)) * 0.25,
    0
)</f>
        <v>0</v>
      </c>
      <c r="BD97" s="36" cm="1">
        <f t="array" ref="BD97">IF(
    AND($H97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($H97 / 1000) * BD$10 * $BN$4 * 0.25
    ),
    0
)
+
IF(
    $N97 &lt; 0.875,
    MAX(0, MIN(($H97 / 1000) * BD$10 * $BN$4, BD$11 * 0.876) - (BD$11 * $N97)) * 0.25,
    0
)</f>
        <v>0</v>
      </c>
      <c r="BE97" s="36" cm="1">
        <f t="array" ref="BE97">IF(
    AND($H97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($H97 / 1000) * BE$10 * $BN$4 * 0.25
    ),
    0
)
+
IF(
    $N97 &lt; 0.875,
    MAX(0, MIN(($H97 / 1000) * BE$10 * $BN$4, BE$11 * 0.876) - (BE$11 * $N97)) * 0.25,
    0
)</f>
        <v>0</v>
      </c>
      <c r="BF97" s="36" cm="1">
        <f t="array" ref="BF97">IF(
    AND($H97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($H97 / 1000) * BF$10 * $BN$4 * 0.25
    ),
    0
)
+
IF(
    $N97 &lt; 0.875,
    MAX(0, MIN(($H97 / 1000) * BF$10 * $BN$4, BF$11 * 0.876) - (BF$11 * $N97)) * 0.25,
    0
)</f>
        <v>0</v>
      </c>
      <c r="BG97" s="8">
        <f>AVERAGE(TabellaMar2026[[#This Row],[Colonna55]:[Colonna53]])</f>
        <v>0</v>
      </c>
      <c r="BH97" s="8">
        <f>MAX(TabellaMar2026[[#This Row],[Colonna55]:[Colonna53]])</f>
        <v>0</v>
      </c>
      <c r="BI97" s="35">
        <f>MIN(TabellaMar2026[[#This Row],[Colonna55]:[Colonna53]])</f>
        <v>0</v>
      </c>
      <c r="BJ97" s="48">
        <f>SUM(TabellaMar2026[[#This Row],[Colonna54]:[Colonna53]])</f>
        <v>0</v>
      </c>
      <c r="BK97" s="54">
        <f>(SUM(Tabella01MarzoInverter[[Active power TX1-INV-1]:[Active power TX3-INV-12]]) * 0.25) / (12625 * (SUM($G$15:$H$110) * 0.25 / 1000))</f>
        <v>1.014229628761051</v>
      </c>
      <c r="BL97" s="5"/>
      <c r="BM97" s="5"/>
      <c r="BN97" s="5"/>
      <c r="BO97" s="8"/>
      <c r="BP97" s="19"/>
    </row>
    <row r="98" spans="1:68" x14ac:dyDescent="0.25">
      <c r="A98" s="18">
        <v>46147</v>
      </c>
      <c r="B98" t="s">
        <v>98</v>
      </c>
      <c r="C98" s="5">
        <v>-0.9</v>
      </c>
      <c r="D98" s="6">
        <v>-2.2499999999999999E-4</v>
      </c>
      <c r="E98" s="6">
        <v>0</v>
      </c>
      <c r="F98" s="6">
        <v>0</v>
      </c>
      <c r="G98" s="6">
        <f>IFERROR((D98+F98)/2, 0)</f>
        <v>-1.125E-4</v>
      </c>
      <c r="H98" s="7">
        <f>IFERROR(IF(AVERAGE(C98,E98)&gt;$BN$7,AVERAGE(C98,E98),0), 0)</f>
        <v>0</v>
      </c>
      <c r="I98" s="7">
        <f>IFERROR(IF(AND(D98=0,F98=0),0,IF(H98&gt;$BN$6,MAX(D98,F98),G98)), 0)</f>
        <v>-1.125E-4</v>
      </c>
      <c r="J98" s="6">
        <f>IFERROR(IF(AND(D98&gt;0,F98&gt;0),ABS(D98-F98)/AVERAGE(D98,F98),0), 0)</f>
        <v>0</v>
      </c>
      <c r="K98" s="6">
        <v>30467.8</v>
      </c>
      <c r="L98" s="6">
        <v>30467.8</v>
      </c>
      <c r="M98" s="8">
        <f>IFERROR((L98-K98)*1000, 0)</f>
        <v>0</v>
      </c>
      <c r="N98" s="6">
        <v>0.87599999999999989</v>
      </c>
      <c r="O98" s="8" cm="1">
        <f t="array" ref="O98">IF(
    AND($H98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($H98 / 1000) * O$10 * $BN$4 * 0.25
    ),
    0
)
+
IF(
    $N98 &lt; 0.875,
    MAX(0, MIN(($H98 / 1000) * O$10 * $BN$4, O$11 * 0.876) - (O$11 * $N98)) * 0.25,
    0
)</f>
        <v>0</v>
      </c>
      <c r="P98" s="8" cm="1">
        <f t="array" ref="P98">IF(
    AND($H98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($H98 / 1000) * P$10 * $BN$4 * 0.25
    ),
    0
)
+
IF(
    $N98 &lt; 0.875,
    MAX(0, MIN(($H98 / 1000) * P$10 * $BN$4, P$11 * 0.876) - (P$11 * $N98)) * 0.25,
    0
)</f>
        <v>0</v>
      </c>
      <c r="Q98" s="8" cm="1">
        <f t="array" ref="Q98">IF(
    AND($H98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($H98 / 1000) * Q$10 * $BN$4 * 0.25
    ),
    0
)
+
IF(
    $N98 &lt; 0.875,
    MAX(0, MIN(($H98 / 1000) * Q$10 * $BN$4, Q$11 * 0.876) - (Q$11 * $N98)) * 0.25,
    0
)</f>
        <v>0</v>
      </c>
      <c r="R98" s="8" cm="1">
        <f t="array" ref="R98">IF(
    AND($H98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($H98 / 1000) * R$10 * $BN$4 * 0.25
    ),
    0
)
+
IF(
    $N98 &lt; 0.875,
    MAX(0, MIN(($H98 / 1000) * R$10 * $BN$4, R$11 * 0.876) - (R$11 * $N98)) * 0.25,
    0
)</f>
        <v>0</v>
      </c>
      <c r="S98" s="8" cm="1">
        <f t="array" ref="S98">IF(
    AND($H98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($H98 / 1000) * S$10 * $BN$4 * 0.25
    ),
    0
)
+
IF(
    $N98 &lt; 0.875,
    MAX(0, MIN(($H98 / 1000) * S$10 * $BN$4, S$11 * 0.876) - (S$11 * $N98)) * 0.25,
    0
)</f>
        <v>0</v>
      </c>
      <c r="T98" s="8" cm="1">
        <f t="array" ref="T98">IF(
    AND($H98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($H98 / 1000) * T$10 * $BN$4 * 0.25
    ),
    0
)
+
IF(
    $N98 &lt; 0.875,
    MAX(0, MIN(($H98 / 1000) * T$10 * $BN$4, T$11 * 0.876) - (T$11 * $N98)) * 0.25,
    0
)</f>
        <v>0</v>
      </c>
      <c r="U98" s="8" cm="1">
        <f t="array" ref="U98">IF(
    AND($H98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($H98 / 1000) * U$10 * $BN$4 * 0.25
    ),
    0
)
+
IF(
    $N98 &lt; 0.875,
    MAX(0, MIN(($H98 / 1000) * U$10 * $BN$4, U$11 * 0.876) - (U$11 * $N98)) * 0.25,
    0
)</f>
        <v>0</v>
      </c>
      <c r="V98" s="8" cm="1">
        <f t="array" ref="V98">IF(
    AND($H98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($H98 / 1000) * V$10 * $BN$4 * 0.25
    ),
    0
)
+
IF(
    $N98 &lt; 0.875,
    MAX(0, MIN(($H98 / 1000) * V$10 * $BN$4, V$11 * 0.876) - (V$11 * $N98)) * 0.25,
    0
)</f>
        <v>0</v>
      </c>
      <c r="W98" s="8" cm="1">
        <f t="array" ref="W98">IF(
    AND($H98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($H98 / 1000) * W$10 * $BN$4 * 0.25
    ),
    0
)
+
IF(
    $N98 &lt; 0.875,
    MAX(0, MIN(($H98 / 1000) * W$10 * $BN$4, W$11 * 0.876) - (W$11 * $N98)) * 0.25,
    0
)</f>
        <v>0</v>
      </c>
      <c r="X98" s="8" cm="1">
        <f t="array" ref="X98">IF(
    AND($H98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($H98 / 1000) * X$10 * $BN$4 * 0.25
    ),
    0
)
+
IF(
    $N98 &lt; 0.875,
    MAX(0, MIN(($H98 / 1000) * X$10 * $BN$4, X$11 * 0.876) - (X$11 * $N98)) * 0.25,
    0
)</f>
        <v>0</v>
      </c>
      <c r="Y98" s="8" cm="1">
        <f t="array" ref="Y98">IF(
    AND($H98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($H98 / 1000) * Y$10 * $BN$4 * 0.25
    ),
    0
)
+
IF(
    $N98 &lt; 0.875,
    MAX(0, MIN(($H98 / 1000) * Y$10 * $BN$4, Y$11 * 0.876) - (Y$11 * $N98)) * 0.25,
    0
)</f>
        <v>0</v>
      </c>
      <c r="Z98" s="8" cm="1">
        <f t="array" ref="Z98">IF(
    AND($H98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($H98 / 1000) * Z$10 * $BN$4 * 0.25
    ),
    0
)
+
IF(
    $N98 &lt; 0.875,
    MAX(0, MIN(($H98 / 1000) * Z$10 * $BN$4, Z$11 * 0.876) - (Z$11 * $N98)) * 0.25,
    0
)</f>
        <v>0</v>
      </c>
      <c r="AA98" s="8">
        <f>AVERAGE(TabellaMar2026[[#This Row],[Colonna24]:[Colonna20]])</f>
        <v>0</v>
      </c>
      <c r="AB98" s="8">
        <f>MAX(TabellaMar2026[[#This Row],[Colonna24]:[Colonna20]])</f>
        <v>0</v>
      </c>
      <c r="AC98" s="35">
        <f>MIN(TabellaMar2026[[#This Row],[Colonna24]:[Colonna20]])</f>
        <v>0</v>
      </c>
      <c r="AD98" s="44">
        <f>SUM(TabellaMar2026[[#This Row],[Colonna24]:[Colonna20]])</f>
        <v>0</v>
      </c>
      <c r="AE98" s="36">
        <f>IF(
    AND($H98 &gt; $BN$7, Tabella01MarzoInverter[[#This Row],[Active power TX2-INV-1]] &lt;= 0, Tabella01MarzoInverter[[#This Row],[TX2 - Average Power]] &lt;= 0),
    MIN(($H98 / 1000) * AE$10 * $BN$4, AE$11 * 0.876) * 0.25,
    IF(
        AND($H98 &gt; $BN$7, Tabella01MarzoInverter[[#This Row],[Active power TX2-INV-1]] &lt;= 0),
        Tabella01MarzoInverter[[#This Row],[TX2 - Average Power]] * 0.25,
        0
    )
    +
    IF(
        $N98 &lt; 0.875,
        MAX(0, MIN(($H98 / 1000) * AE$10 * $BN$4, AE$11 * 0.876) - (AE$11 * $N98)) * 0.25,
        0
    )
)</f>
        <v>0</v>
      </c>
      <c r="AF98" s="36">
        <f>IF(
    AND($H98 &gt; $BN$7, Tabella01MarzoInverter[[#This Row],[Active power TX2-INV-2]] &lt;= 0, Tabella01MarzoInverter[[#This Row],[TX2 - Max Power]] &lt;= 0),
    MIN(($H98 / 1000) * AF$10 * $BN$4, AF$11 * 0.876) * 0.25,
    IF(
        AND($H98 &gt; $BN$7, Tabella01MarzoInverter[[#This Row],[Active power TX2-INV-2]] &lt;= 0),
        Tabella01MarzoInverter[[#This Row],[TX2 - Max Power]] * 0.25,
        0
    )
    +
    IF(
        $N98 &lt; 0.875,
        MAX(0, MIN(($H98 / 1000) * AF$10 * $BN$4, AF$11 * 0.876) - (AF$11 * $N98)) * 0.25,
        0
    )
)</f>
        <v>0</v>
      </c>
      <c r="AG98" s="36">
        <f>IF(
    AND($H98 &gt; $BN$7, Tabella01MarzoInverter[[#This Row],[Active power TX2-INV-3]] &lt;= 0, Tabella01MarzoInverter[[#This Row],[TX2 - Min Power]] &lt;= 0),
    MIN(($H98 / 1000) * AG$10 * $BN$4, AG$11 * 0.876) * 0.25,
    IF(
        AND($H98 &gt; $BN$7, Tabella01MarzoInverter[[#This Row],[Active power TX2-INV-3]] &lt;= 0),
        Tabella01MarzoInverter[[#This Row],[TX2 - Min Power]] * 0.25,
        0
    )
    +
    IF(
        $N98 &lt; 0.875,
        MAX(0, MIN(($H98 / 1000) * AG$10 * $BN$4, AG$11 * 0.876) - (AG$11 * $N98)) * 0.25,
        0
    )
)</f>
        <v>0</v>
      </c>
      <c r="AH98" s="36">
        <f>IF(
    AND($H98 &gt; $BN$7, Tabella01MarzoInverter[[#This Row],[Active power TX2-INV-4]] &lt;= 0, Tabella01MarzoInverter[[#This Row],[Active power TX3-INV-1]] &lt;= 0),
    MIN(($H98 / 1000) * AH$10 * $BN$4, AH$11 * 0.876) * 0.25,
    IF(
        AND($H98 &gt; $BN$7, Tabella01MarzoInverter[[#This Row],[Active power TX2-INV-4]] &lt;= 0),
        Tabella01MarzoInverter[[#This Row],[Active power TX3-INV-1]] * 0.25,
        0
    )
    +
    IF(
        $N98 &lt; 0.875,
        MAX(0, MIN(($H98 / 1000) * AH$10 * $BN$4, AH$11 * 0.876) - (AH$11 * $N98)) * 0.25,
        0
    )
)</f>
        <v>0</v>
      </c>
      <c r="AI98" s="36">
        <f>IF(
    AND($H98 &gt; $BN$7, Tabella01MarzoInverter[[#This Row],[Active power TX2-INV-5]] &lt;= 0, Tabella01MarzoInverter[[#This Row],[Active power TX3-INV-2]] &lt;= 0),
    MIN(($H98 / 1000) * AI$10 * $BN$4, AI$11 * 0.876) * 0.25,
    IF(
        AND($H98 &gt; $BN$7, Tabella01MarzoInverter[[#This Row],[Active power TX2-INV-5]] &lt;= 0),
        Tabella01MarzoInverter[[#This Row],[Active power TX3-INV-2]] * 0.25,
        0
    )
    +
    IF(
        $N98 &lt; 0.875,
        MAX(0, MIN(($H98 / 1000) * AI$10 * $BN$4, AI$11 * 0.876) - (AI$11 * $N98)) * 0.25,
        0
    )
)</f>
        <v>0</v>
      </c>
      <c r="AJ98" s="36">
        <f>IF(
    AND($H98 &gt; $BN$7, Tabella01MarzoInverter[[#This Row],[Active power TX2-INV-6]] &lt;= 0, Tabella01MarzoInverter[[#This Row],[Active power TX3-INV-3]] &lt;= 0),
    MIN(($H98 / 1000) * AJ$10 * $BN$4, AJ$11 * 0.876) * 0.25,
    IF(
        AND($H98 &gt; $BN$7, Tabella01MarzoInverter[[#This Row],[Active power TX2-INV-6]] &lt;= 0),
        Tabella01MarzoInverter[[#This Row],[Active power TX3-INV-3]] * 0.25,
        0
    )
    +
    IF(
        $N98 &lt; 0.875,
        MAX(0, MIN(($H98 / 1000) * AJ$10 * $BN$4, AJ$11 * 0.876) - (AJ$11 * $N98)) * 0.25,
        0
    )
)</f>
        <v>0</v>
      </c>
      <c r="AK98" s="36">
        <f>IF(
    AND($H98 &gt; $BN$7, Tabella01MarzoInverter[[#This Row],[Active power TX2-INV-7]] &lt;= 0, Tabella01MarzoInverter[[#This Row],[Active power TX3-INV-4]] &lt;= 0),
    MIN(($H98 / 1000) * AK$10 * $BN$4, AK$11 * 0.876) * 0.25,
    IF(
        AND($H98 &gt; $BN$7, Tabella01MarzoInverter[[#This Row],[Active power TX2-INV-7]] &lt;= 0),
        Tabella01MarzoInverter[[#This Row],[Active power TX3-INV-4]] * 0.25,
        0
    )
    +
    IF(
        $N98 &lt; 0.875,
        MAX(0, MIN(($H98 / 1000) * AK$10 * $BN$4, AK$11 * 0.876) - (AK$11 * $N98)) * 0.25,
        0
    )
)</f>
        <v>0</v>
      </c>
      <c r="AL98" s="36">
        <f>IF(
    AND($H98 &gt; $BN$7, Tabella01MarzoInverter[[#This Row],[Active power TX2-INV-8]] &lt;= 0, Tabella01MarzoInverter[[#This Row],[Active power TX3-INV-5]] &lt;= 0),
    MIN(($H98 / 1000) * AL$10 * $BN$4, AL$11 * 0.876) * 0.25,
    IF(
        AND($H98 &gt; $BN$7, Tabella01MarzoInverter[[#This Row],[Active power TX2-INV-8]] &lt;= 0),
        Tabella01MarzoInverter[[#This Row],[Active power TX3-INV-5]] * 0.25,
        0
    )
    +
    IF(
        $N98 &lt; 0.875,
        MAX(0, MIN(($H98 / 1000) * AL$10 * $BN$4, AL$11 * 0.876) - (AL$11 * $N98)) * 0.25,
        0
    )
)</f>
        <v>0</v>
      </c>
      <c r="AM98" s="36">
        <f>IF(
    AND($H98 &gt; $BN$7, Tabella01MarzoInverter[[#This Row],[Active power TX2-INV-9]] &lt;= 0, Tabella01MarzoInverter[[#This Row],[Active power TX3-INV-6]] &lt;= 0),
    MIN(($H98 / 1000) * AM$10 * $BN$4, AM$11 * 0.876) * 0.25,
    IF(
        AND($H98 &gt; $BN$7, Tabella01MarzoInverter[[#This Row],[Active power TX2-INV-9]] &lt;= 0),
        Tabella01MarzoInverter[[#This Row],[Active power TX3-INV-6]] * 0.25,
        0
    )
    +
    IF(
        $N98 &lt; 0.875,
        MAX(0, MIN(($H98 / 1000) * AM$10 * $BN$4, AM$11 * 0.876) - (AM$11 * $N98)) * 0.25,
        0
    )
)</f>
        <v>0</v>
      </c>
      <c r="AN98" s="36">
        <f>IF(
    AND($H98 &gt; $BN$7, Tabella01MarzoInverter[[#This Row],[Active power TX2-INV-10]] &lt;= 0, Tabella01MarzoInverter[[#This Row],[Active power TX3-INV-7]] &lt;= 0),
    MIN(($H98 / 1000) * AN$10 * $BN$4, AN$11 * 0.876) * 0.25,
    IF(
        AND($H98 &gt; $BN$7, Tabella01MarzoInverter[[#This Row],[Active power TX2-INV-10]] &lt;= 0),
        Tabella01MarzoInverter[[#This Row],[Active power TX3-INV-7]] * 0.25,
        0
    )
    +
    IF(
        $N98 &lt; 0.875,
        MAX(0, MIN(($H98 / 1000) * AN$10 * $BN$4, AN$11 * 0.876) - (AN$11 * $N98)) * 0.25,
        0
    )
)</f>
        <v>0</v>
      </c>
      <c r="AO98" s="36">
        <f>IF(
    AND($H98 &gt; $BN$7, Tabella01MarzoInverter[[#This Row],[Active power TX2-INV-11]] &lt;= 0, Tabella01MarzoInverter[[#This Row],[Active power TX3-INV-8]] &lt;= 0),
    MIN(($H98 / 1000) * AO$10 * $BN$4, AO$11 * 0.876) * 0.25,
    IF(
        AND($H98 &gt; $BN$7, Tabella01MarzoInverter[[#This Row],[Active power TX2-INV-11]] &lt;= 0),
        Tabella01MarzoInverter[[#This Row],[Active power TX3-INV-8]] * 0.25,
        0
    )
    +
    IF(
        $N98 &lt; 0.875,
        MAX(0, MIN(($H98 / 1000) * AO$10 * $BN$4, AO$11 * 0.876) - (AO$11 * $N98)) * 0.25,
        0
    )
)</f>
        <v>0</v>
      </c>
      <c r="AP98" s="36">
        <f>IF(
    AND($H98 &gt; $BN$7, Tabella01MarzoInverter[[#This Row],[Active power TX2-INV-12]] &lt;= 0, Tabella01MarzoInverter[[#This Row],[Active power TX3-INV-9]] &lt;= 0),
    MIN(($H98 / 1000) * AP$10 * $BN$4, AP$11 * 0.876) * 0.25,
    IF(
        AND($H98 &gt; $BN$7, Tabella01MarzoInverter[[#This Row],[Active power TX2-INV-12]] &lt;= 0),
        Tabella01MarzoInverter[[#This Row],[Active power TX3-INV-9]] * 0.25,
        0
    )
    +
    IF(
        $N98 &lt; 0.875,
        MAX(0, MIN(($H98 / 1000) * AP$10 * $BN$4, AP$11 * 0.876) - (AP$11 * $N98)) * 0.25,
        0
    )
)</f>
        <v>0</v>
      </c>
      <c r="AQ98" s="8">
        <f>AVERAGE(TabellaMar2026[[#This Row],[Colonna39]:[Colonna6]])</f>
        <v>0</v>
      </c>
      <c r="AR98" s="8">
        <f>MAX(TabellaMar2026[[#This Row],[Colonna39]:[Colonna6]])</f>
        <v>0</v>
      </c>
      <c r="AS98" s="35">
        <f>MIN(TabellaMar2026[[#This Row],[Colonna39]:[Colonna6]])</f>
        <v>0</v>
      </c>
      <c r="AT98" s="48">
        <f>SUM(TabellaMar2026[[#This Row],[Colonna39]:[Colonna6]])</f>
        <v>0</v>
      </c>
      <c r="AU98" s="36" cm="1">
        <f t="array" ref="AU98">IF(
    AND($H98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($H98 / 1000) * AU$10 * $BN$4 * 0.25
    ),
    0
)
+
IF(
    $N98 &lt; 0.875,
    MAX(0, MIN(($H98 / 1000) * AU$10 * $BN$4, AU$11 * 0.876) - (AU$11 * $N98)) * 0.25,
    0
)</f>
        <v>0</v>
      </c>
      <c r="AV98" s="36" cm="1">
        <f t="array" ref="AV98">IF(
    AND($H98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($H98 / 1000) * AV$10 * $BN$4 * 0.25
    ),
    0
)
+
IF(
    $N98 &lt; 0.875,
    MAX(0, MIN(($H98 / 1000) * AV$10 * $BN$4, AV$11 * 0.876) - (AV$11 * $N98)) * 0.25,
    0
)</f>
        <v>0</v>
      </c>
      <c r="AW98" s="36" cm="1">
        <f t="array" ref="AW98">IF(
    AND($H98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($H98 / 1000) * AW$10 * $BN$4 * 0.25
    ),
    0
)
+
IF(
    $N98 &lt; 0.875,
    MAX(0, MIN(($H98 / 1000) * AW$10 * $BN$4, AW$11 * 0.876) - (AW$11 * $N98)) * 0.25,
    0
)</f>
        <v>0</v>
      </c>
      <c r="AX98" s="36" cm="1">
        <f t="array" ref="AX98">IF(
    AND($H98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($H98 / 1000) * AX$10 * $BN$4 * 0.25
    ),
    0
)
+
IF(
    $N98 &lt; 0.875,
    MAX(0, MIN(($H98 / 1000) * AX$10 * $BN$4, AX$11 * 0.876) - (AX$11 * $N98)) * 0.25,
    0
)</f>
        <v>0</v>
      </c>
      <c r="AY98" s="36" cm="1">
        <f t="array" ref="AY98">IF(
    AND($H98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($H98 / 1000) * AY$10 * $BN$4 * 0.25
    ),
    0
)
+
IF(
    $N98 &lt; 0.875,
    MAX(0, MIN(($H98 / 1000) * AY$10 * $BN$4, AY$11 * 0.876) - (AY$11 * $N98)) * 0.25,
    0
)</f>
        <v>0</v>
      </c>
      <c r="AZ98" s="36" cm="1">
        <f t="array" ref="AZ98">IF(
    AND($H98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($H98 / 1000) * AZ$10 * $BN$4 * 0.25
    ),
    0
)
+
IF(
    $N98 &lt; 0.875,
    MAX(0, MIN(($H98 / 1000) * AZ$10 * $BN$4, AZ$11 * 0.876) - (AZ$11 * $N98)) * 0.25,
    0
)</f>
        <v>0</v>
      </c>
      <c r="BA98" s="36" cm="1">
        <f t="array" ref="BA98">IF(
    AND($H98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($H98 / 1000) * BA$10 * $BN$4 * 0.25
    ),
    0
)
+
IF(
    $N98 &lt; 0.875,
    MAX(0, MIN(($H98 / 1000) * BA$10 * $BN$4, BA$11 * 0.876) - (BA$11 * $N98)) * 0.25,
    0
)</f>
        <v>0</v>
      </c>
      <c r="BB98" s="36" cm="1">
        <f t="array" ref="BB98">IF(
    AND($H98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($H98 / 1000) * BB$10 * $BN$4 * 0.25
    ),
    0
)
+
IF(
    $N98 &lt; 0.875,
    MAX(0, MIN(($H98 / 1000) * BB$10 * $BN$4, BB$11 * 0.876) - (BB$11 * $N98)) * 0.25,
    0
)</f>
        <v>0</v>
      </c>
      <c r="BC98" s="36" cm="1">
        <f t="array" ref="BC98">IF(
    AND($H98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($H98 / 1000) * BC$10 * $BN$4 * 0.25
    ),
    0
)
+
IF(
    $N98 &lt; 0.875,
    MAX(0, MIN(($H98 / 1000) * BC$10 * $BN$4, BC$11 * 0.876) - (BC$11 * $N98)) * 0.25,
    0
)</f>
        <v>0</v>
      </c>
      <c r="BD98" s="36" cm="1">
        <f t="array" ref="BD98">IF(
    AND($H98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($H98 / 1000) * BD$10 * $BN$4 * 0.25
    ),
    0
)
+
IF(
    $N98 &lt; 0.875,
    MAX(0, MIN(($H98 / 1000) * BD$10 * $BN$4, BD$11 * 0.876) - (BD$11 * $N98)) * 0.25,
    0
)</f>
        <v>0</v>
      </c>
      <c r="BE98" s="36" cm="1">
        <f t="array" ref="BE98">IF(
    AND($H98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($H98 / 1000) * BE$10 * $BN$4 * 0.25
    ),
    0
)
+
IF(
    $N98 &lt; 0.875,
    MAX(0, MIN(($H98 / 1000) * BE$10 * $BN$4, BE$11 * 0.876) - (BE$11 * $N98)) * 0.25,
    0
)</f>
        <v>0</v>
      </c>
      <c r="BF98" s="36" cm="1">
        <f t="array" ref="BF98">IF(
    AND($H98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($H98 / 1000) * BF$10 * $BN$4 * 0.25
    ),
    0
)
+
IF(
    $N98 &lt; 0.875,
    MAX(0, MIN(($H98 / 1000) * BF$10 * $BN$4, BF$11 * 0.876) - (BF$11 * $N98)) * 0.25,
    0
)</f>
        <v>0</v>
      </c>
      <c r="BG98" s="8">
        <f>AVERAGE(TabellaMar2026[[#This Row],[Colonna55]:[Colonna53]])</f>
        <v>0</v>
      </c>
      <c r="BH98" s="8">
        <f>MAX(TabellaMar2026[[#This Row],[Colonna55]:[Colonna53]])</f>
        <v>0</v>
      </c>
      <c r="BI98" s="35">
        <f>MIN(TabellaMar2026[[#This Row],[Colonna55]:[Colonna53]])</f>
        <v>0</v>
      </c>
      <c r="BJ98" s="48">
        <f>SUM(TabellaMar2026[[#This Row],[Colonna54]:[Colonna53]])</f>
        <v>0</v>
      </c>
      <c r="BK98" s="54">
        <f>(SUM(Tabella01MarzoInverter[[Active power TX1-INV-1]:[Active power TX3-INV-12]]) * 0.25) / (12625 * (SUM($G$15:$H$110) * 0.25 / 1000))</f>
        <v>1.014229628761051</v>
      </c>
      <c r="BL98" s="5"/>
      <c r="BM98" s="5"/>
      <c r="BN98" s="5"/>
      <c r="BO98" s="8"/>
      <c r="BP98" s="19"/>
    </row>
    <row r="99" spans="1:68" x14ac:dyDescent="0.25">
      <c r="A99" s="18">
        <v>46147</v>
      </c>
      <c r="B99" t="s">
        <v>99</v>
      </c>
      <c r="C99" s="5">
        <v>0</v>
      </c>
      <c r="D99" s="6">
        <v>0</v>
      </c>
      <c r="E99" s="6">
        <v>0</v>
      </c>
      <c r="F99" s="6">
        <v>0</v>
      </c>
      <c r="G99" s="6">
        <f>IFERROR((D99+F99)/2, 0)</f>
        <v>0</v>
      </c>
      <c r="H99" s="7">
        <f>IFERROR(IF(AVERAGE(C99,E99)&gt;$BN$7,AVERAGE(C99,E99),0), 0)</f>
        <v>0</v>
      </c>
      <c r="I99" s="7">
        <f>IFERROR(IF(AND(D99=0,F99=0),0,IF(H99&gt;$BN$6,MAX(D99,F99),G99)), 0)</f>
        <v>0</v>
      </c>
      <c r="J99" s="6">
        <f>IFERROR(IF(AND(D99&gt;0,F99&gt;0),ABS(D99-F99)/AVERAGE(D99,F99),0), 0)</f>
        <v>0</v>
      </c>
      <c r="K99" s="6">
        <v>30467.8</v>
      </c>
      <c r="L99" s="6">
        <v>30467.8</v>
      </c>
      <c r="M99" s="8">
        <f>IFERROR((L99-K99)*1000, 0)</f>
        <v>0</v>
      </c>
      <c r="N99" s="6">
        <v>0.87599999999999989</v>
      </c>
      <c r="O99" s="8" cm="1">
        <f t="array" ref="O99">IF(
    AND($H99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($H99 / 1000) * O$10 * $BN$4 * 0.25
    ),
    0
)
+
IF(
    $N99 &lt; 0.875,
    MAX(0, MIN(($H99 / 1000) * O$10 * $BN$4, O$11 * 0.876) - (O$11 * $N99)) * 0.25,
    0
)</f>
        <v>0</v>
      </c>
      <c r="P99" s="8" cm="1">
        <f t="array" ref="P99">IF(
    AND($H99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($H99 / 1000) * P$10 * $BN$4 * 0.25
    ),
    0
)
+
IF(
    $N99 &lt; 0.875,
    MAX(0, MIN(($H99 / 1000) * P$10 * $BN$4, P$11 * 0.876) - (P$11 * $N99)) * 0.25,
    0
)</f>
        <v>0</v>
      </c>
      <c r="Q99" s="8" cm="1">
        <f t="array" ref="Q99">IF(
    AND($H99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($H99 / 1000) * Q$10 * $BN$4 * 0.25
    ),
    0
)
+
IF(
    $N99 &lt; 0.875,
    MAX(0, MIN(($H99 / 1000) * Q$10 * $BN$4, Q$11 * 0.876) - (Q$11 * $N99)) * 0.25,
    0
)</f>
        <v>0</v>
      </c>
      <c r="R99" s="8" cm="1">
        <f t="array" ref="R99">IF(
    AND($H99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($H99 / 1000) * R$10 * $BN$4 * 0.25
    ),
    0
)
+
IF(
    $N99 &lt; 0.875,
    MAX(0, MIN(($H99 / 1000) * R$10 * $BN$4, R$11 * 0.876) - (R$11 * $N99)) * 0.25,
    0
)</f>
        <v>0</v>
      </c>
      <c r="S99" s="8" cm="1">
        <f t="array" ref="S99">IF(
    AND($H99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($H99 / 1000) * S$10 * $BN$4 * 0.25
    ),
    0
)
+
IF(
    $N99 &lt; 0.875,
    MAX(0, MIN(($H99 / 1000) * S$10 * $BN$4, S$11 * 0.876) - (S$11 * $N99)) * 0.25,
    0
)</f>
        <v>0</v>
      </c>
      <c r="T99" s="8" cm="1">
        <f t="array" ref="T99">IF(
    AND($H99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($H99 / 1000) * T$10 * $BN$4 * 0.25
    ),
    0
)
+
IF(
    $N99 &lt; 0.875,
    MAX(0, MIN(($H99 / 1000) * T$10 * $BN$4, T$11 * 0.876) - (T$11 * $N99)) * 0.25,
    0
)</f>
        <v>0</v>
      </c>
      <c r="U99" s="8" cm="1">
        <f t="array" ref="U99">IF(
    AND($H99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($H99 / 1000) * U$10 * $BN$4 * 0.25
    ),
    0
)
+
IF(
    $N99 &lt; 0.875,
    MAX(0, MIN(($H99 / 1000) * U$10 * $BN$4, U$11 * 0.876) - (U$11 * $N99)) * 0.25,
    0
)</f>
        <v>0</v>
      </c>
      <c r="V99" s="8" cm="1">
        <f t="array" ref="V99">IF(
    AND($H99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($H99 / 1000) * V$10 * $BN$4 * 0.25
    ),
    0
)
+
IF(
    $N99 &lt; 0.875,
    MAX(0, MIN(($H99 / 1000) * V$10 * $BN$4, V$11 * 0.876) - (V$11 * $N99)) * 0.25,
    0
)</f>
        <v>0</v>
      </c>
      <c r="W99" s="8" cm="1">
        <f t="array" ref="W99">IF(
    AND($H99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($H99 / 1000) * W$10 * $BN$4 * 0.25
    ),
    0
)
+
IF(
    $N99 &lt; 0.875,
    MAX(0, MIN(($H99 / 1000) * W$10 * $BN$4, W$11 * 0.876) - (W$11 * $N99)) * 0.25,
    0
)</f>
        <v>0</v>
      </c>
      <c r="X99" s="8" cm="1">
        <f t="array" ref="X99">IF(
    AND($H99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($H99 / 1000) * X$10 * $BN$4 * 0.25
    ),
    0
)
+
IF(
    $N99 &lt; 0.875,
    MAX(0, MIN(($H99 / 1000) * X$10 * $BN$4, X$11 * 0.876) - (X$11 * $N99)) * 0.25,
    0
)</f>
        <v>0</v>
      </c>
      <c r="Y99" s="8" cm="1">
        <f t="array" ref="Y99">IF(
    AND($H99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($H99 / 1000) * Y$10 * $BN$4 * 0.25
    ),
    0
)
+
IF(
    $N99 &lt; 0.875,
    MAX(0, MIN(($H99 / 1000) * Y$10 * $BN$4, Y$11 * 0.876) - (Y$11 * $N99)) * 0.25,
    0
)</f>
        <v>0</v>
      </c>
      <c r="Z99" s="8" cm="1">
        <f t="array" ref="Z99">IF(
    AND($H99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($H99 / 1000) * Z$10 * $BN$4 * 0.25
    ),
    0
)
+
IF(
    $N99 &lt; 0.875,
    MAX(0, MIN(($H99 / 1000) * Z$10 * $BN$4, Z$11 * 0.876) - (Z$11 * $N99)) * 0.25,
    0
)</f>
        <v>0</v>
      </c>
      <c r="AA99" s="8">
        <f>AVERAGE(TabellaMar2026[[#This Row],[Colonna24]:[Colonna20]])</f>
        <v>0</v>
      </c>
      <c r="AB99" s="8">
        <f>MAX(TabellaMar2026[[#This Row],[Colonna24]:[Colonna20]])</f>
        <v>0</v>
      </c>
      <c r="AC99" s="35">
        <f>MIN(TabellaMar2026[[#This Row],[Colonna24]:[Colonna20]])</f>
        <v>0</v>
      </c>
      <c r="AD99" s="44">
        <f>SUM(TabellaMar2026[[#This Row],[Colonna24]:[Colonna20]])</f>
        <v>0</v>
      </c>
      <c r="AE99" s="36">
        <f>IF(
    AND($H99 &gt; $BN$7, Tabella01MarzoInverter[[#This Row],[Active power TX2-INV-1]] &lt;= 0, Tabella01MarzoInverter[[#This Row],[TX2 - Average Power]] &lt;= 0),
    MIN(($H99 / 1000) * AE$10 * $BN$4, AE$11 * 0.876) * 0.25,
    IF(
        AND($H99 &gt; $BN$7, Tabella01MarzoInverter[[#This Row],[Active power TX2-INV-1]] &lt;= 0),
        Tabella01MarzoInverter[[#This Row],[TX2 - Average Power]] * 0.25,
        0
    )
    +
    IF(
        $N99 &lt; 0.875,
        MAX(0, MIN(($H99 / 1000) * AE$10 * $BN$4, AE$11 * 0.876) - (AE$11 * $N99)) * 0.25,
        0
    )
)</f>
        <v>0</v>
      </c>
      <c r="AF99" s="36">
        <f>IF(
    AND($H99 &gt; $BN$7, Tabella01MarzoInverter[[#This Row],[Active power TX2-INV-2]] &lt;= 0, Tabella01MarzoInverter[[#This Row],[TX2 - Max Power]] &lt;= 0),
    MIN(($H99 / 1000) * AF$10 * $BN$4, AF$11 * 0.876) * 0.25,
    IF(
        AND($H99 &gt; $BN$7, Tabella01MarzoInverter[[#This Row],[Active power TX2-INV-2]] &lt;= 0),
        Tabella01MarzoInverter[[#This Row],[TX2 - Max Power]] * 0.25,
        0
    )
    +
    IF(
        $N99 &lt; 0.875,
        MAX(0, MIN(($H99 / 1000) * AF$10 * $BN$4, AF$11 * 0.876) - (AF$11 * $N99)) * 0.25,
        0
    )
)</f>
        <v>0</v>
      </c>
      <c r="AG99" s="36">
        <f>IF(
    AND($H99 &gt; $BN$7, Tabella01MarzoInverter[[#This Row],[Active power TX2-INV-3]] &lt;= 0, Tabella01MarzoInverter[[#This Row],[TX2 - Min Power]] &lt;= 0),
    MIN(($H99 / 1000) * AG$10 * $BN$4, AG$11 * 0.876) * 0.25,
    IF(
        AND($H99 &gt; $BN$7, Tabella01MarzoInverter[[#This Row],[Active power TX2-INV-3]] &lt;= 0),
        Tabella01MarzoInverter[[#This Row],[TX2 - Min Power]] * 0.25,
        0
    )
    +
    IF(
        $N99 &lt; 0.875,
        MAX(0, MIN(($H99 / 1000) * AG$10 * $BN$4, AG$11 * 0.876) - (AG$11 * $N99)) * 0.25,
        0
    )
)</f>
        <v>0</v>
      </c>
      <c r="AH99" s="36">
        <f>IF(
    AND($H99 &gt; $BN$7, Tabella01MarzoInverter[[#This Row],[Active power TX2-INV-4]] &lt;= 0, Tabella01MarzoInverter[[#This Row],[Active power TX3-INV-1]] &lt;= 0),
    MIN(($H99 / 1000) * AH$10 * $BN$4, AH$11 * 0.876) * 0.25,
    IF(
        AND($H99 &gt; $BN$7, Tabella01MarzoInverter[[#This Row],[Active power TX2-INV-4]] &lt;= 0),
        Tabella01MarzoInverter[[#This Row],[Active power TX3-INV-1]] * 0.25,
        0
    )
    +
    IF(
        $N99 &lt; 0.875,
        MAX(0, MIN(($H99 / 1000) * AH$10 * $BN$4, AH$11 * 0.876) - (AH$11 * $N99)) * 0.25,
        0
    )
)</f>
        <v>0</v>
      </c>
      <c r="AI99" s="36">
        <f>IF(
    AND($H99 &gt; $BN$7, Tabella01MarzoInverter[[#This Row],[Active power TX2-INV-5]] &lt;= 0, Tabella01MarzoInverter[[#This Row],[Active power TX3-INV-2]] &lt;= 0),
    MIN(($H99 / 1000) * AI$10 * $BN$4, AI$11 * 0.876) * 0.25,
    IF(
        AND($H99 &gt; $BN$7, Tabella01MarzoInverter[[#This Row],[Active power TX2-INV-5]] &lt;= 0),
        Tabella01MarzoInverter[[#This Row],[Active power TX3-INV-2]] * 0.25,
        0
    )
    +
    IF(
        $N99 &lt; 0.875,
        MAX(0, MIN(($H99 / 1000) * AI$10 * $BN$4, AI$11 * 0.876) - (AI$11 * $N99)) * 0.25,
        0
    )
)</f>
        <v>0</v>
      </c>
      <c r="AJ99" s="36">
        <f>IF(
    AND($H99 &gt; $BN$7, Tabella01MarzoInverter[[#This Row],[Active power TX2-INV-6]] &lt;= 0, Tabella01MarzoInverter[[#This Row],[Active power TX3-INV-3]] &lt;= 0),
    MIN(($H99 / 1000) * AJ$10 * $BN$4, AJ$11 * 0.876) * 0.25,
    IF(
        AND($H99 &gt; $BN$7, Tabella01MarzoInverter[[#This Row],[Active power TX2-INV-6]] &lt;= 0),
        Tabella01MarzoInverter[[#This Row],[Active power TX3-INV-3]] * 0.25,
        0
    )
    +
    IF(
        $N99 &lt; 0.875,
        MAX(0, MIN(($H99 / 1000) * AJ$10 * $BN$4, AJ$11 * 0.876) - (AJ$11 * $N99)) * 0.25,
        0
    )
)</f>
        <v>0</v>
      </c>
      <c r="AK99" s="36">
        <f>IF(
    AND($H99 &gt; $BN$7, Tabella01MarzoInverter[[#This Row],[Active power TX2-INV-7]] &lt;= 0, Tabella01MarzoInverter[[#This Row],[Active power TX3-INV-4]] &lt;= 0),
    MIN(($H99 / 1000) * AK$10 * $BN$4, AK$11 * 0.876) * 0.25,
    IF(
        AND($H99 &gt; $BN$7, Tabella01MarzoInverter[[#This Row],[Active power TX2-INV-7]] &lt;= 0),
        Tabella01MarzoInverter[[#This Row],[Active power TX3-INV-4]] * 0.25,
        0
    )
    +
    IF(
        $N99 &lt; 0.875,
        MAX(0, MIN(($H99 / 1000) * AK$10 * $BN$4, AK$11 * 0.876) - (AK$11 * $N99)) * 0.25,
        0
    )
)</f>
        <v>0</v>
      </c>
      <c r="AL99" s="36">
        <f>IF(
    AND($H99 &gt; $BN$7, Tabella01MarzoInverter[[#This Row],[Active power TX2-INV-8]] &lt;= 0, Tabella01MarzoInverter[[#This Row],[Active power TX3-INV-5]] &lt;= 0),
    MIN(($H99 / 1000) * AL$10 * $BN$4, AL$11 * 0.876) * 0.25,
    IF(
        AND($H99 &gt; $BN$7, Tabella01MarzoInverter[[#This Row],[Active power TX2-INV-8]] &lt;= 0),
        Tabella01MarzoInverter[[#This Row],[Active power TX3-INV-5]] * 0.25,
        0
    )
    +
    IF(
        $N99 &lt; 0.875,
        MAX(0, MIN(($H99 / 1000) * AL$10 * $BN$4, AL$11 * 0.876) - (AL$11 * $N99)) * 0.25,
        0
    )
)</f>
        <v>0</v>
      </c>
      <c r="AM99" s="36">
        <f>IF(
    AND($H99 &gt; $BN$7, Tabella01MarzoInverter[[#This Row],[Active power TX2-INV-9]] &lt;= 0, Tabella01MarzoInverter[[#This Row],[Active power TX3-INV-6]] &lt;= 0),
    MIN(($H99 / 1000) * AM$10 * $BN$4, AM$11 * 0.876) * 0.25,
    IF(
        AND($H99 &gt; $BN$7, Tabella01MarzoInverter[[#This Row],[Active power TX2-INV-9]] &lt;= 0),
        Tabella01MarzoInverter[[#This Row],[Active power TX3-INV-6]] * 0.25,
        0
    )
    +
    IF(
        $N99 &lt; 0.875,
        MAX(0, MIN(($H99 / 1000) * AM$10 * $BN$4, AM$11 * 0.876) - (AM$11 * $N99)) * 0.25,
        0
    )
)</f>
        <v>0</v>
      </c>
      <c r="AN99" s="36">
        <f>IF(
    AND($H99 &gt; $BN$7, Tabella01MarzoInverter[[#This Row],[Active power TX2-INV-10]] &lt;= 0, Tabella01MarzoInverter[[#This Row],[Active power TX3-INV-7]] &lt;= 0),
    MIN(($H99 / 1000) * AN$10 * $BN$4, AN$11 * 0.876) * 0.25,
    IF(
        AND($H99 &gt; $BN$7, Tabella01MarzoInverter[[#This Row],[Active power TX2-INV-10]] &lt;= 0),
        Tabella01MarzoInverter[[#This Row],[Active power TX3-INV-7]] * 0.25,
        0
    )
    +
    IF(
        $N99 &lt; 0.875,
        MAX(0, MIN(($H99 / 1000) * AN$10 * $BN$4, AN$11 * 0.876) - (AN$11 * $N99)) * 0.25,
        0
    )
)</f>
        <v>0</v>
      </c>
      <c r="AO99" s="36">
        <f>IF(
    AND($H99 &gt; $BN$7, Tabella01MarzoInverter[[#This Row],[Active power TX2-INV-11]] &lt;= 0, Tabella01MarzoInverter[[#This Row],[Active power TX3-INV-8]] &lt;= 0),
    MIN(($H99 / 1000) * AO$10 * $BN$4, AO$11 * 0.876) * 0.25,
    IF(
        AND($H99 &gt; $BN$7, Tabella01MarzoInverter[[#This Row],[Active power TX2-INV-11]] &lt;= 0),
        Tabella01MarzoInverter[[#This Row],[Active power TX3-INV-8]] * 0.25,
        0
    )
    +
    IF(
        $N99 &lt; 0.875,
        MAX(0, MIN(($H99 / 1000) * AO$10 * $BN$4, AO$11 * 0.876) - (AO$11 * $N99)) * 0.25,
        0
    )
)</f>
        <v>0</v>
      </c>
      <c r="AP99" s="36">
        <f>IF(
    AND($H99 &gt; $BN$7, Tabella01MarzoInverter[[#This Row],[Active power TX2-INV-12]] &lt;= 0, Tabella01MarzoInverter[[#This Row],[Active power TX3-INV-9]] &lt;= 0),
    MIN(($H99 / 1000) * AP$10 * $BN$4, AP$11 * 0.876) * 0.25,
    IF(
        AND($H99 &gt; $BN$7, Tabella01MarzoInverter[[#This Row],[Active power TX2-INV-12]] &lt;= 0),
        Tabella01MarzoInverter[[#This Row],[Active power TX3-INV-9]] * 0.25,
        0
    )
    +
    IF(
        $N99 &lt; 0.875,
        MAX(0, MIN(($H99 / 1000) * AP$10 * $BN$4, AP$11 * 0.876) - (AP$11 * $N99)) * 0.25,
        0
    )
)</f>
        <v>0</v>
      </c>
      <c r="AQ99" s="8">
        <f>AVERAGE(TabellaMar2026[[#This Row],[Colonna39]:[Colonna6]])</f>
        <v>0</v>
      </c>
      <c r="AR99" s="8">
        <f>MAX(TabellaMar2026[[#This Row],[Colonna39]:[Colonna6]])</f>
        <v>0</v>
      </c>
      <c r="AS99" s="35">
        <f>MIN(TabellaMar2026[[#This Row],[Colonna39]:[Colonna6]])</f>
        <v>0</v>
      </c>
      <c r="AT99" s="48">
        <f>SUM(TabellaMar2026[[#This Row],[Colonna39]:[Colonna6]])</f>
        <v>0</v>
      </c>
      <c r="AU99" s="36" cm="1">
        <f t="array" ref="AU99">IF(
    AND($H99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($H99 / 1000) * AU$10 * $BN$4 * 0.25
    ),
    0
)
+
IF(
    $N99 &lt; 0.875,
    MAX(0, MIN(($H99 / 1000) * AU$10 * $BN$4, AU$11 * 0.876) - (AU$11 * $N99)) * 0.25,
    0
)</f>
        <v>0</v>
      </c>
      <c r="AV99" s="36" cm="1">
        <f t="array" ref="AV99">IF(
    AND($H99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($H99 / 1000) * AV$10 * $BN$4 * 0.25
    ),
    0
)
+
IF(
    $N99 &lt; 0.875,
    MAX(0, MIN(($H99 / 1000) * AV$10 * $BN$4, AV$11 * 0.876) - (AV$11 * $N99)) * 0.25,
    0
)</f>
        <v>0</v>
      </c>
      <c r="AW99" s="36" cm="1">
        <f t="array" ref="AW99">IF(
    AND($H99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($H99 / 1000) * AW$10 * $BN$4 * 0.25
    ),
    0
)
+
IF(
    $N99 &lt; 0.875,
    MAX(0, MIN(($H99 / 1000) * AW$10 * $BN$4, AW$11 * 0.876) - (AW$11 * $N99)) * 0.25,
    0
)</f>
        <v>0</v>
      </c>
      <c r="AX99" s="36" cm="1">
        <f t="array" ref="AX99">IF(
    AND($H99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($H99 / 1000) * AX$10 * $BN$4 * 0.25
    ),
    0
)
+
IF(
    $N99 &lt; 0.875,
    MAX(0, MIN(($H99 / 1000) * AX$10 * $BN$4, AX$11 * 0.876) - (AX$11 * $N99)) * 0.25,
    0
)</f>
        <v>0</v>
      </c>
      <c r="AY99" s="36" cm="1">
        <f t="array" ref="AY99">IF(
    AND($H99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($H99 / 1000) * AY$10 * $BN$4 * 0.25
    ),
    0
)
+
IF(
    $N99 &lt; 0.875,
    MAX(0, MIN(($H99 / 1000) * AY$10 * $BN$4, AY$11 * 0.876) - (AY$11 * $N99)) * 0.25,
    0
)</f>
        <v>0</v>
      </c>
      <c r="AZ99" s="36" cm="1">
        <f t="array" ref="AZ99">IF(
    AND($H99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($H99 / 1000) * AZ$10 * $BN$4 * 0.25
    ),
    0
)
+
IF(
    $N99 &lt; 0.875,
    MAX(0, MIN(($H99 / 1000) * AZ$10 * $BN$4, AZ$11 * 0.876) - (AZ$11 * $N99)) * 0.25,
    0
)</f>
        <v>0</v>
      </c>
      <c r="BA99" s="36" cm="1">
        <f t="array" ref="BA99">IF(
    AND($H99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($H99 / 1000) * BA$10 * $BN$4 * 0.25
    ),
    0
)
+
IF(
    $N99 &lt; 0.875,
    MAX(0, MIN(($H99 / 1000) * BA$10 * $BN$4, BA$11 * 0.876) - (BA$11 * $N99)) * 0.25,
    0
)</f>
        <v>0</v>
      </c>
      <c r="BB99" s="36" cm="1">
        <f t="array" ref="BB99">IF(
    AND($H99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($H99 / 1000) * BB$10 * $BN$4 * 0.25
    ),
    0
)
+
IF(
    $N99 &lt; 0.875,
    MAX(0, MIN(($H99 / 1000) * BB$10 * $BN$4, BB$11 * 0.876) - (BB$11 * $N99)) * 0.25,
    0
)</f>
        <v>0</v>
      </c>
      <c r="BC99" s="36" cm="1">
        <f t="array" ref="BC99">IF(
    AND($H99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($H99 / 1000) * BC$10 * $BN$4 * 0.25
    ),
    0
)
+
IF(
    $N99 &lt; 0.875,
    MAX(0, MIN(($H99 / 1000) * BC$10 * $BN$4, BC$11 * 0.876) - (BC$11 * $N99)) * 0.25,
    0
)</f>
        <v>0</v>
      </c>
      <c r="BD99" s="36" cm="1">
        <f t="array" ref="BD99">IF(
    AND($H99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($H99 / 1000) * BD$10 * $BN$4 * 0.25
    ),
    0
)
+
IF(
    $N99 &lt; 0.875,
    MAX(0, MIN(($H99 / 1000) * BD$10 * $BN$4, BD$11 * 0.876) - (BD$11 * $N99)) * 0.25,
    0
)</f>
        <v>0</v>
      </c>
      <c r="BE99" s="36" cm="1">
        <f t="array" ref="BE99">IF(
    AND($H99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($H99 / 1000) * BE$10 * $BN$4 * 0.25
    ),
    0
)
+
IF(
    $N99 &lt; 0.875,
    MAX(0, MIN(($H99 / 1000) * BE$10 * $BN$4, BE$11 * 0.876) - (BE$11 * $N99)) * 0.25,
    0
)</f>
        <v>0</v>
      </c>
      <c r="BF99" s="36" cm="1">
        <f t="array" ref="BF99">IF(
    AND($H99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($H99 / 1000) * BF$10 * $BN$4 * 0.25
    ),
    0
)
+
IF(
    $N99 &lt; 0.875,
    MAX(0, MIN(($H99 / 1000) * BF$10 * $BN$4, BF$11 * 0.876) - (BF$11 * $N99)) * 0.25,
    0
)</f>
        <v>0</v>
      </c>
      <c r="BG99" s="8">
        <f>AVERAGE(TabellaMar2026[[#This Row],[Colonna55]:[Colonna53]])</f>
        <v>0</v>
      </c>
      <c r="BH99" s="8">
        <f>MAX(TabellaMar2026[[#This Row],[Colonna55]:[Colonna53]])</f>
        <v>0</v>
      </c>
      <c r="BI99" s="35">
        <f>MIN(TabellaMar2026[[#This Row],[Colonna55]:[Colonna53]])</f>
        <v>0</v>
      </c>
      <c r="BJ99" s="48">
        <f>SUM(TabellaMar2026[[#This Row],[Colonna54]:[Colonna53]])</f>
        <v>0</v>
      </c>
      <c r="BK99" s="54">
        <f>(SUM(Tabella01MarzoInverter[[Active power TX1-INV-1]:[Active power TX3-INV-12]]) * 0.25) / (12625 * (SUM($G$15:$H$110) * 0.25 / 1000))</f>
        <v>1.014229628761051</v>
      </c>
      <c r="BL99" s="5"/>
      <c r="BM99" s="5"/>
      <c r="BN99" s="5"/>
      <c r="BO99" s="8"/>
      <c r="BP99" s="19"/>
    </row>
    <row r="100" spans="1:68" x14ac:dyDescent="0.25">
      <c r="A100" s="18">
        <v>46147</v>
      </c>
      <c r="B100" t="s">
        <v>100</v>
      </c>
      <c r="C100" s="5">
        <v>0</v>
      </c>
      <c r="D100" s="6">
        <v>0</v>
      </c>
      <c r="E100" s="6">
        <v>0</v>
      </c>
      <c r="F100" s="6">
        <v>0</v>
      </c>
      <c r="G100" s="6">
        <f>IFERROR((D100+F100)/2, 0)</f>
        <v>0</v>
      </c>
      <c r="H100" s="7">
        <f>IFERROR(IF(AVERAGE(C100,E100)&gt;$BN$7,AVERAGE(C100,E100),0), 0)</f>
        <v>0</v>
      </c>
      <c r="I100" s="7">
        <f>IFERROR(IF(AND(D100=0,F100=0),0,IF(H100&gt;$BN$6,MAX(D100,F100),G100)), 0)</f>
        <v>0</v>
      </c>
      <c r="J100" s="6">
        <f>IFERROR(IF(AND(D100&gt;0,F100&gt;0),ABS(D100-F100)/AVERAGE(D100,F100),0), 0)</f>
        <v>0</v>
      </c>
      <c r="K100" s="6">
        <v>30467.8</v>
      </c>
      <c r="L100" s="6">
        <v>30467.8</v>
      </c>
      <c r="M100" s="8">
        <f>IFERROR((L100-K100)*1000, 0)</f>
        <v>0</v>
      </c>
      <c r="N100" s="6">
        <v>0.87599999999999989</v>
      </c>
      <c r="O100" s="8" cm="1">
        <f t="array" ref="O100">IF(
    AND($H100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($H100 / 1000) * O$10 * $BN$4 * 0.25
    ),
    0
)
+
IF(
    $N100 &lt; 0.875,
    MAX(0, MIN(($H100 / 1000) * O$10 * $BN$4, O$11 * 0.876) - (O$11 * $N100)) * 0.25,
    0
)</f>
        <v>0</v>
      </c>
      <c r="P100" s="8" cm="1">
        <f t="array" ref="P100">IF(
    AND($H100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($H100 / 1000) * P$10 * $BN$4 * 0.25
    ),
    0
)
+
IF(
    $N100 &lt; 0.875,
    MAX(0, MIN(($H100 / 1000) * P$10 * $BN$4, P$11 * 0.876) - (P$11 * $N100)) * 0.25,
    0
)</f>
        <v>0</v>
      </c>
      <c r="Q100" s="8" cm="1">
        <f t="array" ref="Q100">IF(
    AND($H100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($H100 / 1000) * Q$10 * $BN$4 * 0.25
    ),
    0
)
+
IF(
    $N100 &lt; 0.875,
    MAX(0, MIN(($H100 / 1000) * Q$10 * $BN$4, Q$11 * 0.876) - (Q$11 * $N100)) * 0.25,
    0
)</f>
        <v>0</v>
      </c>
      <c r="R100" s="8" cm="1">
        <f t="array" ref="R100">IF(
    AND($H100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($H100 / 1000) * R$10 * $BN$4 * 0.25
    ),
    0
)
+
IF(
    $N100 &lt; 0.875,
    MAX(0, MIN(($H100 / 1000) * R$10 * $BN$4, R$11 * 0.876) - (R$11 * $N100)) * 0.25,
    0
)</f>
        <v>0</v>
      </c>
      <c r="S100" s="8" cm="1">
        <f t="array" ref="S100">IF(
    AND($H100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($H100 / 1000) * S$10 * $BN$4 * 0.25
    ),
    0
)
+
IF(
    $N100 &lt; 0.875,
    MAX(0, MIN(($H100 / 1000) * S$10 * $BN$4, S$11 * 0.876) - (S$11 * $N100)) * 0.25,
    0
)</f>
        <v>0</v>
      </c>
      <c r="T100" s="8" cm="1">
        <f t="array" ref="T100">IF(
    AND($H100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($H100 / 1000) * T$10 * $BN$4 * 0.25
    ),
    0
)
+
IF(
    $N100 &lt; 0.875,
    MAX(0, MIN(($H100 / 1000) * T$10 * $BN$4, T$11 * 0.876) - (T$11 * $N100)) * 0.25,
    0
)</f>
        <v>0</v>
      </c>
      <c r="U100" s="8" cm="1">
        <f t="array" ref="U100">IF(
    AND($H100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($H100 / 1000) * U$10 * $BN$4 * 0.25
    ),
    0
)
+
IF(
    $N100 &lt; 0.875,
    MAX(0, MIN(($H100 / 1000) * U$10 * $BN$4, U$11 * 0.876) - (U$11 * $N100)) * 0.25,
    0
)</f>
        <v>0</v>
      </c>
      <c r="V100" s="8" cm="1">
        <f t="array" ref="V100">IF(
    AND($H100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($H100 / 1000) * V$10 * $BN$4 * 0.25
    ),
    0
)
+
IF(
    $N100 &lt; 0.875,
    MAX(0, MIN(($H100 / 1000) * V$10 * $BN$4, V$11 * 0.876) - (V$11 * $N100)) * 0.25,
    0
)</f>
        <v>0</v>
      </c>
      <c r="W100" s="8" cm="1">
        <f t="array" ref="W100">IF(
    AND($H100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($H100 / 1000) * W$10 * $BN$4 * 0.25
    ),
    0
)
+
IF(
    $N100 &lt; 0.875,
    MAX(0, MIN(($H100 / 1000) * W$10 * $BN$4, W$11 * 0.876) - (W$11 * $N100)) * 0.25,
    0
)</f>
        <v>0</v>
      </c>
      <c r="X100" s="8" cm="1">
        <f t="array" ref="X100">IF(
    AND($H100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($H100 / 1000) * X$10 * $BN$4 * 0.25
    ),
    0
)
+
IF(
    $N100 &lt; 0.875,
    MAX(0, MIN(($H100 / 1000) * X$10 * $BN$4, X$11 * 0.876) - (X$11 * $N100)) * 0.25,
    0
)</f>
        <v>0</v>
      </c>
      <c r="Y100" s="8" cm="1">
        <f t="array" ref="Y100">IF(
    AND($H100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($H100 / 1000) * Y$10 * $BN$4 * 0.25
    ),
    0
)
+
IF(
    $N100 &lt; 0.875,
    MAX(0, MIN(($H100 / 1000) * Y$10 * $BN$4, Y$11 * 0.876) - (Y$11 * $N100)) * 0.25,
    0
)</f>
        <v>0</v>
      </c>
      <c r="Z100" s="8" cm="1">
        <f t="array" ref="Z100">IF(
    AND($H100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($H100 / 1000) * Z$10 * $BN$4 * 0.25
    ),
    0
)
+
IF(
    $N100 &lt; 0.875,
    MAX(0, MIN(($H100 / 1000) * Z$10 * $BN$4, Z$11 * 0.876) - (Z$11 * $N100)) * 0.25,
    0
)</f>
        <v>0</v>
      </c>
      <c r="AA100" s="8">
        <f>AVERAGE(TabellaMar2026[[#This Row],[Colonna24]:[Colonna20]])</f>
        <v>0</v>
      </c>
      <c r="AB100" s="8">
        <f>MAX(TabellaMar2026[[#This Row],[Colonna24]:[Colonna20]])</f>
        <v>0</v>
      </c>
      <c r="AC100" s="35">
        <f>MIN(TabellaMar2026[[#This Row],[Colonna24]:[Colonna20]])</f>
        <v>0</v>
      </c>
      <c r="AD100" s="44">
        <f>SUM(TabellaMar2026[[#This Row],[Colonna24]:[Colonna20]])</f>
        <v>0</v>
      </c>
      <c r="AE100" s="36">
        <f>IF(
    AND($H100 &gt; $BN$7, Tabella01MarzoInverter[[#This Row],[Active power TX2-INV-1]] &lt;= 0, Tabella01MarzoInverter[[#This Row],[TX2 - Average Power]] &lt;= 0),
    MIN(($H100 / 1000) * AE$10 * $BN$4, AE$11 * 0.876) * 0.25,
    IF(
        AND($H100 &gt; $BN$7, Tabella01MarzoInverter[[#This Row],[Active power TX2-INV-1]] &lt;= 0),
        Tabella01MarzoInverter[[#This Row],[TX2 - Average Power]] * 0.25,
        0
    )
    +
    IF(
        $N100 &lt; 0.875,
        MAX(0, MIN(($H100 / 1000) * AE$10 * $BN$4, AE$11 * 0.876) - (AE$11 * $N100)) * 0.25,
        0
    )
)</f>
        <v>0</v>
      </c>
      <c r="AF100" s="36">
        <f>IF(
    AND($H100 &gt; $BN$7, Tabella01MarzoInverter[[#This Row],[Active power TX2-INV-2]] &lt;= 0, Tabella01MarzoInverter[[#This Row],[TX2 - Max Power]] &lt;= 0),
    MIN(($H100 / 1000) * AF$10 * $BN$4, AF$11 * 0.876) * 0.25,
    IF(
        AND($H100 &gt; $BN$7, Tabella01MarzoInverter[[#This Row],[Active power TX2-INV-2]] &lt;= 0),
        Tabella01MarzoInverter[[#This Row],[TX2 - Max Power]] * 0.25,
        0
    )
    +
    IF(
        $N100 &lt; 0.875,
        MAX(0, MIN(($H100 / 1000) * AF$10 * $BN$4, AF$11 * 0.876) - (AF$11 * $N100)) * 0.25,
        0
    )
)</f>
        <v>0</v>
      </c>
      <c r="AG100" s="36">
        <f>IF(
    AND($H100 &gt; $BN$7, Tabella01MarzoInverter[[#This Row],[Active power TX2-INV-3]] &lt;= 0, Tabella01MarzoInverter[[#This Row],[TX2 - Min Power]] &lt;= 0),
    MIN(($H100 / 1000) * AG$10 * $BN$4, AG$11 * 0.876) * 0.25,
    IF(
        AND($H100 &gt; $BN$7, Tabella01MarzoInverter[[#This Row],[Active power TX2-INV-3]] &lt;= 0),
        Tabella01MarzoInverter[[#This Row],[TX2 - Min Power]] * 0.25,
        0
    )
    +
    IF(
        $N100 &lt; 0.875,
        MAX(0, MIN(($H100 / 1000) * AG$10 * $BN$4, AG$11 * 0.876) - (AG$11 * $N100)) * 0.25,
        0
    )
)</f>
        <v>0</v>
      </c>
      <c r="AH100" s="36">
        <f>IF(
    AND($H100 &gt; $BN$7, Tabella01MarzoInverter[[#This Row],[Active power TX2-INV-4]] &lt;= 0, Tabella01MarzoInverter[[#This Row],[Active power TX3-INV-1]] &lt;= 0),
    MIN(($H100 / 1000) * AH$10 * $BN$4, AH$11 * 0.876) * 0.25,
    IF(
        AND($H100 &gt; $BN$7, Tabella01MarzoInverter[[#This Row],[Active power TX2-INV-4]] &lt;= 0),
        Tabella01MarzoInverter[[#This Row],[Active power TX3-INV-1]] * 0.25,
        0
    )
    +
    IF(
        $N100 &lt; 0.875,
        MAX(0, MIN(($H100 / 1000) * AH$10 * $BN$4, AH$11 * 0.876) - (AH$11 * $N100)) * 0.25,
        0
    )
)</f>
        <v>0</v>
      </c>
      <c r="AI100" s="36">
        <f>IF(
    AND($H100 &gt; $BN$7, Tabella01MarzoInverter[[#This Row],[Active power TX2-INV-5]] &lt;= 0, Tabella01MarzoInverter[[#This Row],[Active power TX3-INV-2]] &lt;= 0),
    MIN(($H100 / 1000) * AI$10 * $BN$4, AI$11 * 0.876) * 0.25,
    IF(
        AND($H100 &gt; $BN$7, Tabella01MarzoInverter[[#This Row],[Active power TX2-INV-5]] &lt;= 0),
        Tabella01MarzoInverter[[#This Row],[Active power TX3-INV-2]] * 0.25,
        0
    )
    +
    IF(
        $N100 &lt; 0.875,
        MAX(0, MIN(($H100 / 1000) * AI$10 * $BN$4, AI$11 * 0.876) - (AI$11 * $N100)) * 0.25,
        0
    )
)</f>
        <v>0</v>
      </c>
      <c r="AJ100" s="36">
        <f>IF(
    AND($H100 &gt; $BN$7, Tabella01MarzoInverter[[#This Row],[Active power TX2-INV-6]] &lt;= 0, Tabella01MarzoInverter[[#This Row],[Active power TX3-INV-3]] &lt;= 0),
    MIN(($H100 / 1000) * AJ$10 * $BN$4, AJ$11 * 0.876) * 0.25,
    IF(
        AND($H100 &gt; $BN$7, Tabella01MarzoInverter[[#This Row],[Active power TX2-INV-6]] &lt;= 0),
        Tabella01MarzoInverter[[#This Row],[Active power TX3-INV-3]] * 0.25,
        0
    )
    +
    IF(
        $N100 &lt; 0.875,
        MAX(0, MIN(($H100 / 1000) * AJ$10 * $BN$4, AJ$11 * 0.876) - (AJ$11 * $N100)) * 0.25,
        0
    )
)</f>
        <v>0</v>
      </c>
      <c r="AK100" s="36">
        <f>IF(
    AND($H100 &gt; $BN$7, Tabella01MarzoInverter[[#This Row],[Active power TX2-INV-7]] &lt;= 0, Tabella01MarzoInverter[[#This Row],[Active power TX3-INV-4]] &lt;= 0),
    MIN(($H100 / 1000) * AK$10 * $BN$4, AK$11 * 0.876) * 0.25,
    IF(
        AND($H100 &gt; $BN$7, Tabella01MarzoInverter[[#This Row],[Active power TX2-INV-7]] &lt;= 0),
        Tabella01MarzoInverter[[#This Row],[Active power TX3-INV-4]] * 0.25,
        0
    )
    +
    IF(
        $N100 &lt; 0.875,
        MAX(0, MIN(($H100 / 1000) * AK$10 * $BN$4, AK$11 * 0.876) - (AK$11 * $N100)) * 0.25,
        0
    )
)</f>
        <v>0</v>
      </c>
      <c r="AL100" s="36">
        <f>IF(
    AND($H100 &gt; $BN$7, Tabella01MarzoInverter[[#This Row],[Active power TX2-INV-8]] &lt;= 0, Tabella01MarzoInverter[[#This Row],[Active power TX3-INV-5]] &lt;= 0),
    MIN(($H100 / 1000) * AL$10 * $BN$4, AL$11 * 0.876) * 0.25,
    IF(
        AND($H100 &gt; $BN$7, Tabella01MarzoInverter[[#This Row],[Active power TX2-INV-8]] &lt;= 0),
        Tabella01MarzoInverter[[#This Row],[Active power TX3-INV-5]] * 0.25,
        0
    )
    +
    IF(
        $N100 &lt; 0.875,
        MAX(0, MIN(($H100 / 1000) * AL$10 * $BN$4, AL$11 * 0.876) - (AL$11 * $N100)) * 0.25,
        0
    )
)</f>
        <v>0</v>
      </c>
      <c r="AM100" s="36">
        <f>IF(
    AND($H100 &gt; $BN$7, Tabella01MarzoInverter[[#This Row],[Active power TX2-INV-9]] &lt;= 0, Tabella01MarzoInverter[[#This Row],[Active power TX3-INV-6]] &lt;= 0),
    MIN(($H100 / 1000) * AM$10 * $BN$4, AM$11 * 0.876) * 0.25,
    IF(
        AND($H100 &gt; $BN$7, Tabella01MarzoInverter[[#This Row],[Active power TX2-INV-9]] &lt;= 0),
        Tabella01MarzoInverter[[#This Row],[Active power TX3-INV-6]] * 0.25,
        0
    )
    +
    IF(
        $N100 &lt; 0.875,
        MAX(0, MIN(($H100 / 1000) * AM$10 * $BN$4, AM$11 * 0.876) - (AM$11 * $N100)) * 0.25,
        0
    )
)</f>
        <v>0</v>
      </c>
      <c r="AN100" s="36">
        <f>IF(
    AND($H100 &gt; $BN$7, Tabella01MarzoInverter[[#This Row],[Active power TX2-INV-10]] &lt;= 0, Tabella01MarzoInverter[[#This Row],[Active power TX3-INV-7]] &lt;= 0),
    MIN(($H100 / 1000) * AN$10 * $BN$4, AN$11 * 0.876) * 0.25,
    IF(
        AND($H100 &gt; $BN$7, Tabella01MarzoInverter[[#This Row],[Active power TX2-INV-10]] &lt;= 0),
        Tabella01MarzoInverter[[#This Row],[Active power TX3-INV-7]] * 0.25,
        0
    )
    +
    IF(
        $N100 &lt; 0.875,
        MAX(0, MIN(($H100 / 1000) * AN$10 * $BN$4, AN$11 * 0.876) - (AN$11 * $N100)) * 0.25,
        0
    )
)</f>
        <v>0</v>
      </c>
      <c r="AO100" s="36">
        <f>IF(
    AND($H100 &gt; $BN$7, Tabella01MarzoInverter[[#This Row],[Active power TX2-INV-11]] &lt;= 0, Tabella01MarzoInverter[[#This Row],[Active power TX3-INV-8]] &lt;= 0),
    MIN(($H100 / 1000) * AO$10 * $BN$4, AO$11 * 0.876) * 0.25,
    IF(
        AND($H100 &gt; $BN$7, Tabella01MarzoInverter[[#This Row],[Active power TX2-INV-11]] &lt;= 0),
        Tabella01MarzoInverter[[#This Row],[Active power TX3-INV-8]] * 0.25,
        0
    )
    +
    IF(
        $N100 &lt; 0.875,
        MAX(0, MIN(($H100 / 1000) * AO$10 * $BN$4, AO$11 * 0.876) - (AO$11 * $N100)) * 0.25,
        0
    )
)</f>
        <v>0</v>
      </c>
      <c r="AP100" s="36">
        <f>IF(
    AND($H100 &gt; $BN$7, Tabella01MarzoInverter[[#This Row],[Active power TX2-INV-12]] &lt;= 0, Tabella01MarzoInverter[[#This Row],[Active power TX3-INV-9]] &lt;= 0),
    MIN(($H100 / 1000) * AP$10 * $BN$4, AP$11 * 0.876) * 0.25,
    IF(
        AND($H100 &gt; $BN$7, Tabella01MarzoInverter[[#This Row],[Active power TX2-INV-12]] &lt;= 0),
        Tabella01MarzoInverter[[#This Row],[Active power TX3-INV-9]] * 0.25,
        0
    )
    +
    IF(
        $N100 &lt; 0.875,
        MAX(0, MIN(($H100 / 1000) * AP$10 * $BN$4, AP$11 * 0.876) - (AP$11 * $N100)) * 0.25,
        0
    )
)</f>
        <v>0</v>
      </c>
      <c r="AQ100" s="8">
        <f>AVERAGE(TabellaMar2026[[#This Row],[Colonna39]:[Colonna6]])</f>
        <v>0</v>
      </c>
      <c r="AR100" s="8">
        <f>MAX(TabellaMar2026[[#This Row],[Colonna39]:[Colonna6]])</f>
        <v>0</v>
      </c>
      <c r="AS100" s="35">
        <f>MIN(TabellaMar2026[[#This Row],[Colonna39]:[Colonna6]])</f>
        <v>0</v>
      </c>
      <c r="AT100" s="48">
        <f>SUM(TabellaMar2026[[#This Row],[Colonna39]:[Colonna6]])</f>
        <v>0</v>
      </c>
      <c r="AU100" s="36" cm="1">
        <f t="array" ref="AU100">IF(
    AND($H100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($H100 / 1000) * AU$10 * $BN$4 * 0.25
    ),
    0
)
+
IF(
    $N100 &lt; 0.875,
    MAX(0, MIN(($H100 / 1000) * AU$10 * $BN$4, AU$11 * 0.876) - (AU$11 * $N100)) * 0.25,
    0
)</f>
        <v>0</v>
      </c>
      <c r="AV100" s="36" cm="1">
        <f t="array" ref="AV100">IF(
    AND($H100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($H100 / 1000) * AV$10 * $BN$4 * 0.25
    ),
    0
)
+
IF(
    $N100 &lt; 0.875,
    MAX(0, MIN(($H100 / 1000) * AV$10 * $BN$4, AV$11 * 0.876) - (AV$11 * $N100)) * 0.25,
    0
)</f>
        <v>0</v>
      </c>
      <c r="AW100" s="36" cm="1">
        <f t="array" ref="AW100">IF(
    AND($H100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($H100 / 1000) * AW$10 * $BN$4 * 0.25
    ),
    0
)
+
IF(
    $N100 &lt; 0.875,
    MAX(0, MIN(($H100 / 1000) * AW$10 * $BN$4, AW$11 * 0.876) - (AW$11 * $N100)) * 0.25,
    0
)</f>
        <v>0</v>
      </c>
      <c r="AX100" s="36" cm="1">
        <f t="array" ref="AX100">IF(
    AND($H100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($H100 / 1000) * AX$10 * $BN$4 * 0.25
    ),
    0
)
+
IF(
    $N100 &lt; 0.875,
    MAX(0, MIN(($H100 / 1000) * AX$10 * $BN$4, AX$11 * 0.876) - (AX$11 * $N100)) * 0.25,
    0
)</f>
        <v>0</v>
      </c>
      <c r="AY100" s="36" cm="1">
        <f t="array" ref="AY100">IF(
    AND($H100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($H100 / 1000) * AY$10 * $BN$4 * 0.25
    ),
    0
)
+
IF(
    $N100 &lt; 0.875,
    MAX(0, MIN(($H100 / 1000) * AY$10 * $BN$4, AY$11 * 0.876) - (AY$11 * $N100)) * 0.25,
    0
)</f>
        <v>0</v>
      </c>
      <c r="AZ100" s="36" cm="1">
        <f t="array" ref="AZ100">IF(
    AND($H100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($H100 / 1000) * AZ$10 * $BN$4 * 0.25
    ),
    0
)
+
IF(
    $N100 &lt; 0.875,
    MAX(0, MIN(($H100 / 1000) * AZ$10 * $BN$4, AZ$11 * 0.876) - (AZ$11 * $N100)) * 0.25,
    0
)</f>
        <v>0</v>
      </c>
      <c r="BA100" s="36" cm="1">
        <f t="array" ref="BA100">IF(
    AND($H100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($H100 / 1000) * BA$10 * $BN$4 * 0.25
    ),
    0
)
+
IF(
    $N100 &lt; 0.875,
    MAX(0, MIN(($H100 / 1000) * BA$10 * $BN$4, BA$11 * 0.876) - (BA$11 * $N100)) * 0.25,
    0
)</f>
        <v>0</v>
      </c>
      <c r="BB100" s="36" cm="1">
        <f t="array" ref="BB100">IF(
    AND($H100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($H100 / 1000) * BB$10 * $BN$4 * 0.25
    ),
    0
)
+
IF(
    $N100 &lt; 0.875,
    MAX(0, MIN(($H100 / 1000) * BB$10 * $BN$4, BB$11 * 0.876) - (BB$11 * $N100)) * 0.25,
    0
)</f>
        <v>0</v>
      </c>
      <c r="BC100" s="36" cm="1">
        <f t="array" ref="BC100">IF(
    AND($H100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($H100 / 1000) * BC$10 * $BN$4 * 0.25
    ),
    0
)
+
IF(
    $N100 &lt; 0.875,
    MAX(0, MIN(($H100 / 1000) * BC$10 * $BN$4, BC$11 * 0.876) - (BC$11 * $N100)) * 0.25,
    0
)</f>
        <v>0</v>
      </c>
      <c r="BD100" s="36" cm="1">
        <f t="array" ref="BD100">IF(
    AND($H100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($H100 / 1000) * BD$10 * $BN$4 * 0.25
    ),
    0
)
+
IF(
    $N100 &lt; 0.875,
    MAX(0, MIN(($H100 / 1000) * BD$10 * $BN$4, BD$11 * 0.876) - (BD$11 * $N100)) * 0.25,
    0
)</f>
        <v>0</v>
      </c>
      <c r="BE100" s="36" cm="1">
        <f t="array" ref="BE100">IF(
    AND($H100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($H100 / 1000) * BE$10 * $BN$4 * 0.25
    ),
    0
)
+
IF(
    $N100 &lt; 0.875,
    MAX(0, MIN(($H100 / 1000) * BE$10 * $BN$4, BE$11 * 0.876) - (BE$11 * $N100)) * 0.25,
    0
)</f>
        <v>0</v>
      </c>
      <c r="BF100" s="36" cm="1">
        <f t="array" ref="BF100">IF(
    AND($H100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($H100 / 1000) * BF$10 * $BN$4 * 0.25
    ),
    0
)
+
IF(
    $N100 &lt; 0.875,
    MAX(0, MIN(($H100 / 1000) * BF$10 * $BN$4, BF$11 * 0.876) - (BF$11 * $N100)) * 0.25,
    0
)</f>
        <v>0</v>
      </c>
      <c r="BG100" s="8">
        <f>AVERAGE(TabellaMar2026[[#This Row],[Colonna55]:[Colonna53]])</f>
        <v>0</v>
      </c>
      <c r="BH100" s="8">
        <f>MAX(TabellaMar2026[[#This Row],[Colonna55]:[Colonna53]])</f>
        <v>0</v>
      </c>
      <c r="BI100" s="35">
        <f>MIN(TabellaMar2026[[#This Row],[Colonna55]:[Colonna53]])</f>
        <v>0</v>
      </c>
      <c r="BJ100" s="48">
        <f>SUM(TabellaMar2026[[#This Row],[Colonna54]:[Colonna53]])</f>
        <v>0</v>
      </c>
      <c r="BK100" s="54">
        <f>(SUM(Tabella01MarzoInverter[[Active power TX1-INV-1]:[Active power TX3-INV-12]]) * 0.25) / (12625 * (SUM($G$15:$H$110) * 0.25 / 1000))</f>
        <v>1.014229628761051</v>
      </c>
      <c r="BL100" s="5"/>
      <c r="BM100" s="5"/>
      <c r="BN100" s="5"/>
      <c r="BO100" s="8"/>
      <c r="BP100" s="19"/>
    </row>
    <row r="101" spans="1:68" x14ac:dyDescent="0.25">
      <c r="A101" s="18">
        <v>46147</v>
      </c>
      <c r="B101" t="s">
        <v>101</v>
      </c>
      <c r="C101" s="5">
        <v>-0.5</v>
      </c>
      <c r="D101" s="6">
        <v>-1.25E-4</v>
      </c>
      <c r="E101" s="6">
        <v>0</v>
      </c>
      <c r="F101" s="6">
        <v>0</v>
      </c>
      <c r="G101" s="6">
        <f>IFERROR((D101+F101)/2, 0)</f>
        <v>-6.2500000000000001E-5</v>
      </c>
      <c r="H101" s="7">
        <f>IFERROR(IF(AVERAGE(C101,E101)&gt;$BN$7,AVERAGE(C101,E101),0), 0)</f>
        <v>0</v>
      </c>
      <c r="I101" s="7">
        <f>IFERROR(IF(AND(D101=0,F101=0),0,IF(H101&gt;$BN$6,MAX(D101,F101),G101)), 0)</f>
        <v>-6.2500000000000001E-5</v>
      </c>
      <c r="J101" s="6">
        <f>IFERROR(IF(AND(D101&gt;0,F101&gt;0),ABS(D101-F101)/AVERAGE(D101,F101),0), 0)</f>
        <v>0</v>
      </c>
      <c r="K101" s="6">
        <v>30467.8</v>
      </c>
      <c r="L101" s="6">
        <v>30467.8</v>
      </c>
      <c r="M101" s="8">
        <f>IFERROR((L101-K101)*1000, 0)</f>
        <v>0</v>
      </c>
      <c r="N101" s="6">
        <v>0.87599999999999989</v>
      </c>
      <c r="O101" s="8" cm="1">
        <f t="array" ref="O101">IF(
    AND($H101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($H101 / 1000) * O$10 * $BN$4 * 0.25
    ),
    0
)
+
IF(
    $N101 &lt; 0.875,
    MAX(0, MIN(($H101 / 1000) * O$10 * $BN$4, O$11 * 0.876) - (O$11 * $N101)) * 0.25,
    0
)</f>
        <v>0</v>
      </c>
      <c r="P101" s="8" cm="1">
        <f t="array" ref="P101">IF(
    AND($H101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($H101 / 1000) * P$10 * $BN$4 * 0.25
    ),
    0
)
+
IF(
    $N101 &lt; 0.875,
    MAX(0, MIN(($H101 / 1000) * P$10 * $BN$4, P$11 * 0.876) - (P$11 * $N101)) * 0.25,
    0
)</f>
        <v>0</v>
      </c>
      <c r="Q101" s="8" cm="1">
        <f t="array" ref="Q101">IF(
    AND($H101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($H101 / 1000) * Q$10 * $BN$4 * 0.25
    ),
    0
)
+
IF(
    $N101 &lt; 0.875,
    MAX(0, MIN(($H101 / 1000) * Q$10 * $BN$4, Q$11 * 0.876) - (Q$11 * $N101)) * 0.25,
    0
)</f>
        <v>0</v>
      </c>
      <c r="R101" s="8" cm="1">
        <f t="array" ref="R101">IF(
    AND($H101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($H101 / 1000) * R$10 * $BN$4 * 0.25
    ),
    0
)
+
IF(
    $N101 &lt; 0.875,
    MAX(0, MIN(($H101 / 1000) * R$10 * $BN$4, R$11 * 0.876) - (R$11 * $N101)) * 0.25,
    0
)</f>
        <v>0</v>
      </c>
      <c r="S101" s="8" cm="1">
        <f t="array" ref="S101">IF(
    AND($H101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($H101 / 1000) * S$10 * $BN$4 * 0.25
    ),
    0
)
+
IF(
    $N101 &lt; 0.875,
    MAX(0, MIN(($H101 / 1000) * S$10 * $BN$4, S$11 * 0.876) - (S$11 * $N101)) * 0.25,
    0
)</f>
        <v>0</v>
      </c>
      <c r="T101" s="8" cm="1">
        <f t="array" ref="T101">IF(
    AND($H101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($H101 / 1000) * T$10 * $BN$4 * 0.25
    ),
    0
)
+
IF(
    $N101 &lt; 0.875,
    MAX(0, MIN(($H101 / 1000) * T$10 * $BN$4, T$11 * 0.876) - (T$11 * $N101)) * 0.25,
    0
)</f>
        <v>0</v>
      </c>
      <c r="U101" s="8" cm="1">
        <f t="array" ref="U101">IF(
    AND($H101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($H101 / 1000) * U$10 * $BN$4 * 0.25
    ),
    0
)
+
IF(
    $N101 &lt; 0.875,
    MAX(0, MIN(($H101 / 1000) * U$10 * $BN$4, U$11 * 0.876) - (U$11 * $N101)) * 0.25,
    0
)</f>
        <v>0</v>
      </c>
      <c r="V101" s="8" cm="1">
        <f t="array" ref="V101">IF(
    AND($H101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($H101 / 1000) * V$10 * $BN$4 * 0.25
    ),
    0
)
+
IF(
    $N101 &lt; 0.875,
    MAX(0, MIN(($H101 / 1000) * V$10 * $BN$4, V$11 * 0.876) - (V$11 * $N101)) * 0.25,
    0
)</f>
        <v>0</v>
      </c>
      <c r="W101" s="8" cm="1">
        <f t="array" ref="W101">IF(
    AND($H101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($H101 / 1000) * W$10 * $BN$4 * 0.25
    ),
    0
)
+
IF(
    $N101 &lt; 0.875,
    MAX(0, MIN(($H101 / 1000) * W$10 * $BN$4, W$11 * 0.876) - (W$11 * $N101)) * 0.25,
    0
)</f>
        <v>0</v>
      </c>
      <c r="X101" s="8" cm="1">
        <f t="array" ref="X101">IF(
    AND($H101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($H101 / 1000) * X$10 * $BN$4 * 0.25
    ),
    0
)
+
IF(
    $N101 &lt; 0.875,
    MAX(0, MIN(($H101 / 1000) * X$10 * $BN$4, X$11 * 0.876) - (X$11 * $N101)) * 0.25,
    0
)</f>
        <v>0</v>
      </c>
      <c r="Y101" s="8" cm="1">
        <f t="array" ref="Y101">IF(
    AND($H101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($H101 / 1000) * Y$10 * $BN$4 * 0.25
    ),
    0
)
+
IF(
    $N101 &lt; 0.875,
    MAX(0, MIN(($H101 / 1000) * Y$10 * $BN$4, Y$11 * 0.876) - (Y$11 * $N101)) * 0.25,
    0
)</f>
        <v>0</v>
      </c>
      <c r="Z101" s="8" cm="1">
        <f t="array" ref="Z101">IF(
    AND($H101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($H101 / 1000) * Z$10 * $BN$4 * 0.25
    ),
    0
)
+
IF(
    $N101 &lt; 0.875,
    MAX(0, MIN(($H101 / 1000) * Z$10 * $BN$4, Z$11 * 0.876) - (Z$11 * $N101)) * 0.25,
    0
)</f>
        <v>0</v>
      </c>
      <c r="AA101" s="8">
        <f>AVERAGE(TabellaMar2026[[#This Row],[Colonna24]:[Colonna20]])</f>
        <v>0</v>
      </c>
      <c r="AB101" s="8">
        <f>MAX(TabellaMar2026[[#This Row],[Colonna24]:[Colonna20]])</f>
        <v>0</v>
      </c>
      <c r="AC101" s="35">
        <f>MIN(TabellaMar2026[[#This Row],[Colonna24]:[Colonna20]])</f>
        <v>0</v>
      </c>
      <c r="AD101" s="44">
        <f>SUM(TabellaMar2026[[#This Row],[Colonna24]:[Colonna20]])</f>
        <v>0</v>
      </c>
      <c r="AE101" s="36">
        <f>IF(
    AND($H101 &gt; $BN$7, Tabella01MarzoInverter[[#This Row],[Active power TX2-INV-1]] &lt;= 0, Tabella01MarzoInverter[[#This Row],[TX2 - Average Power]] &lt;= 0),
    MIN(($H101 / 1000) * AE$10 * $BN$4, AE$11 * 0.876) * 0.25,
    IF(
        AND($H101 &gt; $BN$7, Tabella01MarzoInverter[[#This Row],[Active power TX2-INV-1]] &lt;= 0),
        Tabella01MarzoInverter[[#This Row],[TX2 - Average Power]] * 0.25,
        0
    )
    +
    IF(
        $N101 &lt; 0.875,
        MAX(0, MIN(($H101 / 1000) * AE$10 * $BN$4, AE$11 * 0.876) - (AE$11 * $N101)) * 0.25,
        0
    )
)</f>
        <v>0</v>
      </c>
      <c r="AF101" s="36">
        <f>IF(
    AND($H101 &gt; $BN$7, Tabella01MarzoInverter[[#This Row],[Active power TX2-INV-2]] &lt;= 0, Tabella01MarzoInverter[[#This Row],[TX2 - Max Power]] &lt;= 0),
    MIN(($H101 / 1000) * AF$10 * $BN$4, AF$11 * 0.876) * 0.25,
    IF(
        AND($H101 &gt; $BN$7, Tabella01MarzoInverter[[#This Row],[Active power TX2-INV-2]] &lt;= 0),
        Tabella01MarzoInverter[[#This Row],[TX2 - Max Power]] * 0.25,
        0
    )
    +
    IF(
        $N101 &lt; 0.875,
        MAX(0, MIN(($H101 / 1000) * AF$10 * $BN$4, AF$11 * 0.876) - (AF$11 * $N101)) * 0.25,
        0
    )
)</f>
        <v>0</v>
      </c>
      <c r="AG101" s="36">
        <f>IF(
    AND($H101 &gt; $BN$7, Tabella01MarzoInverter[[#This Row],[Active power TX2-INV-3]] &lt;= 0, Tabella01MarzoInverter[[#This Row],[TX2 - Min Power]] &lt;= 0),
    MIN(($H101 / 1000) * AG$10 * $BN$4, AG$11 * 0.876) * 0.25,
    IF(
        AND($H101 &gt; $BN$7, Tabella01MarzoInverter[[#This Row],[Active power TX2-INV-3]] &lt;= 0),
        Tabella01MarzoInverter[[#This Row],[TX2 - Min Power]] * 0.25,
        0
    )
    +
    IF(
        $N101 &lt; 0.875,
        MAX(0, MIN(($H101 / 1000) * AG$10 * $BN$4, AG$11 * 0.876) - (AG$11 * $N101)) * 0.25,
        0
    )
)</f>
        <v>0</v>
      </c>
      <c r="AH101" s="36">
        <f>IF(
    AND($H101 &gt; $BN$7, Tabella01MarzoInverter[[#This Row],[Active power TX2-INV-4]] &lt;= 0, Tabella01MarzoInverter[[#This Row],[Active power TX3-INV-1]] &lt;= 0),
    MIN(($H101 / 1000) * AH$10 * $BN$4, AH$11 * 0.876) * 0.25,
    IF(
        AND($H101 &gt; $BN$7, Tabella01MarzoInverter[[#This Row],[Active power TX2-INV-4]] &lt;= 0),
        Tabella01MarzoInverter[[#This Row],[Active power TX3-INV-1]] * 0.25,
        0
    )
    +
    IF(
        $N101 &lt; 0.875,
        MAX(0, MIN(($H101 / 1000) * AH$10 * $BN$4, AH$11 * 0.876) - (AH$11 * $N101)) * 0.25,
        0
    )
)</f>
        <v>0</v>
      </c>
      <c r="AI101" s="36">
        <f>IF(
    AND($H101 &gt; $BN$7, Tabella01MarzoInverter[[#This Row],[Active power TX2-INV-5]] &lt;= 0, Tabella01MarzoInverter[[#This Row],[Active power TX3-INV-2]] &lt;= 0),
    MIN(($H101 / 1000) * AI$10 * $BN$4, AI$11 * 0.876) * 0.25,
    IF(
        AND($H101 &gt; $BN$7, Tabella01MarzoInverter[[#This Row],[Active power TX2-INV-5]] &lt;= 0),
        Tabella01MarzoInverter[[#This Row],[Active power TX3-INV-2]] * 0.25,
        0
    )
    +
    IF(
        $N101 &lt; 0.875,
        MAX(0, MIN(($H101 / 1000) * AI$10 * $BN$4, AI$11 * 0.876) - (AI$11 * $N101)) * 0.25,
        0
    )
)</f>
        <v>0</v>
      </c>
      <c r="AJ101" s="36">
        <f>IF(
    AND($H101 &gt; $BN$7, Tabella01MarzoInverter[[#This Row],[Active power TX2-INV-6]] &lt;= 0, Tabella01MarzoInverter[[#This Row],[Active power TX3-INV-3]] &lt;= 0),
    MIN(($H101 / 1000) * AJ$10 * $BN$4, AJ$11 * 0.876) * 0.25,
    IF(
        AND($H101 &gt; $BN$7, Tabella01MarzoInverter[[#This Row],[Active power TX2-INV-6]] &lt;= 0),
        Tabella01MarzoInverter[[#This Row],[Active power TX3-INV-3]] * 0.25,
        0
    )
    +
    IF(
        $N101 &lt; 0.875,
        MAX(0, MIN(($H101 / 1000) * AJ$10 * $BN$4, AJ$11 * 0.876) - (AJ$11 * $N101)) * 0.25,
        0
    )
)</f>
        <v>0</v>
      </c>
      <c r="AK101" s="36">
        <f>IF(
    AND($H101 &gt; $BN$7, Tabella01MarzoInverter[[#This Row],[Active power TX2-INV-7]] &lt;= 0, Tabella01MarzoInverter[[#This Row],[Active power TX3-INV-4]] &lt;= 0),
    MIN(($H101 / 1000) * AK$10 * $BN$4, AK$11 * 0.876) * 0.25,
    IF(
        AND($H101 &gt; $BN$7, Tabella01MarzoInverter[[#This Row],[Active power TX2-INV-7]] &lt;= 0),
        Tabella01MarzoInverter[[#This Row],[Active power TX3-INV-4]] * 0.25,
        0
    )
    +
    IF(
        $N101 &lt; 0.875,
        MAX(0, MIN(($H101 / 1000) * AK$10 * $BN$4, AK$11 * 0.876) - (AK$11 * $N101)) * 0.25,
        0
    )
)</f>
        <v>0</v>
      </c>
      <c r="AL101" s="36">
        <f>IF(
    AND($H101 &gt; $BN$7, Tabella01MarzoInverter[[#This Row],[Active power TX2-INV-8]] &lt;= 0, Tabella01MarzoInverter[[#This Row],[Active power TX3-INV-5]] &lt;= 0),
    MIN(($H101 / 1000) * AL$10 * $BN$4, AL$11 * 0.876) * 0.25,
    IF(
        AND($H101 &gt; $BN$7, Tabella01MarzoInverter[[#This Row],[Active power TX2-INV-8]] &lt;= 0),
        Tabella01MarzoInverter[[#This Row],[Active power TX3-INV-5]] * 0.25,
        0
    )
    +
    IF(
        $N101 &lt; 0.875,
        MAX(0, MIN(($H101 / 1000) * AL$10 * $BN$4, AL$11 * 0.876) - (AL$11 * $N101)) * 0.25,
        0
    )
)</f>
        <v>0</v>
      </c>
      <c r="AM101" s="36">
        <f>IF(
    AND($H101 &gt; $BN$7, Tabella01MarzoInverter[[#This Row],[Active power TX2-INV-9]] &lt;= 0, Tabella01MarzoInverter[[#This Row],[Active power TX3-INV-6]] &lt;= 0),
    MIN(($H101 / 1000) * AM$10 * $BN$4, AM$11 * 0.876) * 0.25,
    IF(
        AND($H101 &gt; $BN$7, Tabella01MarzoInverter[[#This Row],[Active power TX2-INV-9]] &lt;= 0),
        Tabella01MarzoInverter[[#This Row],[Active power TX3-INV-6]] * 0.25,
        0
    )
    +
    IF(
        $N101 &lt; 0.875,
        MAX(0, MIN(($H101 / 1000) * AM$10 * $BN$4, AM$11 * 0.876) - (AM$11 * $N101)) * 0.25,
        0
    )
)</f>
        <v>0</v>
      </c>
      <c r="AN101" s="36">
        <f>IF(
    AND($H101 &gt; $BN$7, Tabella01MarzoInverter[[#This Row],[Active power TX2-INV-10]] &lt;= 0, Tabella01MarzoInverter[[#This Row],[Active power TX3-INV-7]] &lt;= 0),
    MIN(($H101 / 1000) * AN$10 * $BN$4, AN$11 * 0.876) * 0.25,
    IF(
        AND($H101 &gt; $BN$7, Tabella01MarzoInverter[[#This Row],[Active power TX2-INV-10]] &lt;= 0),
        Tabella01MarzoInverter[[#This Row],[Active power TX3-INV-7]] * 0.25,
        0
    )
    +
    IF(
        $N101 &lt; 0.875,
        MAX(0, MIN(($H101 / 1000) * AN$10 * $BN$4, AN$11 * 0.876) - (AN$11 * $N101)) * 0.25,
        0
    )
)</f>
        <v>0</v>
      </c>
      <c r="AO101" s="36">
        <f>IF(
    AND($H101 &gt; $BN$7, Tabella01MarzoInverter[[#This Row],[Active power TX2-INV-11]] &lt;= 0, Tabella01MarzoInverter[[#This Row],[Active power TX3-INV-8]] &lt;= 0),
    MIN(($H101 / 1000) * AO$10 * $BN$4, AO$11 * 0.876) * 0.25,
    IF(
        AND($H101 &gt; $BN$7, Tabella01MarzoInverter[[#This Row],[Active power TX2-INV-11]] &lt;= 0),
        Tabella01MarzoInverter[[#This Row],[Active power TX3-INV-8]] * 0.25,
        0
    )
    +
    IF(
        $N101 &lt; 0.875,
        MAX(0, MIN(($H101 / 1000) * AO$10 * $BN$4, AO$11 * 0.876) - (AO$11 * $N101)) * 0.25,
        0
    )
)</f>
        <v>0</v>
      </c>
      <c r="AP101" s="36">
        <f>IF(
    AND($H101 &gt; $BN$7, Tabella01MarzoInverter[[#This Row],[Active power TX2-INV-12]] &lt;= 0, Tabella01MarzoInverter[[#This Row],[Active power TX3-INV-9]] &lt;= 0),
    MIN(($H101 / 1000) * AP$10 * $BN$4, AP$11 * 0.876) * 0.25,
    IF(
        AND($H101 &gt; $BN$7, Tabella01MarzoInverter[[#This Row],[Active power TX2-INV-12]] &lt;= 0),
        Tabella01MarzoInverter[[#This Row],[Active power TX3-INV-9]] * 0.25,
        0
    )
    +
    IF(
        $N101 &lt; 0.875,
        MAX(0, MIN(($H101 / 1000) * AP$10 * $BN$4, AP$11 * 0.876) - (AP$11 * $N101)) * 0.25,
        0
    )
)</f>
        <v>0</v>
      </c>
      <c r="AQ101" s="8">
        <f>AVERAGE(TabellaMar2026[[#This Row],[Colonna39]:[Colonna6]])</f>
        <v>0</v>
      </c>
      <c r="AR101" s="8">
        <f>MAX(TabellaMar2026[[#This Row],[Colonna39]:[Colonna6]])</f>
        <v>0</v>
      </c>
      <c r="AS101" s="35">
        <f>MIN(TabellaMar2026[[#This Row],[Colonna39]:[Colonna6]])</f>
        <v>0</v>
      </c>
      <c r="AT101" s="48">
        <f>SUM(TabellaMar2026[[#This Row],[Colonna39]:[Colonna6]])</f>
        <v>0</v>
      </c>
      <c r="AU101" s="36" cm="1">
        <f t="array" ref="AU101">IF(
    AND($H101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($H101 / 1000) * AU$10 * $BN$4 * 0.25
    ),
    0
)
+
IF(
    $N101 &lt; 0.875,
    MAX(0, MIN(($H101 / 1000) * AU$10 * $BN$4, AU$11 * 0.876) - (AU$11 * $N101)) * 0.25,
    0
)</f>
        <v>0</v>
      </c>
      <c r="AV101" s="36" cm="1">
        <f t="array" ref="AV101">IF(
    AND($H101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($H101 / 1000) * AV$10 * $BN$4 * 0.25
    ),
    0
)
+
IF(
    $N101 &lt; 0.875,
    MAX(0, MIN(($H101 / 1000) * AV$10 * $BN$4, AV$11 * 0.876) - (AV$11 * $N101)) * 0.25,
    0
)</f>
        <v>0</v>
      </c>
      <c r="AW101" s="36" cm="1">
        <f t="array" ref="AW101">IF(
    AND($H101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($H101 / 1000) * AW$10 * $BN$4 * 0.25
    ),
    0
)
+
IF(
    $N101 &lt; 0.875,
    MAX(0, MIN(($H101 / 1000) * AW$10 * $BN$4, AW$11 * 0.876) - (AW$11 * $N101)) * 0.25,
    0
)</f>
        <v>0</v>
      </c>
      <c r="AX101" s="36" cm="1">
        <f t="array" ref="AX101">IF(
    AND($H101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($H101 / 1000) * AX$10 * $BN$4 * 0.25
    ),
    0
)
+
IF(
    $N101 &lt; 0.875,
    MAX(0, MIN(($H101 / 1000) * AX$10 * $BN$4, AX$11 * 0.876) - (AX$11 * $N101)) * 0.25,
    0
)</f>
        <v>0</v>
      </c>
      <c r="AY101" s="36" cm="1">
        <f t="array" ref="AY101">IF(
    AND($H101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($H101 / 1000) * AY$10 * $BN$4 * 0.25
    ),
    0
)
+
IF(
    $N101 &lt; 0.875,
    MAX(0, MIN(($H101 / 1000) * AY$10 * $BN$4, AY$11 * 0.876) - (AY$11 * $N101)) * 0.25,
    0
)</f>
        <v>0</v>
      </c>
      <c r="AZ101" s="36" cm="1">
        <f t="array" ref="AZ101">IF(
    AND($H101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($H101 / 1000) * AZ$10 * $BN$4 * 0.25
    ),
    0
)
+
IF(
    $N101 &lt; 0.875,
    MAX(0, MIN(($H101 / 1000) * AZ$10 * $BN$4, AZ$11 * 0.876) - (AZ$11 * $N101)) * 0.25,
    0
)</f>
        <v>0</v>
      </c>
      <c r="BA101" s="36" cm="1">
        <f t="array" ref="BA101">IF(
    AND($H101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($H101 / 1000) * BA$10 * $BN$4 * 0.25
    ),
    0
)
+
IF(
    $N101 &lt; 0.875,
    MAX(0, MIN(($H101 / 1000) * BA$10 * $BN$4, BA$11 * 0.876) - (BA$11 * $N101)) * 0.25,
    0
)</f>
        <v>0</v>
      </c>
      <c r="BB101" s="36" cm="1">
        <f t="array" ref="BB101">IF(
    AND($H101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($H101 / 1000) * BB$10 * $BN$4 * 0.25
    ),
    0
)
+
IF(
    $N101 &lt; 0.875,
    MAX(0, MIN(($H101 / 1000) * BB$10 * $BN$4, BB$11 * 0.876) - (BB$11 * $N101)) * 0.25,
    0
)</f>
        <v>0</v>
      </c>
      <c r="BC101" s="36" cm="1">
        <f t="array" ref="BC101">IF(
    AND($H101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($H101 / 1000) * BC$10 * $BN$4 * 0.25
    ),
    0
)
+
IF(
    $N101 &lt; 0.875,
    MAX(0, MIN(($H101 / 1000) * BC$10 * $BN$4, BC$11 * 0.876) - (BC$11 * $N101)) * 0.25,
    0
)</f>
        <v>0</v>
      </c>
      <c r="BD101" s="36" cm="1">
        <f t="array" ref="BD101">IF(
    AND($H101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($H101 / 1000) * BD$10 * $BN$4 * 0.25
    ),
    0
)
+
IF(
    $N101 &lt; 0.875,
    MAX(0, MIN(($H101 / 1000) * BD$10 * $BN$4, BD$11 * 0.876) - (BD$11 * $N101)) * 0.25,
    0
)</f>
        <v>0</v>
      </c>
      <c r="BE101" s="36" cm="1">
        <f t="array" ref="BE101">IF(
    AND($H101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($H101 / 1000) * BE$10 * $BN$4 * 0.25
    ),
    0
)
+
IF(
    $N101 &lt; 0.875,
    MAX(0, MIN(($H101 / 1000) * BE$10 * $BN$4, BE$11 * 0.876) - (BE$11 * $N101)) * 0.25,
    0
)</f>
        <v>0</v>
      </c>
      <c r="BF101" s="36" cm="1">
        <f t="array" ref="BF101">IF(
    AND($H101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($H101 / 1000) * BF$10 * $BN$4 * 0.25
    ),
    0
)
+
IF(
    $N101 &lt; 0.875,
    MAX(0, MIN(($H101 / 1000) * BF$10 * $BN$4, BF$11 * 0.876) - (BF$11 * $N101)) * 0.25,
    0
)</f>
        <v>0</v>
      </c>
      <c r="BG101" s="8">
        <f>AVERAGE(TabellaMar2026[[#This Row],[Colonna55]:[Colonna53]])</f>
        <v>0</v>
      </c>
      <c r="BH101" s="8">
        <f>MAX(TabellaMar2026[[#This Row],[Colonna55]:[Colonna53]])</f>
        <v>0</v>
      </c>
      <c r="BI101" s="35">
        <f>MIN(TabellaMar2026[[#This Row],[Colonna55]:[Colonna53]])</f>
        <v>0</v>
      </c>
      <c r="BJ101" s="48">
        <f>SUM(TabellaMar2026[[#This Row],[Colonna54]:[Colonna53]])</f>
        <v>0</v>
      </c>
      <c r="BK101" s="54">
        <f>(SUM(Tabella01MarzoInverter[[Active power TX1-INV-1]:[Active power TX3-INV-12]]) * 0.25) / (12625 * (SUM($G$15:$H$110) * 0.25 / 1000))</f>
        <v>1.014229628761051</v>
      </c>
      <c r="BL101" s="5"/>
      <c r="BM101" s="5"/>
      <c r="BN101" s="5"/>
      <c r="BO101" s="8"/>
      <c r="BP101" s="19"/>
    </row>
    <row r="102" spans="1:68" x14ac:dyDescent="0.25">
      <c r="A102" s="18">
        <v>46147</v>
      </c>
      <c r="B102" t="s">
        <v>102</v>
      </c>
      <c r="C102" s="5">
        <v>0</v>
      </c>
      <c r="D102" s="6">
        <v>0</v>
      </c>
      <c r="E102" s="6">
        <v>0</v>
      </c>
      <c r="F102" s="6">
        <v>0</v>
      </c>
      <c r="G102" s="6">
        <f>IFERROR((D102+F102)/2, 0)</f>
        <v>0</v>
      </c>
      <c r="H102" s="7">
        <f>IFERROR(IF(AVERAGE(C102,E102)&gt;$BN$7,AVERAGE(C102,E102),0), 0)</f>
        <v>0</v>
      </c>
      <c r="I102" s="7">
        <f>IFERROR(IF(AND(D102=0,F102=0),0,IF(H102&gt;$BN$6,MAX(D102,F102),G102)), 0)</f>
        <v>0</v>
      </c>
      <c r="J102" s="6">
        <f>IFERROR(IF(AND(D102&gt;0,F102&gt;0),ABS(D102-F102)/AVERAGE(D102,F102),0), 0)</f>
        <v>0</v>
      </c>
      <c r="K102" s="6">
        <v>30467.8</v>
      </c>
      <c r="L102" s="6">
        <v>30467.8</v>
      </c>
      <c r="M102" s="8">
        <f>IFERROR((L102-K102)*1000, 0)</f>
        <v>0</v>
      </c>
      <c r="N102" s="6">
        <v>0.87599999999999989</v>
      </c>
      <c r="O102" s="8" cm="1">
        <f t="array" ref="O102">IF(
    AND($H102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($H102 / 1000) * O$10 * $BN$4 * 0.25
    ),
    0
)
+
IF(
    $N102 &lt; 0.875,
    MAX(0, MIN(($H102 / 1000) * O$10 * $BN$4, O$11 * 0.876) - (O$11 * $N102)) * 0.25,
    0
)</f>
        <v>0</v>
      </c>
      <c r="P102" s="8" cm="1">
        <f t="array" ref="P102">IF(
    AND($H102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($H102 / 1000) * P$10 * $BN$4 * 0.25
    ),
    0
)
+
IF(
    $N102 &lt; 0.875,
    MAX(0, MIN(($H102 / 1000) * P$10 * $BN$4, P$11 * 0.876) - (P$11 * $N102)) * 0.25,
    0
)</f>
        <v>0</v>
      </c>
      <c r="Q102" s="8" cm="1">
        <f t="array" ref="Q102">IF(
    AND($H102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($H102 / 1000) * Q$10 * $BN$4 * 0.25
    ),
    0
)
+
IF(
    $N102 &lt; 0.875,
    MAX(0, MIN(($H102 / 1000) * Q$10 * $BN$4, Q$11 * 0.876) - (Q$11 * $N102)) * 0.25,
    0
)</f>
        <v>0</v>
      </c>
      <c r="R102" s="8" cm="1">
        <f t="array" ref="R102">IF(
    AND($H102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($H102 / 1000) * R$10 * $BN$4 * 0.25
    ),
    0
)
+
IF(
    $N102 &lt; 0.875,
    MAX(0, MIN(($H102 / 1000) * R$10 * $BN$4, R$11 * 0.876) - (R$11 * $N102)) * 0.25,
    0
)</f>
        <v>0</v>
      </c>
      <c r="S102" s="8" cm="1">
        <f t="array" ref="S102">IF(
    AND($H102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($H102 / 1000) * S$10 * $BN$4 * 0.25
    ),
    0
)
+
IF(
    $N102 &lt; 0.875,
    MAX(0, MIN(($H102 / 1000) * S$10 * $BN$4, S$11 * 0.876) - (S$11 * $N102)) * 0.25,
    0
)</f>
        <v>0</v>
      </c>
      <c r="T102" s="8" cm="1">
        <f t="array" ref="T102">IF(
    AND($H102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($H102 / 1000) * T$10 * $BN$4 * 0.25
    ),
    0
)
+
IF(
    $N102 &lt; 0.875,
    MAX(0, MIN(($H102 / 1000) * T$10 * $BN$4, T$11 * 0.876) - (T$11 * $N102)) * 0.25,
    0
)</f>
        <v>0</v>
      </c>
      <c r="U102" s="8" cm="1">
        <f t="array" ref="U102">IF(
    AND($H102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($H102 / 1000) * U$10 * $BN$4 * 0.25
    ),
    0
)
+
IF(
    $N102 &lt; 0.875,
    MAX(0, MIN(($H102 / 1000) * U$10 * $BN$4, U$11 * 0.876) - (U$11 * $N102)) * 0.25,
    0
)</f>
        <v>0</v>
      </c>
      <c r="V102" s="8" cm="1">
        <f t="array" ref="V102">IF(
    AND($H102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($H102 / 1000) * V$10 * $BN$4 * 0.25
    ),
    0
)
+
IF(
    $N102 &lt; 0.875,
    MAX(0, MIN(($H102 / 1000) * V$10 * $BN$4, V$11 * 0.876) - (V$11 * $N102)) * 0.25,
    0
)</f>
        <v>0</v>
      </c>
      <c r="W102" s="8" cm="1">
        <f t="array" ref="W102">IF(
    AND($H102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($H102 / 1000) * W$10 * $BN$4 * 0.25
    ),
    0
)
+
IF(
    $N102 &lt; 0.875,
    MAX(0, MIN(($H102 / 1000) * W$10 * $BN$4, W$11 * 0.876) - (W$11 * $N102)) * 0.25,
    0
)</f>
        <v>0</v>
      </c>
      <c r="X102" s="8" cm="1">
        <f t="array" ref="X102">IF(
    AND($H102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($H102 / 1000) * X$10 * $BN$4 * 0.25
    ),
    0
)
+
IF(
    $N102 &lt; 0.875,
    MAX(0, MIN(($H102 / 1000) * X$10 * $BN$4, X$11 * 0.876) - (X$11 * $N102)) * 0.25,
    0
)</f>
        <v>0</v>
      </c>
      <c r="Y102" s="8" cm="1">
        <f t="array" ref="Y102">IF(
    AND($H102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($H102 / 1000) * Y$10 * $BN$4 * 0.25
    ),
    0
)
+
IF(
    $N102 &lt; 0.875,
    MAX(0, MIN(($H102 / 1000) * Y$10 * $BN$4, Y$11 * 0.876) - (Y$11 * $N102)) * 0.25,
    0
)</f>
        <v>0</v>
      </c>
      <c r="Z102" s="8" cm="1">
        <f t="array" ref="Z102">IF(
    AND($H102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($H102 / 1000) * Z$10 * $BN$4 * 0.25
    ),
    0
)
+
IF(
    $N102 &lt; 0.875,
    MAX(0, MIN(($H102 / 1000) * Z$10 * $BN$4, Z$11 * 0.876) - (Z$11 * $N102)) * 0.25,
    0
)</f>
        <v>0</v>
      </c>
      <c r="AA102" s="8">
        <f>AVERAGE(TabellaMar2026[[#This Row],[Colonna24]:[Colonna20]])</f>
        <v>0</v>
      </c>
      <c r="AB102" s="8">
        <f>MAX(TabellaMar2026[[#This Row],[Colonna24]:[Colonna20]])</f>
        <v>0</v>
      </c>
      <c r="AC102" s="35">
        <f>MIN(TabellaMar2026[[#This Row],[Colonna24]:[Colonna20]])</f>
        <v>0</v>
      </c>
      <c r="AD102" s="44">
        <f>SUM(TabellaMar2026[[#This Row],[Colonna24]:[Colonna20]])</f>
        <v>0</v>
      </c>
      <c r="AE102" s="36">
        <f>IF(
    AND($H102 &gt; $BN$7, Tabella01MarzoInverter[[#This Row],[Active power TX2-INV-1]] &lt;= 0, Tabella01MarzoInverter[[#This Row],[TX2 - Average Power]] &lt;= 0),
    MIN(($H102 / 1000) * AE$10 * $BN$4, AE$11 * 0.876) * 0.25,
    IF(
        AND($H102 &gt; $BN$7, Tabella01MarzoInverter[[#This Row],[Active power TX2-INV-1]] &lt;= 0),
        Tabella01MarzoInverter[[#This Row],[TX2 - Average Power]] * 0.25,
        0
    )
    +
    IF(
        $N102 &lt; 0.875,
        MAX(0, MIN(($H102 / 1000) * AE$10 * $BN$4, AE$11 * 0.876) - (AE$11 * $N102)) * 0.25,
        0
    )
)</f>
        <v>0</v>
      </c>
      <c r="AF102" s="36">
        <f>IF(
    AND($H102 &gt; $BN$7, Tabella01MarzoInverter[[#This Row],[Active power TX2-INV-2]] &lt;= 0, Tabella01MarzoInverter[[#This Row],[TX2 - Max Power]] &lt;= 0),
    MIN(($H102 / 1000) * AF$10 * $BN$4, AF$11 * 0.876) * 0.25,
    IF(
        AND($H102 &gt; $BN$7, Tabella01MarzoInverter[[#This Row],[Active power TX2-INV-2]] &lt;= 0),
        Tabella01MarzoInverter[[#This Row],[TX2 - Max Power]] * 0.25,
        0
    )
    +
    IF(
        $N102 &lt; 0.875,
        MAX(0, MIN(($H102 / 1000) * AF$10 * $BN$4, AF$11 * 0.876) - (AF$11 * $N102)) * 0.25,
        0
    )
)</f>
        <v>0</v>
      </c>
      <c r="AG102" s="36">
        <f>IF(
    AND($H102 &gt; $BN$7, Tabella01MarzoInverter[[#This Row],[Active power TX2-INV-3]] &lt;= 0, Tabella01MarzoInverter[[#This Row],[TX2 - Min Power]] &lt;= 0),
    MIN(($H102 / 1000) * AG$10 * $BN$4, AG$11 * 0.876) * 0.25,
    IF(
        AND($H102 &gt; $BN$7, Tabella01MarzoInverter[[#This Row],[Active power TX2-INV-3]] &lt;= 0),
        Tabella01MarzoInverter[[#This Row],[TX2 - Min Power]] * 0.25,
        0
    )
    +
    IF(
        $N102 &lt; 0.875,
        MAX(0, MIN(($H102 / 1000) * AG$10 * $BN$4, AG$11 * 0.876) - (AG$11 * $N102)) * 0.25,
        0
    )
)</f>
        <v>0</v>
      </c>
      <c r="AH102" s="36">
        <f>IF(
    AND($H102 &gt; $BN$7, Tabella01MarzoInverter[[#This Row],[Active power TX2-INV-4]] &lt;= 0, Tabella01MarzoInverter[[#This Row],[Active power TX3-INV-1]] &lt;= 0),
    MIN(($H102 / 1000) * AH$10 * $BN$4, AH$11 * 0.876) * 0.25,
    IF(
        AND($H102 &gt; $BN$7, Tabella01MarzoInverter[[#This Row],[Active power TX2-INV-4]] &lt;= 0),
        Tabella01MarzoInverter[[#This Row],[Active power TX3-INV-1]] * 0.25,
        0
    )
    +
    IF(
        $N102 &lt; 0.875,
        MAX(0, MIN(($H102 / 1000) * AH$10 * $BN$4, AH$11 * 0.876) - (AH$11 * $N102)) * 0.25,
        0
    )
)</f>
        <v>0</v>
      </c>
      <c r="AI102" s="36">
        <f>IF(
    AND($H102 &gt; $BN$7, Tabella01MarzoInverter[[#This Row],[Active power TX2-INV-5]] &lt;= 0, Tabella01MarzoInverter[[#This Row],[Active power TX3-INV-2]] &lt;= 0),
    MIN(($H102 / 1000) * AI$10 * $BN$4, AI$11 * 0.876) * 0.25,
    IF(
        AND($H102 &gt; $BN$7, Tabella01MarzoInverter[[#This Row],[Active power TX2-INV-5]] &lt;= 0),
        Tabella01MarzoInverter[[#This Row],[Active power TX3-INV-2]] * 0.25,
        0
    )
    +
    IF(
        $N102 &lt; 0.875,
        MAX(0, MIN(($H102 / 1000) * AI$10 * $BN$4, AI$11 * 0.876) - (AI$11 * $N102)) * 0.25,
        0
    )
)</f>
        <v>0</v>
      </c>
      <c r="AJ102" s="36">
        <f>IF(
    AND($H102 &gt; $BN$7, Tabella01MarzoInverter[[#This Row],[Active power TX2-INV-6]] &lt;= 0, Tabella01MarzoInverter[[#This Row],[Active power TX3-INV-3]] &lt;= 0),
    MIN(($H102 / 1000) * AJ$10 * $BN$4, AJ$11 * 0.876) * 0.25,
    IF(
        AND($H102 &gt; $BN$7, Tabella01MarzoInverter[[#This Row],[Active power TX2-INV-6]] &lt;= 0),
        Tabella01MarzoInverter[[#This Row],[Active power TX3-INV-3]] * 0.25,
        0
    )
    +
    IF(
        $N102 &lt; 0.875,
        MAX(0, MIN(($H102 / 1000) * AJ$10 * $BN$4, AJ$11 * 0.876) - (AJ$11 * $N102)) * 0.25,
        0
    )
)</f>
        <v>0</v>
      </c>
      <c r="AK102" s="36">
        <f>IF(
    AND($H102 &gt; $BN$7, Tabella01MarzoInverter[[#This Row],[Active power TX2-INV-7]] &lt;= 0, Tabella01MarzoInverter[[#This Row],[Active power TX3-INV-4]] &lt;= 0),
    MIN(($H102 / 1000) * AK$10 * $BN$4, AK$11 * 0.876) * 0.25,
    IF(
        AND($H102 &gt; $BN$7, Tabella01MarzoInverter[[#This Row],[Active power TX2-INV-7]] &lt;= 0),
        Tabella01MarzoInverter[[#This Row],[Active power TX3-INV-4]] * 0.25,
        0
    )
    +
    IF(
        $N102 &lt; 0.875,
        MAX(0, MIN(($H102 / 1000) * AK$10 * $BN$4, AK$11 * 0.876) - (AK$11 * $N102)) * 0.25,
        0
    )
)</f>
        <v>0</v>
      </c>
      <c r="AL102" s="36">
        <f>IF(
    AND($H102 &gt; $BN$7, Tabella01MarzoInverter[[#This Row],[Active power TX2-INV-8]] &lt;= 0, Tabella01MarzoInverter[[#This Row],[Active power TX3-INV-5]] &lt;= 0),
    MIN(($H102 / 1000) * AL$10 * $BN$4, AL$11 * 0.876) * 0.25,
    IF(
        AND($H102 &gt; $BN$7, Tabella01MarzoInverter[[#This Row],[Active power TX2-INV-8]] &lt;= 0),
        Tabella01MarzoInverter[[#This Row],[Active power TX3-INV-5]] * 0.25,
        0
    )
    +
    IF(
        $N102 &lt; 0.875,
        MAX(0, MIN(($H102 / 1000) * AL$10 * $BN$4, AL$11 * 0.876) - (AL$11 * $N102)) * 0.25,
        0
    )
)</f>
        <v>0</v>
      </c>
      <c r="AM102" s="36">
        <f>IF(
    AND($H102 &gt; $BN$7, Tabella01MarzoInverter[[#This Row],[Active power TX2-INV-9]] &lt;= 0, Tabella01MarzoInverter[[#This Row],[Active power TX3-INV-6]] &lt;= 0),
    MIN(($H102 / 1000) * AM$10 * $BN$4, AM$11 * 0.876) * 0.25,
    IF(
        AND($H102 &gt; $BN$7, Tabella01MarzoInverter[[#This Row],[Active power TX2-INV-9]] &lt;= 0),
        Tabella01MarzoInverter[[#This Row],[Active power TX3-INV-6]] * 0.25,
        0
    )
    +
    IF(
        $N102 &lt; 0.875,
        MAX(0, MIN(($H102 / 1000) * AM$10 * $BN$4, AM$11 * 0.876) - (AM$11 * $N102)) * 0.25,
        0
    )
)</f>
        <v>0</v>
      </c>
      <c r="AN102" s="36">
        <f>IF(
    AND($H102 &gt; $BN$7, Tabella01MarzoInverter[[#This Row],[Active power TX2-INV-10]] &lt;= 0, Tabella01MarzoInverter[[#This Row],[Active power TX3-INV-7]] &lt;= 0),
    MIN(($H102 / 1000) * AN$10 * $BN$4, AN$11 * 0.876) * 0.25,
    IF(
        AND($H102 &gt; $BN$7, Tabella01MarzoInverter[[#This Row],[Active power TX2-INV-10]] &lt;= 0),
        Tabella01MarzoInverter[[#This Row],[Active power TX3-INV-7]] * 0.25,
        0
    )
    +
    IF(
        $N102 &lt; 0.875,
        MAX(0, MIN(($H102 / 1000) * AN$10 * $BN$4, AN$11 * 0.876) - (AN$11 * $N102)) * 0.25,
        0
    )
)</f>
        <v>0</v>
      </c>
      <c r="AO102" s="36">
        <f>IF(
    AND($H102 &gt; $BN$7, Tabella01MarzoInverter[[#This Row],[Active power TX2-INV-11]] &lt;= 0, Tabella01MarzoInverter[[#This Row],[Active power TX3-INV-8]] &lt;= 0),
    MIN(($H102 / 1000) * AO$10 * $BN$4, AO$11 * 0.876) * 0.25,
    IF(
        AND($H102 &gt; $BN$7, Tabella01MarzoInverter[[#This Row],[Active power TX2-INV-11]] &lt;= 0),
        Tabella01MarzoInverter[[#This Row],[Active power TX3-INV-8]] * 0.25,
        0
    )
    +
    IF(
        $N102 &lt; 0.875,
        MAX(0, MIN(($H102 / 1000) * AO$10 * $BN$4, AO$11 * 0.876) - (AO$11 * $N102)) * 0.25,
        0
    )
)</f>
        <v>0</v>
      </c>
      <c r="AP102" s="36">
        <f>IF(
    AND($H102 &gt; $BN$7, Tabella01MarzoInverter[[#This Row],[Active power TX2-INV-12]] &lt;= 0, Tabella01MarzoInverter[[#This Row],[Active power TX3-INV-9]] &lt;= 0),
    MIN(($H102 / 1000) * AP$10 * $BN$4, AP$11 * 0.876) * 0.25,
    IF(
        AND($H102 &gt; $BN$7, Tabella01MarzoInverter[[#This Row],[Active power TX2-INV-12]] &lt;= 0),
        Tabella01MarzoInverter[[#This Row],[Active power TX3-INV-9]] * 0.25,
        0
    )
    +
    IF(
        $N102 &lt; 0.875,
        MAX(0, MIN(($H102 / 1000) * AP$10 * $BN$4, AP$11 * 0.876) - (AP$11 * $N102)) * 0.25,
        0
    )
)</f>
        <v>0</v>
      </c>
      <c r="AQ102" s="8">
        <f>AVERAGE(TabellaMar2026[[#This Row],[Colonna39]:[Colonna6]])</f>
        <v>0</v>
      </c>
      <c r="AR102" s="8">
        <f>MAX(TabellaMar2026[[#This Row],[Colonna39]:[Colonna6]])</f>
        <v>0</v>
      </c>
      <c r="AS102" s="35">
        <f>MIN(TabellaMar2026[[#This Row],[Colonna39]:[Colonna6]])</f>
        <v>0</v>
      </c>
      <c r="AT102" s="48">
        <f>SUM(TabellaMar2026[[#This Row],[Colonna39]:[Colonna6]])</f>
        <v>0</v>
      </c>
      <c r="AU102" s="36" cm="1">
        <f t="array" ref="AU102">IF(
    AND($H102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($H102 / 1000) * AU$10 * $BN$4 * 0.25
    ),
    0
)
+
IF(
    $N102 &lt; 0.875,
    MAX(0, MIN(($H102 / 1000) * AU$10 * $BN$4, AU$11 * 0.876) - (AU$11 * $N102)) * 0.25,
    0
)</f>
        <v>0</v>
      </c>
      <c r="AV102" s="36" cm="1">
        <f t="array" ref="AV102">IF(
    AND($H102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($H102 / 1000) * AV$10 * $BN$4 * 0.25
    ),
    0
)
+
IF(
    $N102 &lt; 0.875,
    MAX(0, MIN(($H102 / 1000) * AV$10 * $BN$4, AV$11 * 0.876) - (AV$11 * $N102)) * 0.25,
    0
)</f>
        <v>0</v>
      </c>
      <c r="AW102" s="36" cm="1">
        <f t="array" ref="AW102">IF(
    AND($H102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($H102 / 1000) * AW$10 * $BN$4 * 0.25
    ),
    0
)
+
IF(
    $N102 &lt; 0.875,
    MAX(0, MIN(($H102 / 1000) * AW$10 * $BN$4, AW$11 * 0.876) - (AW$11 * $N102)) * 0.25,
    0
)</f>
        <v>0</v>
      </c>
      <c r="AX102" s="36" cm="1">
        <f t="array" ref="AX102">IF(
    AND($H102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($H102 / 1000) * AX$10 * $BN$4 * 0.25
    ),
    0
)
+
IF(
    $N102 &lt; 0.875,
    MAX(0, MIN(($H102 / 1000) * AX$10 * $BN$4, AX$11 * 0.876) - (AX$11 * $N102)) * 0.25,
    0
)</f>
        <v>0</v>
      </c>
      <c r="AY102" s="36" cm="1">
        <f t="array" ref="AY102">IF(
    AND($H102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($H102 / 1000) * AY$10 * $BN$4 * 0.25
    ),
    0
)
+
IF(
    $N102 &lt; 0.875,
    MAX(0, MIN(($H102 / 1000) * AY$10 * $BN$4, AY$11 * 0.876) - (AY$11 * $N102)) * 0.25,
    0
)</f>
        <v>0</v>
      </c>
      <c r="AZ102" s="36" cm="1">
        <f t="array" ref="AZ102">IF(
    AND($H102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($H102 / 1000) * AZ$10 * $BN$4 * 0.25
    ),
    0
)
+
IF(
    $N102 &lt; 0.875,
    MAX(0, MIN(($H102 / 1000) * AZ$10 * $BN$4, AZ$11 * 0.876) - (AZ$11 * $N102)) * 0.25,
    0
)</f>
        <v>0</v>
      </c>
      <c r="BA102" s="36" cm="1">
        <f t="array" ref="BA102">IF(
    AND($H102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($H102 / 1000) * BA$10 * $BN$4 * 0.25
    ),
    0
)
+
IF(
    $N102 &lt; 0.875,
    MAX(0, MIN(($H102 / 1000) * BA$10 * $BN$4, BA$11 * 0.876) - (BA$11 * $N102)) * 0.25,
    0
)</f>
        <v>0</v>
      </c>
      <c r="BB102" s="36" cm="1">
        <f t="array" ref="BB102">IF(
    AND($H102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($H102 / 1000) * BB$10 * $BN$4 * 0.25
    ),
    0
)
+
IF(
    $N102 &lt; 0.875,
    MAX(0, MIN(($H102 / 1000) * BB$10 * $BN$4, BB$11 * 0.876) - (BB$11 * $N102)) * 0.25,
    0
)</f>
        <v>0</v>
      </c>
      <c r="BC102" s="36" cm="1">
        <f t="array" ref="BC102">IF(
    AND($H102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($H102 / 1000) * BC$10 * $BN$4 * 0.25
    ),
    0
)
+
IF(
    $N102 &lt; 0.875,
    MAX(0, MIN(($H102 / 1000) * BC$10 * $BN$4, BC$11 * 0.876) - (BC$11 * $N102)) * 0.25,
    0
)</f>
        <v>0</v>
      </c>
      <c r="BD102" s="36" cm="1">
        <f t="array" ref="BD102">IF(
    AND($H102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($H102 / 1000) * BD$10 * $BN$4 * 0.25
    ),
    0
)
+
IF(
    $N102 &lt; 0.875,
    MAX(0, MIN(($H102 / 1000) * BD$10 * $BN$4, BD$11 * 0.876) - (BD$11 * $N102)) * 0.25,
    0
)</f>
        <v>0</v>
      </c>
      <c r="BE102" s="36" cm="1">
        <f t="array" ref="BE102">IF(
    AND($H102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($H102 / 1000) * BE$10 * $BN$4 * 0.25
    ),
    0
)
+
IF(
    $N102 &lt; 0.875,
    MAX(0, MIN(($H102 / 1000) * BE$10 * $BN$4, BE$11 * 0.876) - (BE$11 * $N102)) * 0.25,
    0
)</f>
        <v>0</v>
      </c>
      <c r="BF102" s="36" cm="1">
        <f t="array" ref="BF102">IF(
    AND($H102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($H102 / 1000) * BF$10 * $BN$4 * 0.25
    ),
    0
)
+
IF(
    $N102 &lt; 0.875,
    MAX(0, MIN(($H102 / 1000) * BF$10 * $BN$4, BF$11 * 0.876) - (BF$11 * $N102)) * 0.25,
    0
)</f>
        <v>0</v>
      </c>
      <c r="BG102" s="8">
        <f>AVERAGE(TabellaMar2026[[#This Row],[Colonna55]:[Colonna53]])</f>
        <v>0</v>
      </c>
      <c r="BH102" s="8">
        <f>MAX(TabellaMar2026[[#This Row],[Colonna55]:[Colonna53]])</f>
        <v>0</v>
      </c>
      <c r="BI102" s="35">
        <f>MIN(TabellaMar2026[[#This Row],[Colonna55]:[Colonna53]])</f>
        <v>0</v>
      </c>
      <c r="BJ102" s="48">
        <f>SUM(TabellaMar2026[[#This Row],[Colonna54]:[Colonna53]])</f>
        <v>0</v>
      </c>
      <c r="BK102" s="54">
        <f>(SUM(Tabella01MarzoInverter[[Active power TX1-INV-1]:[Active power TX3-INV-12]]) * 0.25) / (12625 * (SUM($G$15:$H$110) * 0.25 / 1000))</f>
        <v>1.014229628761051</v>
      </c>
      <c r="BL102" s="5"/>
      <c r="BM102" s="5"/>
      <c r="BN102" s="5"/>
      <c r="BO102" s="8"/>
      <c r="BP102" s="19"/>
    </row>
    <row r="103" spans="1:68" x14ac:dyDescent="0.25">
      <c r="A103" s="18">
        <v>46147</v>
      </c>
      <c r="B103" t="s">
        <v>103</v>
      </c>
      <c r="C103" s="5">
        <v>-0.8</v>
      </c>
      <c r="D103" s="6">
        <v>-2.0000000000000001E-4</v>
      </c>
      <c r="E103" s="6">
        <v>0</v>
      </c>
      <c r="F103" s="6">
        <v>0</v>
      </c>
      <c r="G103" s="6">
        <f>IFERROR((D103+F103)/2, 0)</f>
        <v>-1E-4</v>
      </c>
      <c r="H103" s="7">
        <f>IFERROR(IF(AVERAGE(C103,E103)&gt;$BN$7,AVERAGE(C103,E103),0), 0)</f>
        <v>0</v>
      </c>
      <c r="I103" s="7">
        <f>IFERROR(IF(AND(D103=0,F103=0),0,IF(H103&gt;$BN$6,MAX(D103,F103),G103)), 0)</f>
        <v>-1E-4</v>
      </c>
      <c r="J103" s="6">
        <f>IFERROR(IF(AND(D103&gt;0,F103&gt;0),ABS(D103-F103)/AVERAGE(D103,F103),0), 0)</f>
        <v>0</v>
      </c>
      <c r="K103" s="6">
        <v>30467.8</v>
      </c>
      <c r="L103" s="6">
        <v>30467.8</v>
      </c>
      <c r="M103" s="8">
        <f>IFERROR((L103-K103)*1000, 0)</f>
        <v>0</v>
      </c>
      <c r="N103" s="6">
        <v>0.87599999999999989</v>
      </c>
      <c r="O103" s="8" cm="1">
        <f t="array" ref="O103">IF(
    AND($H103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($H103 / 1000) * O$10 * $BN$4 * 0.25
    ),
    0
)
+
IF(
    $N103 &lt; 0.875,
    MAX(0, MIN(($H103 / 1000) * O$10 * $BN$4, O$11 * 0.876) - (O$11 * $N103)) * 0.25,
    0
)</f>
        <v>0</v>
      </c>
      <c r="P103" s="8" cm="1">
        <f t="array" ref="P103">IF(
    AND($H103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($H103 / 1000) * P$10 * $BN$4 * 0.25
    ),
    0
)
+
IF(
    $N103 &lt; 0.875,
    MAX(0, MIN(($H103 / 1000) * P$10 * $BN$4, P$11 * 0.876) - (P$11 * $N103)) * 0.25,
    0
)</f>
        <v>0</v>
      </c>
      <c r="Q103" s="8" cm="1">
        <f t="array" ref="Q103">IF(
    AND($H103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($H103 / 1000) * Q$10 * $BN$4 * 0.25
    ),
    0
)
+
IF(
    $N103 &lt; 0.875,
    MAX(0, MIN(($H103 / 1000) * Q$10 * $BN$4, Q$11 * 0.876) - (Q$11 * $N103)) * 0.25,
    0
)</f>
        <v>0</v>
      </c>
      <c r="R103" s="8" cm="1">
        <f t="array" ref="R103">IF(
    AND($H103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($H103 / 1000) * R$10 * $BN$4 * 0.25
    ),
    0
)
+
IF(
    $N103 &lt; 0.875,
    MAX(0, MIN(($H103 / 1000) * R$10 * $BN$4, R$11 * 0.876) - (R$11 * $N103)) * 0.25,
    0
)</f>
        <v>0</v>
      </c>
      <c r="S103" s="8" cm="1">
        <f t="array" ref="S103">IF(
    AND($H103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($H103 / 1000) * S$10 * $BN$4 * 0.25
    ),
    0
)
+
IF(
    $N103 &lt; 0.875,
    MAX(0, MIN(($H103 / 1000) * S$10 * $BN$4, S$11 * 0.876) - (S$11 * $N103)) * 0.25,
    0
)</f>
        <v>0</v>
      </c>
      <c r="T103" s="8" cm="1">
        <f t="array" ref="T103">IF(
    AND($H103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($H103 / 1000) * T$10 * $BN$4 * 0.25
    ),
    0
)
+
IF(
    $N103 &lt; 0.875,
    MAX(0, MIN(($H103 / 1000) * T$10 * $BN$4, T$11 * 0.876) - (T$11 * $N103)) * 0.25,
    0
)</f>
        <v>0</v>
      </c>
      <c r="U103" s="8" cm="1">
        <f t="array" ref="U103">IF(
    AND($H103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($H103 / 1000) * U$10 * $BN$4 * 0.25
    ),
    0
)
+
IF(
    $N103 &lt; 0.875,
    MAX(0, MIN(($H103 / 1000) * U$10 * $BN$4, U$11 * 0.876) - (U$11 * $N103)) * 0.25,
    0
)</f>
        <v>0</v>
      </c>
      <c r="V103" s="8" cm="1">
        <f t="array" ref="V103">IF(
    AND($H103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($H103 / 1000) * V$10 * $BN$4 * 0.25
    ),
    0
)
+
IF(
    $N103 &lt; 0.875,
    MAX(0, MIN(($H103 / 1000) * V$10 * $BN$4, V$11 * 0.876) - (V$11 * $N103)) * 0.25,
    0
)</f>
        <v>0</v>
      </c>
      <c r="W103" s="8" cm="1">
        <f t="array" ref="W103">IF(
    AND($H103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($H103 / 1000) * W$10 * $BN$4 * 0.25
    ),
    0
)
+
IF(
    $N103 &lt; 0.875,
    MAX(0, MIN(($H103 / 1000) * W$10 * $BN$4, W$11 * 0.876) - (W$11 * $N103)) * 0.25,
    0
)</f>
        <v>0</v>
      </c>
      <c r="X103" s="8" cm="1">
        <f t="array" ref="X103">IF(
    AND($H103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($H103 / 1000) * X$10 * $BN$4 * 0.25
    ),
    0
)
+
IF(
    $N103 &lt; 0.875,
    MAX(0, MIN(($H103 / 1000) * X$10 * $BN$4, X$11 * 0.876) - (X$11 * $N103)) * 0.25,
    0
)</f>
        <v>0</v>
      </c>
      <c r="Y103" s="8" cm="1">
        <f t="array" ref="Y103">IF(
    AND($H103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($H103 / 1000) * Y$10 * $BN$4 * 0.25
    ),
    0
)
+
IF(
    $N103 &lt; 0.875,
    MAX(0, MIN(($H103 / 1000) * Y$10 * $BN$4, Y$11 * 0.876) - (Y$11 * $N103)) * 0.25,
    0
)</f>
        <v>0</v>
      </c>
      <c r="Z103" s="8" cm="1">
        <f t="array" ref="Z103">IF(
    AND($H103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($H103 / 1000) * Z$10 * $BN$4 * 0.25
    ),
    0
)
+
IF(
    $N103 &lt; 0.875,
    MAX(0, MIN(($H103 / 1000) * Z$10 * $BN$4, Z$11 * 0.876) - (Z$11 * $N103)) * 0.25,
    0
)</f>
        <v>0</v>
      </c>
      <c r="AA103" s="8">
        <f>AVERAGE(TabellaMar2026[[#This Row],[Colonna24]:[Colonna20]])</f>
        <v>0</v>
      </c>
      <c r="AB103" s="8">
        <f>MAX(TabellaMar2026[[#This Row],[Colonna24]:[Colonna20]])</f>
        <v>0</v>
      </c>
      <c r="AC103" s="35">
        <f>MIN(TabellaMar2026[[#This Row],[Colonna24]:[Colonna20]])</f>
        <v>0</v>
      </c>
      <c r="AD103" s="44">
        <f>SUM(TabellaMar2026[[#This Row],[Colonna24]:[Colonna20]])</f>
        <v>0</v>
      </c>
      <c r="AE103" s="36">
        <f>IF(
    AND($H103 &gt; $BN$7, Tabella01MarzoInverter[[#This Row],[Active power TX2-INV-1]] &lt;= 0, Tabella01MarzoInverter[[#This Row],[TX2 - Average Power]] &lt;= 0),
    MIN(($H103 / 1000) * AE$10 * $BN$4, AE$11 * 0.876) * 0.25,
    IF(
        AND($H103 &gt; $BN$7, Tabella01MarzoInverter[[#This Row],[Active power TX2-INV-1]] &lt;= 0),
        Tabella01MarzoInverter[[#This Row],[TX2 - Average Power]] * 0.25,
        0
    )
    +
    IF(
        $N103 &lt; 0.875,
        MAX(0, MIN(($H103 / 1000) * AE$10 * $BN$4, AE$11 * 0.876) - (AE$11 * $N103)) * 0.25,
        0
    )
)</f>
        <v>0</v>
      </c>
      <c r="AF103" s="36">
        <f>IF(
    AND($H103 &gt; $BN$7, Tabella01MarzoInverter[[#This Row],[Active power TX2-INV-2]] &lt;= 0, Tabella01MarzoInverter[[#This Row],[TX2 - Max Power]] &lt;= 0),
    MIN(($H103 / 1000) * AF$10 * $BN$4, AF$11 * 0.876) * 0.25,
    IF(
        AND($H103 &gt; $BN$7, Tabella01MarzoInverter[[#This Row],[Active power TX2-INV-2]] &lt;= 0),
        Tabella01MarzoInverter[[#This Row],[TX2 - Max Power]] * 0.25,
        0
    )
    +
    IF(
        $N103 &lt; 0.875,
        MAX(0, MIN(($H103 / 1000) * AF$10 * $BN$4, AF$11 * 0.876) - (AF$11 * $N103)) * 0.25,
        0
    )
)</f>
        <v>0</v>
      </c>
      <c r="AG103" s="36">
        <f>IF(
    AND($H103 &gt; $BN$7, Tabella01MarzoInverter[[#This Row],[Active power TX2-INV-3]] &lt;= 0, Tabella01MarzoInverter[[#This Row],[TX2 - Min Power]] &lt;= 0),
    MIN(($H103 / 1000) * AG$10 * $BN$4, AG$11 * 0.876) * 0.25,
    IF(
        AND($H103 &gt; $BN$7, Tabella01MarzoInverter[[#This Row],[Active power TX2-INV-3]] &lt;= 0),
        Tabella01MarzoInverter[[#This Row],[TX2 - Min Power]] * 0.25,
        0
    )
    +
    IF(
        $N103 &lt; 0.875,
        MAX(0, MIN(($H103 / 1000) * AG$10 * $BN$4, AG$11 * 0.876) - (AG$11 * $N103)) * 0.25,
        0
    )
)</f>
        <v>0</v>
      </c>
      <c r="AH103" s="36">
        <f>IF(
    AND($H103 &gt; $BN$7, Tabella01MarzoInverter[[#This Row],[Active power TX2-INV-4]] &lt;= 0, Tabella01MarzoInverter[[#This Row],[Active power TX3-INV-1]] &lt;= 0),
    MIN(($H103 / 1000) * AH$10 * $BN$4, AH$11 * 0.876) * 0.25,
    IF(
        AND($H103 &gt; $BN$7, Tabella01MarzoInverter[[#This Row],[Active power TX2-INV-4]] &lt;= 0),
        Tabella01MarzoInverter[[#This Row],[Active power TX3-INV-1]] * 0.25,
        0
    )
    +
    IF(
        $N103 &lt; 0.875,
        MAX(0, MIN(($H103 / 1000) * AH$10 * $BN$4, AH$11 * 0.876) - (AH$11 * $N103)) * 0.25,
        0
    )
)</f>
        <v>0</v>
      </c>
      <c r="AI103" s="36">
        <f>IF(
    AND($H103 &gt; $BN$7, Tabella01MarzoInverter[[#This Row],[Active power TX2-INV-5]] &lt;= 0, Tabella01MarzoInverter[[#This Row],[Active power TX3-INV-2]] &lt;= 0),
    MIN(($H103 / 1000) * AI$10 * $BN$4, AI$11 * 0.876) * 0.25,
    IF(
        AND($H103 &gt; $BN$7, Tabella01MarzoInverter[[#This Row],[Active power TX2-INV-5]] &lt;= 0),
        Tabella01MarzoInverter[[#This Row],[Active power TX3-INV-2]] * 0.25,
        0
    )
    +
    IF(
        $N103 &lt; 0.875,
        MAX(0, MIN(($H103 / 1000) * AI$10 * $BN$4, AI$11 * 0.876) - (AI$11 * $N103)) * 0.25,
        0
    )
)</f>
        <v>0</v>
      </c>
      <c r="AJ103" s="36">
        <f>IF(
    AND($H103 &gt; $BN$7, Tabella01MarzoInverter[[#This Row],[Active power TX2-INV-6]] &lt;= 0, Tabella01MarzoInverter[[#This Row],[Active power TX3-INV-3]] &lt;= 0),
    MIN(($H103 / 1000) * AJ$10 * $BN$4, AJ$11 * 0.876) * 0.25,
    IF(
        AND($H103 &gt; $BN$7, Tabella01MarzoInverter[[#This Row],[Active power TX2-INV-6]] &lt;= 0),
        Tabella01MarzoInverter[[#This Row],[Active power TX3-INV-3]] * 0.25,
        0
    )
    +
    IF(
        $N103 &lt; 0.875,
        MAX(0, MIN(($H103 / 1000) * AJ$10 * $BN$4, AJ$11 * 0.876) - (AJ$11 * $N103)) * 0.25,
        0
    )
)</f>
        <v>0</v>
      </c>
      <c r="AK103" s="36">
        <f>IF(
    AND($H103 &gt; $BN$7, Tabella01MarzoInverter[[#This Row],[Active power TX2-INV-7]] &lt;= 0, Tabella01MarzoInverter[[#This Row],[Active power TX3-INV-4]] &lt;= 0),
    MIN(($H103 / 1000) * AK$10 * $BN$4, AK$11 * 0.876) * 0.25,
    IF(
        AND($H103 &gt; $BN$7, Tabella01MarzoInverter[[#This Row],[Active power TX2-INV-7]] &lt;= 0),
        Tabella01MarzoInverter[[#This Row],[Active power TX3-INV-4]] * 0.25,
        0
    )
    +
    IF(
        $N103 &lt; 0.875,
        MAX(0, MIN(($H103 / 1000) * AK$10 * $BN$4, AK$11 * 0.876) - (AK$11 * $N103)) * 0.25,
        0
    )
)</f>
        <v>0</v>
      </c>
      <c r="AL103" s="36">
        <f>IF(
    AND($H103 &gt; $BN$7, Tabella01MarzoInverter[[#This Row],[Active power TX2-INV-8]] &lt;= 0, Tabella01MarzoInverter[[#This Row],[Active power TX3-INV-5]] &lt;= 0),
    MIN(($H103 / 1000) * AL$10 * $BN$4, AL$11 * 0.876) * 0.25,
    IF(
        AND($H103 &gt; $BN$7, Tabella01MarzoInverter[[#This Row],[Active power TX2-INV-8]] &lt;= 0),
        Tabella01MarzoInverter[[#This Row],[Active power TX3-INV-5]] * 0.25,
        0
    )
    +
    IF(
        $N103 &lt; 0.875,
        MAX(0, MIN(($H103 / 1000) * AL$10 * $BN$4, AL$11 * 0.876) - (AL$11 * $N103)) * 0.25,
        0
    )
)</f>
        <v>0</v>
      </c>
      <c r="AM103" s="36">
        <f>IF(
    AND($H103 &gt; $BN$7, Tabella01MarzoInverter[[#This Row],[Active power TX2-INV-9]] &lt;= 0, Tabella01MarzoInverter[[#This Row],[Active power TX3-INV-6]] &lt;= 0),
    MIN(($H103 / 1000) * AM$10 * $BN$4, AM$11 * 0.876) * 0.25,
    IF(
        AND($H103 &gt; $BN$7, Tabella01MarzoInverter[[#This Row],[Active power TX2-INV-9]] &lt;= 0),
        Tabella01MarzoInverter[[#This Row],[Active power TX3-INV-6]] * 0.25,
        0
    )
    +
    IF(
        $N103 &lt; 0.875,
        MAX(0, MIN(($H103 / 1000) * AM$10 * $BN$4, AM$11 * 0.876) - (AM$11 * $N103)) * 0.25,
        0
    )
)</f>
        <v>0</v>
      </c>
      <c r="AN103" s="36">
        <f>IF(
    AND($H103 &gt; $BN$7, Tabella01MarzoInverter[[#This Row],[Active power TX2-INV-10]] &lt;= 0, Tabella01MarzoInverter[[#This Row],[Active power TX3-INV-7]] &lt;= 0),
    MIN(($H103 / 1000) * AN$10 * $BN$4, AN$11 * 0.876) * 0.25,
    IF(
        AND($H103 &gt; $BN$7, Tabella01MarzoInverter[[#This Row],[Active power TX2-INV-10]] &lt;= 0),
        Tabella01MarzoInverter[[#This Row],[Active power TX3-INV-7]] * 0.25,
        0
    )
    +
    IF(
        $N103 &lt; 0.875,
        MAX(0, MIN(($H103 / 1000) * AN$10 * $BN$4, AN$11 * 0.876) - (AN$11 * $N103)) * 0.25,
        0
    )
)</f>
        <v>0</v>
      </c>
      <c r="AO103" s="36">
        <f>IF(
    AND($H103 &gt; $BN$7, Tabella01MarzoInverter[[#This Row],[Active power TX2-INV-11]] &lt;= 0, Tabella01MarzoInverter[[#This Row],[Active power TX3-INV-8]] &lt;= 0),
    MIN(($H103 / 1000) * AO$10 * $BN$4, AO$11 * 0.876) * 0.25,
    IF(
        AND($H103 &gt; $BN$7, Tabella01MarzoInverter[[#This Row],[Active power TX2-INV-11]] &lt;= 0),
        Tabella01MarzoInverter[[#This Row],[Active power TX3-INV-8]] * 0.25,
        0
    )
    +
    IF(
        $N103 &lt; 0.875,
        MAX(0, MIN(($H103 / 1000) * AO$10 * $BN$4, AO$11 * 0.876) - (AO$11 * $N103)) * 0.25,
        0
    )
)</f>
        <v>0</v>
      </c>
      <c r="AP103" s="36">
        <f>IF(
    AND($H103 &gt; $BN$7, Tabella01MarzoInverter[[#This Row],[Active power TX2-INV-12]] &lt;= 0, Tabella01MarzoInverter[[#This Row],[Active power TX3-INV-9]] &lt;= 0),
    MIN(($H103 / 1000) * AP$10 * $BN$4, AP$11 * 0.876) * 0.25,
    IF(
        AND($H103 &gt; $BN$7, Tabella01MarzoInverter[[#This Row],[Active power TX2-INV-12]] &lt;= 0),
        Tabella01MarzoInverter[[#This Row],[Active power TX3-INV-9]] * 0.25,
        0
    )
    +
    IF(
        $N103 &lt; 0.875,
        MAX(0, MIN(($H103 / 1000) * AP$10 * $BN$4, AP$11 * 0.876) - (AP$11 * $N103)) * 0.25,
        0
    )
)</f>
        <v>0</v>
      </c>
      <c r="AQ103" s="8">
        <f>AVERAGE(TabellaMar2026[[#This Row],[Colonna39]:[Colonna6]])</f>
        <v>0</v>
      </c>
      <c r="AR103" s="8">
        <f>MAX(TabellaMar2026[[#This Row],[Colonna39]:[Colonna6]])</f>
        <v>0</v>
      </c>
      <c r="AS103" s="35">
        <f>MIN(TabellaMar2026[[#This Row],[Colonna39]:[Colonna6]])</f>
        <v>0</v>
      </c>
      <c r="AT103" s="48">
        <f>SUM(TabellaMar2026[[#This Row],[Colonna39]:[Colonna6]])</f>
        <v>0</v>
      </c>
      <c r="AU103" s="36" cm="1">
        <f t="array" ref="AU103">IF(
    AND($H103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($H103 / 1000) * AU$10 * $BN$4 * 0.25
    ),
    0
)
+
IF(
    $N103 &lt; 0.875,
    MAX(0, MIN(($H103 / 1000) * AU$10 * $BN$4, AU$11 * 0.876) - (AU$11 * $N103)) * 0.25,
    0
)</f>
        <v>0</v>
      </c>
      <c r="AV103" s="36" cm="1">
        <f t="array" ref="AV103">IF(
    AND($H103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($H103 / 1000) * AV$10 * $BN$4 * 0.25
    ),
    0
)
+
IF(
    $N103 &lt; 0.875,
    MAX(0, MIN(($H103 / 1000) * AV$10 * $BN$4, AV$11 * 0.876) - (AV$11 * $N103)) * 0.25,
    0
)</f>
        <v>0</v>
      </c>
      <c r="AW103" s="36" cm="1">
        <f t="array" ref="AW103">IF(
    AND($H103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($H103 / 1000) * AW$10 * $BN$4 * 0.25
    ),
    0
)
+
IF(
    $N103 &lt; 0.875,
    MAX(0, MIN(($H103 / 1000) * AW$10 * $BN$4, AW$11 * 0.876) - (AW$11 * $N103)) * 0.25,
    0
)</f>
        <v>0</v>
      </c>
      <c r="AX103" s="36" cm="1">
        <f t="array" ref="AX103">IF(
    AND($H103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($H103 / 1000) * AX$10 * $BN$4 * 0.25
    ),
    0
)
+
IF(
    $N103 &lt; 0.875,
    MAX(0, MIN(($H103 / 1000) * AX$10 * $BN$4, AX$11 * 0.876) - (AX$11 * $N103)) * 0.25,
    0
)</f>
        <v>0</v>
      </c>
      <c r="AY103" s="36" cm="1">
        <f t="array" ref="AY103">IF(
    AND($H103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($H103 / 1000) * AY$10 * $BN$4 * 0.25
    ),
    0
)
+
IF(
    $N103 &lt; 0.875,
    MAX(0, MIN(($H103 / 1000) * AY$10 * $BN$4, AY$11 * 0.876) - (AY$11 * $N103)) * 0.25,
    0
)</f>
        <v>0</v>
      </c>
      <c r="AZ103" s="36" cm="1">
        <f t="array" ref="AZ103">IF(
    AND($H103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($H103 / 1000) * AZ$10 * $BN$4 * 0.25
    ),
    0
)
+
IF(
    $N103 &lt; 0.875,
    MAX(0, MIN(($H103 / 1000) * AZ$10 * $BN$4, AZ$11 * 0.876) - (AZ$11 * $N103)) * 0.25,
    0
)</f>
        <v>0</v>
      </c>
      <c r="BA103" s="36" cm="1">
        <f t="array" ref="BA103">IF(
    AND($H103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($H103 / 1000) * BA$10 * $BN$4 * 0.25
    ),
    0
)
+
IF(
    $N103 &lt; 0.875,
    MAX(0, MIN(($H103 / 1000) * BA$10 * $BN$4, BA$11 * 0.876) - (BA$11 * $N103)) * 0.25,
    0
)</f>
        <v>0</v>
      </c>
      <c r="BB103" s="36" cm="1">
        <f t="array" ref="BB103">IF(
    AND($H103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($H103 / 1000) * BB$10 * $BN$4 * 0.25
    ),
    0
)
+
IF(
    $N103 &lt; 0.875,
    MAX(0, MIN(($H103 / 1000) * BB$10 * $BN$4, BB$11 * 0.876) - (BB$11 * $N103)) * 0.25,
    0
)</f>
        <v>0</v>
      </c>
      <c r="BC103" s="36" cm="1">
        <f t="array" ref="BC103">IF(
    AND($H103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($H103 / 1000) * BC$10 * $BN$4 * 0.25
    ),
    0
)
+
IF(
    $N103 &lt; 0.875,
    MAX(0, MIN(($H103 / 1000) * BC$10 * $BN$4, BC$11 * 0.876) - (BC$11 * $N103)) * 0.25,
    0
)</f>
        <v>0</v>
      </c>
      <c r="BD103" s="36" cm="1">
        <f t="array" ref="BD103">IF(
    AND($H103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($H103 / 1000) * BD$10 * $BN$4 * 0.25
    ),
    0
)
+
IF(
    $N103 &lt; 0.875,
    MAX(0, MIN(($H103 / 1000) * BD$10 * $BN$4, BD$11 * 0.876) - (BD$11 * $N103)) * 0.25,
    0
)</f>
        <v>0</v>
      </c>
      <c r="BE103" s="36" cm="1">
        <f t="array" ref="BE103">IF(
    AND($H103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($H103 / 1000) * BE$10 * $BN$4 * 0.25
    ),
    0
)
+
IF(
    $N103 &lt; 0.875,
    MAX(0, MIN(($H103 / 1000) * BE$10 * $BN$4, BE$11 * 0.876) - (BE$11 * $N103)) * 0.25,
    0
)</f>
        <v>0</v>
      </c>
      <c r="BF103" s="36" cm="1">
        <f t="array" ref="BF103">IF(
    AND($H103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($H103 / 1000) * BF$10 * $BN$4 * 0.25
    ),
    0
)
+
IF(
    $N103 &lt; 0.875,
    MAX(0, MIN(($H103 / 1000) * BF$10 * $BN$4, BF$11 * 0.876) - (BF$11 * $N103)) * 0.25,
    0
)</f>
        <v>0</v>
      </c>
      <c r="BG103" s="8">
        <f>AVERAGE(TabellaMar2026[[#This Row],[Colonna55]:[Colonna53]])</f>
        <v>0</v>
      </c>
      <c r="BH103" s="8">
        <f>MAX(TabellaMar2026[[#This Row],[Colonna55]:[Colonna53]])</f>
        <v>0</v>
      </c>
      <c r="BI103" s="35">
        <f>MIN(TabellaMar2026[[#This Row],[Colonna55]:[Colonna53]])</f>
        <v>0</v>
      </c>
      <c r="BJ103" s="48">
        <f>SUM(TabellaMar2026[[#This Row],[Colonna54]:[Colonna53]])</f>
        <v>0</v>
      </c>
      <c r="BK103" s="54">
        <f>(SUM(Tabella01MarzoInverter[[Active power TX1-INV-1]:[Active power TX3-INV-12]]) * 0.25) / (12625 * (SUM($G$15:$H$110) * 0.25 / 1000))</f>
        <v>1.014229628761051</v>
      </c>
      <c r="BL103" s="5"/>
      <c r="BM103" s="5"/>
      <c r="BN103" s="5"/>
      <c r="BO103" s="8"/>
      <c r="BP103" s="19"/>
    </row>
    <row r="104" spans="1:68" x14ac:dyDescent="0.25">
      <c r="A104" s="18">
        <v>46147</v>
      </c>
      <c r="B104" t="s">
        <v>104</v>
      </c>
      <c r="C104" s="5">
        <v>-1</v>
      </c>
      <c r="D104" s="6">
        <v>-2.5000000000000001E-4</v>
      </c>
      <c r="E104" s="6">
        <v>0</v>
      </c>
      <c r="F104" s="6">
        <v>0</v>
      </c>
      <c r="G104" s="6">
        <f>IFERROR((D104+F104)/2, 0)</f>
        <v>-1.25E-4</v>
      </c>
      <c r="H104" s="7">
        <f>IFERROR(IF(AVERAGE(C104,E104)&gt;$BN$7,AVERAGE(C104,E104),0), 0)</f>
        <v>0</v>
      </c>
      <c r="I104" s="7">
        <f>IFERROR(IF(AND(D104=0,F104=0),0,IF(H104&gt;$BN$6,MAX(D104,F104),G104)), 0)</f>
        <v>-1.25E-4</v>
      </c>
      <c r="J104" s="6">
        <f>IFERROR(IF(AND(D104&gt;0,F104&gt;0),ABS(D104-F104)/AVERAGE(D104,F104),0), 0)</f>
        <v>0</v>
      </c>
      <c r="K104" s="6">
        <v>30467.8</v>
      </c>
      <c r="L104" s="6">
        <v>30467.8</v>
      </c>
      <c r="M104" s="8">
        <f>IFERROR((L104-K104)*1000, 0)</f>
        <v>0</v>
      </c>
      <c r="N104" s="6">
        <v>0.87599999999999989</v>
      </c>
      <c r="O104" s="8" cm="1">
        <f t="array" ref="O104">IF(
    AND($H104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($H104 / 1000) * O$10 * $BN$4 * 0.25
    ),
    0
)
+
IF(
    $N104 &lt; 0.875,
    MAX(0, MIN(($H104 / 1000) * O$10 * $BN$4, O$11 * 0.876) - (O$11 * $N104)) * 0.25,
    0
)</f>
        <v>0</v>
      </c>
      <c r="P104" s="8" cm="1">
        <f t="array" ref="P104">IF(
    AND($H104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($H104 / 1000) * P$10 * $BN$4 * 0.25
    ),
    0
)
+
IF(
    $N104 &lt; 0.875,
    MAX(0, MIN(($H104 / 1000) * P$10 * $BN$4, P$11 * 0.876) - (P$11 * $N104)) * 0.25,
    0
)</f>
        <v>0</v>
      </c>
      <c r="Q104" s="8" cm="1">
        <f t="array" ref="Q104">IF(
    AND($H104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($H104 / 1000) * Q$10 * $BN$4 * 0.25
    ),
    0
)
+
IF(
    $N104 &lt; 0.875,
    MAX(0, MIN(($H104 / 1000) * Q$10 * $BN$4, Q$11 * 0.876) - (Q$11 * $N104)) * 0.25,
    0
)</f>
        <v>0</v>
      </c>
      <c r="R104" s="8" cm="1">
        <f t="array" ref="R104">IF(
    AND($H104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($H104 / 1000) * R$10 * $BN$4 * 0.25
    ),
    0
)
+
IF(
    $N104 &lt; 0.875,
    MAX(0, MIN(($H104 / 1000) * R$10 * $BN$4, R$11 * 0.876) - (R$11 * $N104)) * 0.25,
    0
)</f>
        <v>0</v>
      </c>
      <c r="S104" s="8" cm="1">
        <f t="array" ref="S104">IF(
    AND($H104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($H104 / 1000) * S$10 * $BN$4 * 0.25
    ),
    0
)
+
IF(
    $N104 &lt; 0.875,
    MAX(0, MIN(($H104 / 1000) * S$10 * $BN$4, S$11 * 0.876) - (S$11 * $N104)) * 0.25,
    0
)</f>
        <v>0</v>
      </c>
      <c r="T104" s="8" cm="1">
        <f t="array" ref="T104">IF(
    AND($H104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($H104 / 1000) * T$10 * $BN$4 * 0.25
    ),
    0
)
+
IF(
    $N104 &lt; 0.875,
    MAX(0, MIN(($H104 / 1000) * T$10 * $BN$4, T$11 * 0.876) - (T$11 * $N104)) * 0.25,
    0
)</f>
        <v>0</v>
      </c>
      <c r="U104" s="8" cm="1">
        <f t="array" ref="U104">IF(
    AND($H104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($H104 / 1000) * U$10 * $BN$4 * 0.25
    ),
    0
)
+
IF(
    $N104 &lt; 0.875,
    MAX(0, MIN(($H104 / 1000) * U$10 * $BN$4, U$11 * 0.876) - (U$11 * $N104)) * 0.25,
    0
)</f>
        <v>0</v>
      </c>
      <c r="V104" s="8" cm="1">
        <f t="array" ref="V104">IF(
    AND($H104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($H104 / 1000) * V$10 * $BN$4 * 0.25
    ),
    0
)
+
IF(
    $N104 &lt; 0.875,
    MAX(0, MIN(($H104 / 1000) * V$10 * $BN$4, V$11 * 0.876) - (V$11 * $N104)) * 0.25,
    0
)</f>
        <v>0</v>
      </c>
      <c r="W104" s="8" cm="1">
        <f t="array" ref="W104">IF(
    AND($H104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($H104 / 1000) * W$10 * $BN$4 * 0.25
    ),
    0
)
+
IF(
    $N104 &lt; 0.875,
    MAX(0, MIN(($H104 / 1000) * W$10 * $BN$4, W$11 * 0.876) - (W$11 * $N104)) * 0.25,
    0
)</f>
        <v>0</v>
      </c>
      <c r="X104" s="8" cm="1">
        <f t="array" ref="X104">IF(
    AND($H104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($H104 / 1000) * X$10 * $BN$4 * 0.25
    ),
    0
)
+
IF(
    $N104 &lt; 0.875,
    MAX(0, MIN(($H104 / 1000) * X$10 * $BN$4, X$11 * 0.876) - (X$11 * $N104)) * 0.25,
    0
)</f>
        <v>0</v>
      </c>
      <c r="Y104" s="8" cm="1">
        <f t="array" ref="Y104">IF(
    AND($H104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($H104 / 1000) * Y$10 * $BN$4 * 0.25
    ),
    0
)
+
IF(
    $N104 &lt; 0.875,
    MAX(0, MIN(($H104 / 1000) * Y$10 * $BN$4, Y$11 * 0.876) - (Y$11 * $N104)) * 0.25,
    0
)</f>
        <v>0</v>
      </c>
      <c r="Z104" s="8" cm="1">
        <f t="array" ref="Z104">IF(
    AND($H104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($H104 / 1000) * Z$10 * $BN$4 * 0.25
    ),
    0
)
+
IF(
    $N104 &lt; 0.875,
    MAX(0, MIN(($H104 / 1000) * Z$10 * $BN$4, Z$11 * 0.876) - (Z$11 * $N104)) * 0.25,
    0
)</f>
        <v>0</v>
      </c>
      <c r="AA104" s="8">
        <f>AVERAGE(TabellaMar2026[[#This Row],[Colonna24]:[Colonna20]])</f>
        <v>0</v>
      </c>
      <c r="AB104" s="8">
        <f>MAX(TabellaMar2026[[#This Row],[Colonna24]:[Colonna20]])</f>
        <v>0</v>
      </c>
      <c r="AC104" s="35">
        <f>MIN(TabellaMar2026[[#This Row],[Colonna24]:[Colonna20]])</f>
        <v>0</v>
      </c>
      <c r="AD104" s="44">
        <f>SUM(TabellaMar2026[[#This Row],[Colonna24]:[Colonna20]])</f>
        <v>0</v>
      </c>
      <c r="AE104" s="36">
        <f>IF(
    AND($H104 &gt; $BN$7, Tabella01MarzoInverter[[#This Row],[Active power TX2-INV-1]] &lt;= 0, Tabella01MarzoInverter[[#This Row],[TX2 - Average Power]] &lt;= 0),
    MIN(($H104 / 1000) * AE$10 * $BN$4, AE$11 * 0.876) * 0.25,
    IF(
        AND($H104 &gt; $BN$7, Tabella01MarzoInverter[[#This Row],[Active power TX2-INV-1]] &lt;= 0),
        Tabella01MarzoInverter[[#This Row],[TX2 - Average Power]] * 0.25,
        0
    )
    +
    IF(
        $N104 &lt; 0.875,
        MAX(0, MIN(($H104 / 1000) * AE$10 * $BN$4, AE$11 * 0.876) - (AE$11 * $N104)) * 0.25,
        0
    )
)</f>
        <v>0</v>
      </c>
      <c r="AF104" s="36">
        <f>IF(
    AND($H104 &gt; $BN$7, Tabella01MarzoInverter[[#This Row],[Active power TX2-INV-2]] &lt;= 0, Tabella01MarzoInverter[[#This Row],[TX2 - Max Power]] &lt;= 0),
    MIN(($H104 / 1000) * AF$10 * $BN$4, AF$11 * 0.876) * 0.25,
    IF(
        AND($H104 &gt; $BN$7, Tabella01MarzoInverter[[#This Row],[Active power TX2-INV-2]] &lt;= 0),
        Tabella01MarzoInverter[[#This Row],[TX2 - Max Power]] * 0.25,
        0
    )
    +
    IF(
        $N104 &lt; 0.875,
        MAX(0, MIN(($H104 / 1000) * AF$10 * $BN$4, AF$11 * 0.876) - (AF$11 * $N104)) * 0.25,
        0
    )
)</f>
        <v>0</v>
      </c>
      <c r="AG104" s="36">
        <f>IF(
    AND($H104 &gt; $BN$7, Tabella01MarzoInverter[[#This Row],[Active power TX2-INV-3]] &lt;= 0, Tabella01MarzoInverter[[#This Row],[TX2 - Min Power]] &lt;= 0),
    MIN(($H104 / 1000) * AG$10 * $BN$4, AG$11 * 0.876) * 0.25,
    IF(
        AND($H104 &gt; $BN$7, Tabella01MarzoInverter[[#This Row],[Active power TX2-INV-3]] &lt;= 0),
        Tabella01MarzoInverter[[#This Row],[TX2 - Min Power]] * 0.25,
        0
    )
    +
    IF(
        $N104 &lt; 0.875,
        MAX(0, MIN(($H104 / 1000) * AG$10 * $BN$4, AG$11 * 0.876) - (AG$11 * $N104)) * 0.25,
        0
    )
)</f>
        <v>0</v>
      </c>
      <c r="AH104" s="36">
        <f>IF(
    AND($H104 &gt; $BN$7, Tabella01MarzoInverter[[#This Row],[Active power TX2-INV-4]] &lt;= 0, Tabella01MarzoInverter[[#This Row],[Active power TX3-INV-1]] &lt;= 0),
    MIN(($H104 / 1000) * AH$10 * $BN$4, AH$11 * 0.876) * 0.25,
    IF(
        AND($H104 &gt; $BN$7, Tabella01MarzoInverter[[#This Row],[Active power TX2-INV-4]] &lt;= 0),
        Tabella01MarzoInverter[[#This Row],[Active power TX3-INV-1]] * 0.25,
        0
    )
    +
    IF(
        $N104 &lt; 0.875,
        MAX(0, MIN(($H104 / 1000) * AH$10 * $BN$4, AH$11 * 0.876) - (AH$11 * $N104)) * 0.25,
        0
    )
)</f>
        <v>0</v>
      </c>
      <c r="AI104" s="36">
        <f>IF(
    AND($H104 &gt; $BN$7, Tabella01MarzoInverter[[#This Row],[Active power TX2-INV-5]] &lt;= 0, Tabella01MarzoInverter[[#This Row],[Active power TX3-INV-2]] &lt;= 0),
    MIN(($H104 / 1000) * AI$10 * $BN$4, AI$11 * 0.876) * 0.25,
    IF(
        AND($H104 &gt; $BN$7, Tabella01MarzoInverter[[#This Row],[Active power TX2-INV-5]] &lt;= 0),
        Tabella01MarzoInverter[[#This Row],[Active power TX3-INV-2]] * 0.25,
        0
    )
    +
    IF(
        $N104 &lt; 0.875,
        MAX(0, MIN(($H104 / 1000) * AI$10 * $BN$4, AI$11 * 0.876) - (AI$11 * $N104)) * 0.25,
        0
    )
)</f>
        <v>0</v>
      </c>
      <c r="AJ104" s="36">
        <f>IF(
    AND($H104 &gt; $BN$7, Tabella01MarzoInverter[[#This Row],[Active power TX2-INV-6]] &lt;= 0, Tabella01MarzoInverter[[#This Row],[Active power TX3-INV-3]] &lt;= 0),
    MIN(($H104 / 1000) * AJ$10 * $BN$4, AJ$11 * 0.876) * 0.25,
    IF(
        AND($H104 &gt; $BN$7, Tabella01MarzoInverter[[#This Row],[Active power TX2-INV-6]] &lt;= 0),
        Tabella01MarzoInverter[[#This Row],[Active power TX3-INV-3]] * 0.25,
        0
    )
    +
    IF(
        $N104 &lt; 0.875,
        MAX(0, MIN(($H104 / 1000) * AJ$10 * $BN$4, AJ$11 * 0.876) - (AJ$11 * $N104)) * 0.25,
        0
    )
)</f>
        <v>0</v>
      </c>
      <c r="AK104" s="36">
        <f>IF(
    AND($H104 &gt; $BN$7, Tabella01MarzoInverter[[#This Row],[Active power TX2-INV-7]] &lt;= 0, Tabella01MarzoInverter[[#This Row],[Active power TX3-INV-4]] &lt;= 0),
    MIN(($H104 / 1000) * AK$10 * $BN$4, AK$11 * 0.876) * 0.25,
    IF(
        AND($H104 &gt; $BN$7, Tabella01MarzoInverter[[#This Row],[Active power TX2-INV-7]] &lt;= 0),
        Tabella01MarzoInverter[[#This Row],[Active power TX3-INV-4]] * 0.25,
        0
    )
    +
    IF(
        $N104 &lt; 0.875,
        MAX(0, MIN(($H104 / 1000) * AK$10 * $BN$4, AK$11 * 0.876) - (AK$11 * $N104)) * 0.25,
        0
    )
)</f>
        <v>0</v>
      </c>
      <c r="AL104" s="36">
        <f>IF(
    AND($H104 &gt; $BN$7, Tabella01MarzoInverter[[#This Row],[Active power TX2-INV-8]] &lt;= 0, Tabella01MarzoInverter[[#This Row],[Active power TX3-INV-5]] &lt;= 0),
    MIN(($H104 / 1000) * AL$10 * $BN$4, AL$11 * 0.876) * 0.25,
    IF(
        AND($H104 &gt; $BN$7, Tabella01MarzoInverter[[#This Row],[Active power TX2-INV-8]] &lt;= 0),
        Tabella01MarzoInverter[[#This Row],[Active power TX3-INV-5]] * 0.25,
        0
    )
    +
    IF(
        $N104 &lt; 0.875,
        MAX(0, MIN(($H104 / 1000) * AL$10 * $BN$4, AL$11 * 0.876) - (AL$11 * $N104)) * 0.25,
        0
    )
)</f>
        <v>0</v>
      </c>
      <c r="AM104" s="36">
        <f>IF(
    AND($H104 &gt; $BN$7, Tabella01MarzoInverter[[#This Row],[Active power TX2-INV-9]] &lt;= 0, Tabella01MarzoInverter[[#This Row],[Active power TX3-INV-6]] &lt;= 0),
    MIN(($H104 / 1000) * AM$10 * $BN$4, AM$11 * 0.876) * 0.25,
    IF(
        AND($H104 &gt; $BN$7, Tabella01MarzoInverter[[#This Row],[Active power TX2-INV-9]] &lt;= 0),
        Tabella01MarzoInverter[[#This Row],[Active power TX3-INV-6]] * 0.25,
        0
    )
    +
    IF(
        $N104 &lt; 0.875,
        MAX(0, MIN(($H104 / 1000) * AM$10 * $BN$4, AM$11 * 0.876) - (AM$11 * $N104)) * 0.25,
        0
    )
)</f>
        <v>0</v>
      </c>
      <c r="AN104" s="36">
        <f>IF(
    AND($H104 &gt; $BN$7, Tabella01MarzoInverter[[#This Row],[Active power TX2-INV-10]] &lt;= 0, Tabella01MarzoInverter[[#This Row],[Active power TX3-INV-7]] &lt;= 0),
    MIN(($H104 / 1000) * AN$10 * $BN$4, AN$11 * 0.876) * 0.25,
    IF(
        AND($H104 &gt; $BN$7, Tabella01MarzoInverter[[#This Row],[Active power TX2-INV-10]] &lt;= 0),
        Tabella01MarzoInverter[[#This Row],[Active power TX3-INV-7]] * 0.25,
        0
    )
    +
    IF(
        $N104 &lt; 0.875,
        MAX(0, MIN(($H104 / 1000) * AN$10 * $BN$4, AN$11 * 0.876) - (AN$11 * $N104)) * 0.25,
        0
    )
)</f>
        <v>0</v>
      </c>
      <c r="AO104" s="36">
        <f>IF(
    AND($H104 &gt; $BN$7, Tabella01MarzoInverter[[#This Row],[Active power TX2-INV-11]] &lt;= 0, Tabella01MarzoInverter[[#This Row],[Active power TX3-INV-8]] &lt;= 0),
    MIN(($H104 / 1000) * AO$10 * $BN$4, AO$11 * 0.876) * 0.25,
    IF(
        AND($H104 &gt; $BN$7, Tabella01MarzoInverter[[#This Row],[Active power TX2-INV-11]] &lt;= 0),
        Tabella01MarzoInverter[[#This Row],[Active power TX3-INV-8]] * 0.25,
        0
    )
    +
    IF(
        $N104 &lt; 0.875,
        MAX(0, MIN(($H104 / 1000) * AO$10 * $BN$4, AO$11 * 0.876) - (AO$11 * $N104)) * 0.25,
        0
    )
)</f>
        <v>0</v>
      </c>
      <c r="AP104" s="36">
        <f>IF(
    AND($H104 &gt; $BN$7, Tabella01MarzoInverter[[#This Row],[Active power TX2-INV-12]] &lt;= 0, Tabella01MarzoInverter[[#This Row],[Active power TX3-INV-9]] &lt;= 0),
    MIN(($H104 / 1000) * AP$10 * $BN$4, AP$11 * 0.876) * 0.25,
    IF(
        AND($H104 &gt; $BN$7, Tabella01MarzoInverter[[#This Row],[Active power TX2-INV-12]] &lt;= 0),
        Tabella01MarzoInverter[[#This Row],[Active power TX3-INV-9]] * 0.25,
        0
    )
    +
    IF(
        $N104 &lt; 0.875,
        MAX(0, MIN(($H104 / 1000) * AP$10 * $BN$4, AP$11 * 0.876) - (AP$11 * $N104)) * 0.25,
        0
    )
)</f>
        <v>0</v>
      </c>
      <c r="AQ104" s="8">
        <f>AVERAGE(TabellaMar2026[[#This Row],[Colonna39]:[Colonna6]])</f>
        <v>0</v>
      </c>
      <c r="AR104" s="8">
        <f>MAX(TabellaMar2026[[#This Row],[Colonna39]:[Colonna6]])</f>
        <v>0</v>
      </c>
      <c r="AS104" s="35">
        <f>MIN(TabellaMar2026[[#This Row],[Colonna39]:[Colonna6]])</f>
        <v>0</v>
      </c>
      <c r="AT104" s="48">
        <f>SUM(TabellaMar2026[[#This Row],[Colonna39]:[Colonna6]])</f>
        <v>0</v>
      </c>
      <c r="AU104" s="36" cm="1">
        <f t="array" ref="AU104">IF(
    AND($H104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($H104 / 1000) * AU$10 * $BN$4 * 0.25
    ),
    0
)
+
IF(
    $N104 &lt; 0.875,
    MAX(0, MIN(($H104 / 1000) * AU$10 * $BN$4, AU$11 * 0.876) - (AU$11 * $N104)) * 0.25,
    0
)</f>
        <v>0</v>
      </c>
      <c r="AV104" s="36" cm="1">
        <f t="array" ref="AV104">IF(
    AND($H104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($H104 / 1000) * AV$10 * $BN$4 * 0.25
    ),
    0
)
+
IF(
    $N104 &lt; 0.875,
    MAX(0, MIN(($H104 / 1000) * AV$10 * $BN$4, AV$11 * 0.876) - (AV$11 * $N104)) * 0.25,
    0
)</f>
        <v>0</v>
      </c>
      <c r="AW104" s="36" cm="1">
        <f t="array" ref="AW104">IF(
    AND($H104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($H104 / 1000) * AW$10 * $BN$4 * 0.25
    ),
    0
)
+
IF(
    $N104 &lt; 0.875,
    MAX(0, MIN(($H104 / 1000) * AW$10 * $BN$4, AW$11 * 0.876) - (AW$11 * $N104)) * 0.25,
    0
)</f>
        <v>0</v>
      </c>
      <c r="AX104" s="36" cm="1">
        <f t="array" ref="AX104">IF(
    AND($H104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($H104 / 1000) * AX$10 * $BN$4 * 0.25
    ),
    0
)
+
IF(
    $N104 &lt; 0.875,
    MAX(0, MIN(($H104 / 1000) * AX$10 * $BN$4, AX$11 * 0.876) - (AX$11 * $N104)) * 0.25,
    0
)</f>
        <v>0</v>
      </c>
      <c r="AY104" s="36" cm="1">
        <f t="array" ref="AY104">IF(
    AND($H104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($H104 / 1000) * AY$10 * $BN$4 * 0.25
    ),
    0
)
+
IF(
    $N104 &lt; 0.875,
    MAX(0, MIN(($H104 / 1000) * AY$10 * $BN$4, AY$11 * 0.876) - (AY$11 * $N104)) * 0.25,
    0
)</f>
        <v>0</v>
      </c>
      <c r="AZ104" s="36" cm="1">
        <f t="array" ref="AZ104">IF(
    AND($H104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($H104 / 1000) * AZ$10 * $BN$4 * 0.25
    ),
    0
)
+
IF(
    $N104 &lt; 0.875,
    MAX(0, MIN(($H104 / 1000) * AZ$10 * $BN$4, AZ$11 * 0.876) - (AZ$11 * $N104)) * 0.25,
    0
)</f>
        <v>0</v>
      </c>
      <c r="BA104" s="36" cm="1">
        <f t="array" ref="BA104">IF(
    AND($H104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($H104 / 1000) * BA$10 * $BN$4 * 0.25
    ),
    0
)
+
IF(
    $N104 &lt; 0.875,
    MAX(0, MIN(($H104 / 1000) * BA$10 * $BN$4, BA$11 * 0.876) - (BA$11 * $N104)) * 0.25,
    0
)</f>
        <v>0</v>
      </c>
      <c r="BB104" s="36" cm="1">
        <f t="array" ref="BB104">IF(
    AND($H104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($H104 / 1000) * BB$10 * $BN$4 * 0.25
    ),
    0
)
+
IF(
    $N104 &lt; 0.875,
    MAX(0, MIN(($H104 / 1000) * BB$10 * $BN$4, BB$11 * 0.876) - (BB$11 * $N104)) * 0.25,
    0
)</f>
        <v>0</v>
      </c>
      <c r="BC104" s="36" cm="1">
        <f t="array" ref="BC104">IF(
    AND($H104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($H104 / 1000) * BC$10 * $BN$4 * 0.25
    ),
    0
)
+
IF(
    $N104 &lt; 0.875,
    MAX(0, MIN(($H104 / 1000) * BC$10 * $BN$4, BC$11 * 0.876) - (BC$11 * $N104)) * 0.25,
    0
)</f>
        <v>0</v>
      </c>
      <c r="BD104" s="36" cm="1">
        <f t="array" ref="BD104">IF(
    AND($H104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($H104 / 1000) * BD$10 * $BN$4 * 0.25
    ),
    0
)
+
IF(
    $N104 &lt; 0.875,
    MAX(0, MIN(($H104 / 1000) * BD$10 * $BN$4, BD$11 * 0.876) - (BD$11 * $N104)) * 0.25,
    0
)</f>
        <v>0</v>
      </c>
      <c r="BE104" s="36" cm="1">
        <f t="array" ref="BE104">IF(
    AND($H104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($H104 / 1000) * BE$10 * $BN$4 * 0.25
    ),
    0
)
+
IF(
    $N104 &lt; 0.875,
    MAX(0, MIN(($H104 / 1000) * BE$10 * $BN$4, BE$11 * 0.876) - (BE$11 * $N104)) * 0.25,
    0
)</f>
        <v>0</v>
      </c>
      <c r="BF104" s="36" cm="1">
        <f t="array" ref="BF104">IF(
    AND($H104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($H104 / 1000) * BF$10 * $BN$4 * 0.25
    ),
    0
)
+
IF(
    $N104 &lt; 0.875,
    MAX(0, MIN(($H104 / 1000) * BF$10 * $BN$4, BF$11 * 0.876) - (BF$11 * $N104)) * 0.25,
    0
)</f>
        <v>0</v>
      </c>
      <c r="BG104" s="8">
        <f>AVERAGE(TabellaMar2026[[#This Row],[Colonna55]:[Colonna53]])</f>
        <v>0</v>
      </c>
      <c r="BH104" s="8">
        <f>MAX(TabellaMar2026[[#This Row],[Colonna55]:[Colonna53]])</f>
        <v>0</v>
      </c>
      <c r="BI104" s="35">
        <f>MIN(TabellaMar2026[[#This Row],[Colonna55]:[Colonna53]])</f>
        <v>0</v>
      </c>
      <c r="BJ104" s="48">
        <f>SUM(TabellaMar2026[[#This Row],[Colonna54]:[Colonna53]])</f>
        <v>0</v>
      </c>
      <c r="BK104" s="54">
        <f>(SUM(Tabella01MarzoInverter[[Active power TX1-INV-1]:[Active power TX3-INV-12]]) * 0.25) / (12625 * (SUM($G$15:$H$110) * 0.25 / 1000))</f>
        <v>1.014229628761051</v>
      </c>
      <c r="BL104" s="5"/>
      <c r="BM104" s="5"/>
      <c r="BN104" s="5"/>
      <c r="BO104" s="8"/>
      <c r="BP104" s="19"/>
    </row>
    <row r="105" spans="1:68" x14ac:dyDescent="0.25">
      <c r="A105" s="18">
        <v>46147</v>
      </c>
      <c r="B105" t="s">
        <v>105</v>
      </c>
      <c r="C105" s="5">
        <v>-1</v>
      </c>
      <c r="D105" s="6">
        <v>-2.5000000000000001E-4</v>
      </c>
      <c r="E105" s="6">
        <v>-0.1</v>
      </c>
      <c r="F105" s="6">
        <v>-2.5000000000000001E-5</v>
      </c>
      <c r="G105" s="6">
        <f>IFERROR((D105+F105)/2, 0)</f>
        <v>-1.3750000000000001E-4</v>
      </c>
      <c r="H105" s="7">
        <f>IFERROR(IF(AVERAGE(C105,E105)&gt;$BN$7,AVERAGE(C105,E105),0), 0)</f>
        <v>0</v>
      </c>
      <c r="I105" s="7">
        <f>IFERROR(IF(AND(D105=0,F105=0),0,IF(H105&gt;$BN$6,MAX(D105,F105),G105)), 0)</f>
        <v>-1.3750000000000001E-4</v>
      </c>
      <c r="J105" s="6">
        <f>IFERROR(IF(AND(D105&gt;0,F105&gt;0),ABS(D105-F105)/AVERAGE(D105,F105),0), 0)</f>
        <v>0</v>
      </c>
      <c r="K105" s="6">
        <v>30467.8</v>
      </c>
      <c r="L105" s="6">
        <v>30467.8</v>
      </c>
      <c r="M105" s="8">
        <f>IFERROR((L105-K105)*1000, 0)</f>
        <v>0</v>
      </c>
      <c r="N105" s="6">
        <v>0.87599999999999989</v>
      </c>
      <c r="O105" s="8" cm="1">
        <f t="array" ref="O105">IF(
    AND($H105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($H105 / 1000) * O$10 * $BN$4 * 0.25
    ),
    0
)
+
IF(
    $N105 &lt; 0.875,
    MAX(0, MIN(($H105 / 1000) * O$10 * $BN$4, O$11 * 0.876) - (O$11 * $N105)) * 0.25,
    0
)</f>
        <v>0</v>
      </c>
      <c r="P105" s="8" cm="1">
        <f t="array" ref="P105">IF(
    AND($H105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($H105 / 1000) * P$10 * $BN$4 * 0.25
    ),
    0
)
+
IF(
    $N105 &lt; 0.875,
    MAX(0, MIN(($H105 / 1000) * P$10 * $BN$4, P$11 * 0.876) - (P$11 * $N105)) * 0.25,
    0
)</f>
        <v>0</v>
      </c>
      <c r="Q105" s="8" cm="1">
        <f t="array" ref="Q105">IF(
    AND($H105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($H105 / 1000) * Q$10 * $BN$4 * 0.25
    ),
    0
)
+
IF(
    $N105 &lt; 0.875,
    MAX(0, MIN(($H105 / 1000) * Q$10 * $BN$4, Q$11 * 0.876) - (Q$11 * $N105)) * 0.25,
    0
)</f>
        <v>0</v>
      </c>
      <c r="R105" s="8" cm="1">
        <f t="array" ref="R105">IF(
    AND($H105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($H105 / 1000) * R$10 * $BN$4 * 0.25
    ),
    0
)
+
IF(
    $N105 &lt; 0.875,
    MAX(0, MIN(($H105 / 1000) * R$10 * $BN$4, R$11 * 0.876) - (R$11 * $N105)) * 0.25,
    0
)</f>
        <v>0</v>
      </c>
      <c r="S105" s="8" cm="1">
        <f t="array" ref="S105">IF(
    AND($H105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($H105 / 1000) * S$10 * $BN$4 * 0.25
    ),
    0
)
+
IF(
    $N105 &lt; 0.875,
    MAX(0, MIN(($H105 / 1000) * S$10 * $BN$4, S$11 * 0.876) - (S$11 * $N105)) * 0.25,
    0
)</f>
        <v>0</v>
      </c>
      <c r="T105" s="8" cm="1">
        <f t="array" ref="T105">IF(
    AND($H105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($H105 / 1000) * T$10 * $BN$4 * 0.25
    ),
    0
)
+
IF(
    $N105 &lt; 0.875,
    MAX(0, MIN(($H105 / 1000) * T$10 * $BN$4, T$11 * 0.876) - (T$11 * $N105)) * 0.25,
    0
)</f>
        <v>0</v>
      </c>
      <c r="U105" s="8" cm="1">
        <f t="array" ref="U105">IF(
    AND($H105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($H105 / 1000) * U$10 * $BN$4 * 0.25
    ),
    0
)
+
IF(
    $N105 &lt; 0.875,
    MAX(0, MIN(($H105 / 1000) * U$10 * $BN$4, U$11 * 0.876) - (U$11 * $N105)) * 0.25,
    0
)</f>
        <v>0</v>
      </c>
      <c r="V105" s="8" cm="1">
        <f t="array" ref="V105">IF(
    AND($H105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($H105 / 1000) * V$10 * $BN$4 * 0.25
    ),
    0
)
+
IF(
    $N105 &lt; 0.875,
    MAX(0, MIN(($H105 / 1000) * V$10 * $BN$4, V$11 * 0.876) - (V$11 * $N105)) * 0.25,
    0
)</f>
        <v>0</v>
      </c>
      <c r="W105" s="8" cm="1">
        <f t="array" ref="W105">IF(
    AND($H105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($H105 / 1000) * W$10 * $BN$4 * 0.25
    ),
    0
)
+
IF(
    $N105 &lt; 0.875,
    MAX(0, MIN(($H105 / 1000) * W$10 * $BN$4, W$11 * 0.876) - (W$11 * $N105)) * 0.25,
    0
)</f>
        <v>0</v>
      </c>
      <c r="X105" s="8" cm="1">
        <f t="array" ref="X105">IF(
    AND($H105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($H105 / 1000) * X$10 * $BN$4 * 0.25
    ),
    0
)
+
IF(
    $N105 &lt; 0.875,
    MAX(0, MIN(($H105 / 1000) * X$10 * $BN$4, X$11 * 0.876) - (X$11 * $N105)) * 0.25,
    0
)</f>
        <v>0</v>
      </c>
      <c r="Y105" s="8" cm="1">
        <f t="array" ref="Y105">IF(
    AND($H105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($H105 / 1000) * Y$10 * $BN$4 * 0.25
    ),
    0
)
+
IF(
    $N105 &lt; 0.875,
    MAX(0, MIN(($H105 / 1000) * Y$10 * $BN$4, Y$11 * 0.876) - (Y$11 * $N105)) * 0.25,
    0
)</f>
        <v>0</v>
      </c>
      <c r="Z105" s="8" cm="1">
        <f t="array" ref="Z105">IF(
    AND($H105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($H105 / 1000) * Z$10 * $BN$4 * 0.25
    ),
    0
)
+
IF(
    $N105 &lt; 0.875,
    MAX(0, MIN(($H105 / 1000) * Z$10 * $BN$4, Z$11 * 0.876) - (Z$11 * $N105)) * 0.25,
    0
)</f>
        <v>0</v>
      </c>
      <c r="AA105" s="8">
        <f>AVERAGE(TabellaMar2026[[#This Row],[Colonna24]:[Colonna20]])</f>
        <v>0</v>
      </c>
      <c r="AB105" s="8">
        <f>MAX(TabellaMar2026[[#This Row],[Colonna24]:[Colonna20]])</f>
        <v>0</v>
      </c>
      <c r="AC105" s="35">
        <f>MIN(TabellaMar2026[[#This Row],[Colonna24]:[Colonna20]])</f>
        <v>0</v>
      </c>
      <c r="AD105" s="44">
        <f>SUM(TabellaMar2026[[#This Row],[Colonna24]:[Colonna20]])</f>
        <v>0</v>
      </c>
      <c r="AE105" s="36">
        <f>IF(
    AND($H105 &gt; $BN$7, Tabella01MarzoInverter[[#This Row],[Active power TX2-INV-1]] &lt;= 0, Tabella01MarzoInverter[[#This Row],[TX2 - Average Power]] &lt;= 0),
    MIN(($H105 / 1000) * AE$10 * $BN$4, AE$11 * 0.876) * 0.25,
    IF(
        AND($H105 &gt; $BN$7, Tabella01MarzoInverter[[#This Row],[Active power TX2-INV-1]] &lt;= 0),
        Tabella01MarzoInverter[[#This Row],[TX2 - Average Power]] * 0.25,
        0
    )
    +
    IF(
        $N105 &lt; 0.875,
        MAX(0, MIN(($H105 / 1000) * AE$10 * $BN$4, AE$11 * 0.876) - (AE$11 * $N105)) * 0.25,
        0
    )
)</f>
        <v>0</v>
      </c>
      <c r="AF105" s="36">
        <f>IF(
    AND($H105 &gt; $BN$7, Tabella01MarzoInverter[[#This Row],[Active power TX2-INV-2]] &lt;= 0, Tabella01MarzoInverter[[#This Row],[TX2 - Max Power]] &lt;= 0),
    MIN(($H105 / 1000) * AF$10 * $BN$4, AF$11 * 0.876) * 0.25,
    IF(
        AND($H105 &gt; $BN$7, Tabella01MarzoInverter[[#This Row],[Active power TX2-INV-2]] &lt;= 0),
        Tabella01MarzoInverter[[#This Row],[TX2 - Max Power]] * 0.25,
        0
    )
    +
    IF(
        $N105 &lt; 0.875,
        MAX(0, MIN(($H105 / 1000) * AF$10 * $BN$4, AF$11 * 0.876) - (AF$11 * $N105)) * 0.25,
        0
    )
)</f>
        <v>0</v>
      </c>
      <c r="AG105" s="36">
        <f>IF(
    AND($H105 &gt; $BN$7, Tabella01MarzoInverter[[#This Row],[Active power TX2-INV-3]] &lt;= 0, Tabella01MarzoInverter[[#This Row],[TX2 - Min Power]] &lt;= 0),
    MIN(($H105 / 1000) * AG$10 * $BN$4, AG$11 * 0.876) * 0.25,
    IF(
        AND($H105 &gt; $BN$7, Tabella01MarzoInverter[[#This Row],[Active power TX2-INV-3]] &lt;= 0),
        Tabella01MarzoInverter[[#This Row],[TX2 - Min Power]] * 0.25,
        0
    )
    +
    IF(
        $N105 &lt; 0.875,
        MAX(0, MIN(($H105 / 1000) * AG$10 * $BN$4, AG$11 * 0.876) - (AG$11 * $N105)) * 0.25,
        0
    )
)</f>
        <v>0</v>
      </c>
      <c r="AH105" s="36">
        <f>IF(
    AND($H105 &gt; $BN$7, Tabella01MarzoInverter[[#This Row],[Active power TX2-INV-4]] &lt;= 0, Tabella01MarzoInverter[[#This Row],[Active power TX3-INV-1]] &lt;= 0),
    MIN(($H105 / 1000) * AH$10 * $BN$4, AH$11 * 0.876) * 0.25,
    IF(
        AND($H105 &gt; $BN$7, Tabella01MarzoInverter[[#This Row],[Active power TX2-INV-4]] &lt;= 0),
        Tabella01MarzoInverter[[#This Row],[Active power TX3-INV-1]] * 0.25,
        0
    )
    +
    IF(
        $N105 &lt; 0.875,
        MAX(0, MIN(($H105 / 1000) * AH$10 * $BN$4, AH$11 * 0.876) - (AH$11 * $N105)) * 0.25,
        0
    )
)</f>
        <v>0</v>
      </c>
      <c r="AI105" s="36">
        <f>IF(
    AND($H105 &gt; $BN$7, Tabella01MarzoInverter[[#This Row],[Active power TX2-INV-5]] &lt;= 0, Tabella01MarzoInverter[[#This Row],[Active power TX3-INV-2]] &lt;= 0),
    MIN(($H105 / 1000) * AI$10 * $BN$4, AI$11 * 0.876) * 0.25,
    IF(
        AND($H105 &gt; $BN$7, Tabella01MarzoInverter[[#This Row],[Active power TX2-INV-5]] &lt;= 0),
        Tabella01MarzoInverter[[#This Row],[Active power TX3-INV-2]] * 0.25,
        0
    )
    +
    IF(
        $N105 &lt; 0.875,
        MAX(0, MIN(($H105 / 1000) * AI$10 * $BN$4, AI$11 * 0.876) - (AI$11 * $N105)) * 0.25,
        0
    )
)</f>
        <v>0</v>
      </c>
      <c r="AJ105" s="36">
        <f>IF(
    AND($H105 &gt; $BN$7, Tabella01MarzoInverter[[#This Row],[Active power TX2-INV-6]] &lt;= 0, Tabella01MarzoInverter[[#This Row],[Active power TX3-INV-3]] &lt;= 0),
    MIN(($H105 / 1000) * AJ$10 * $BN$4, AJ$11 * 0.876) * 0.25,
    IF(
        AND($H105 &gt; $BN$7, Tabella01MarzoInverter[[#This Row],[Active power TX2-INV-6]] &lt;= 0),
        Tabella01MarzoInverter[[#This Row],[Active power TX3-INV-3]] * 0.25,
        0
    )
    +
    IF(
        $N105 &lt; 0.875,
        MAX(0, MIN(($H105 / 1000) * AJ$10 * $BN$4, AJ$11 * 0.876) - (AJ$11 * $N105)) * 0.25,
        0
    )
)</f>
        <v>0</v>
      </c>
      <c r="AK105" s="36">
        <f>IF(
    AND($H105 &gt; $BN$7, Tabella01MarzoInverter[[#This Row],[Active power TX2-INV-7]] &lt;= 0, Tabella01MarzoInverter[[#This Row],[Active power TX3-INV-4]] &lt;= 0),
    MIN(($H105 / 1000) * AK$10 * $BN$4, AK$11 * 0.876) * 0.25,
    IF(
        AND($H105 &gt; $BN$7, Tabella01MarzoInverter[[#This Row],[Active power TX2-INV-7]] &lt;= 0),
        Tabella01MarzoInverter[[#This Row],[Active power TX3-INV-4]] * 0.25,
        0
    )
    +
    IF(
        $N105 &lt; 0.875,
        MAX(0, MIN(($H105 / 1000) * AK$10 * $BN$4, AK$11 * 0.876) - (AK$11 * $N105)) * 0.25,
        0
    )
)</f>
        <v>0</v>
      </c>
      <c r="AL105" s="36">
        <f>IF(
    AND($H105 &gt; $BN$7, Tabella01MarzoInverter[[#This Row],[Active power TX2-INV-8]] &lt;= 0, Tabella01MarzoInverter[[#This Row],[Active power TX3-INV-5]] &lt;= 0),
    MIN(($H105 / 1000) * AL$10 * $BN$4, AL$11 * 0.876) * 0.25,
    IF(
        AND($H105 &gt; $BN$7, Tabella01MarzoInverter[[#This Row],[Active power TX2-INV-8]] &lt;= 0),
        Tabella01MarzoInverter[[#This Row],[Active power TX3-INV-5]] * 0.25,
        0
    )
    +
    IF(
        $N105 &lt; 0.875,
        MAX(0, MIN(($H105 / 1000) * AL$10 * $BN$4, AL$11 * 0.876) - (AL$11 * $N105)) * 0.25,
        0
    )
)</f>
        <v>0</v>
      </c>
      <c r="AM105" s="36">
        <f>IF(
    AND($H105 &gt; $BN$7, Tabella01MarzoInverter[[#This Row],[Active power TX2-INV-9]] &lt;= 0, Tabella01MarzoInverter[[#This Row],[Active power TX3-INV-6]] &lt;= 0),
    MIN(($H105 / 1000) * AM$10 * $BN$4, AM$11 * 0.876) * 0.25,
    IF(
        AND($H105 &gt; $BN$7, Tabella01MarzoInverter[[#This Row],[Active power TX2-INV-9]] &lt;= 0),
        Tabella01MarzoInverter[[#This Row],[Active power TX3-INV-6]] * 0.25,
        0
    )
    +
    IF(
        $N105 &lt; 0.875,
        MAX(0, MIN(($H105 / 1000) * AM$10 * $BN$4, AM$11 * 0.876) - (AM$11 * $N105)) * 0.25,
        0
    )
)</f>
        <v>0</v>
      </c>
      <c r="AN105" s="36">
        <f>IF(
    AND($H105 &gt; $BN$7, Tabella01MarzoInverter[[#This Row],[Active power TX2-INV-10]] &lt;= 0, Tabella01MarzoInverter[[#This Row],[Active power TX3-INV-7]] &lt;= 0),
    MIN(($H105 / 1000) * AN$10 * $BN$4, AN$11 * 0.876) * 0.25,
    IF(
        AND($H105 &gt; $BN$7, Tabella01MarzoInverter[[#This Row],[Active power TX2-INV-10]] &lt;= 0),
        Tabella01MarzoInverter[[#This Row],[Active power TX3-INV-7]] * 0.25,
        0
    )
    +
    IF(
        $N105 &lt; 0.875,
        MAX(0, MIN(($H105 / 1000) * AN$10 * $BN$4, AN$11 * 0.876) - (AN$11 * $N105)) * 0.25,
        0
    )
)</f>
        <v>0</v>
      </c>
      <c r="AO105" s="36">
        <f>IF(
    AND($H105 &gt; $BN$7, Tabella01MarzoInverter[[#This Row],[Active power TX2-INV-11]] &lt;= 0, Tabella01MarzoInverter[[#This Row],[Active power TX3-INV-8]] &lt;= 0),
    MIN(($H105 / 1000) * AO$10 * $BN$4, AO$11 * 0.876) * 0.25,
    IF(
        AND($H105 &gt; $BN$7, Tabella01MarzoInverter[[#This Row],[Active power TX2-INV-11]] &lt;= 0),
        Tabella01MarzoInverter[[#This Row],[Active power TX3-INV-8]] * 0.25,
        0
    )
    +
    IF(
        $N105 &lt; 0.875,
        MAX(0, MIN(($H105 / 1000) * AO$10 * $BN$4, AO$11 * 0.876) - (AO$11 * $N105)) * 0.25,
        0
    )
)</f>
        <v>0</v>
      </c>
      <c r="AP105" s="36">
        <f>IF(
    AND($H105 &gt; $BN$7, Tabella01MarzoInverter[[#This Row],[Active power TX2-INV-12]] &lt;= 0, Tabella01MarzoInverter[[#This Row],[Active power TX3-INV-9]] &lt;= 0),
    MIN(($H105 / 1000) * AP$10 * $BN$4, AP$11 * 0.876) * 0.25,
    IF(
        AND($H105 &gt; $BN$7, Tabella01MarzoInverter[[#This Row],[Active power TX2-INV-12]] &lt;= 0),
        Tabella01MarzoInverter[[#This Row],[Active power TX3-INV-9]] * 0.25,
        0
    )
    +
    IF(
        $N105 &lt; 0.875,
        MAX(0, MIN(($H105 / 1000) * AP$10 * $BN$4, AP$11 * 0.876) - (AP$11 * $N105)) * 0.25,
        0
    )
)</f>
        <v>0</v>
      </c>
      <c r="AQ105" s="8">
        <f>AVERAGE(TabellaMar2026[[#This Row],[Colonna39]:[Colonna6]])</f>
        <v>0</v>
      </c>
      <c r="AR105" s="8">
        <f>MAX(TabellaMar2026[[#This Row],[Colonna39]:[Colonna6]])</f>
        <v>0</v>
      </c>
      <c r="AS105" s="35">
        <f>MIN(TabellaMar2026[[#This Row],[Colonna39]:[Colonna6]])</f>
        <v>0</v>
      </c>
      <c r="AT105" s="48">
        <f>SUM(TabellaMar2026[[#This Row],[Colonna39]:[Colonna6]])</f>
        <v>0</v>
      </c>
      <c r="AU105" s="36" cm="1">
        <f t="array" ref="AU105">IF(
    AND($H105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($H105 / 1000) * AU$10 * $BN$4 * 0.25
    ),
    0
)
+
IF(
    $N105 &lt; 0.875,
    MAX(0, MIN(($H105 / 1000) * AU$10 * $BN$4, AU$11 * 0.876) - (AU$11 * $N105)) * 0.25,
    0
)</f>
        <v>0</v>
      </c>
      <c r="AV105" s="36" cm="1">
        <f t="array" ref="AV105">IF(
    AND($H105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($H105 / 1000) * AV$10 * $BN$4 * 0.25
    ),
    0
)
+
IF(
    $N105 &lt; 0.875,
    MAX(0, MIN(($H105 / 1000) * AV$10 * $BN$4, AV$11 * 0.876) - (AV$11 * $N105)) * 0.25,
    0
)</f>
        <v>0</v>
      </c>
      <c r="AW105" s="36" cm="1">
        <f t="array" ref="AW105">IF(
    AND($H105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($H105 / 1000) * AW$10 * $BN$4 * 0.25
    ),
    0
)
+
IF(
    $N105 &lt; 0.875,
    MAX(0, MIN(($H105 / 1000) * AW$10 * $BN$4, AW$11 * 0.876) - (AW$11 * $N105)) * 0.25,
    0
)</f>
        <v>0</v>
      </c>
      <c r="AX105" s="36" cm="1">
        <f t="array" ref="AX105">IF(
    AND($H105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($H105 / 1000) * AX$10 * $BN$4 * 0.25
    ),
    0
)
+
IF(
    $N105 &lt; 0.875,
    MAX(0, MIN(($H105 / 1000) * AX$10 * $BN$4, AX$11 * 0.876) - (AX$11 * $N105)) * 0.25,
    0
)</f>
        <v>0</v>
      </c>
      <c r="AY105" s="36" cm="1">
        <f t="array" ref="AY105">IF(
    AND($H105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($H105 / 1000) * AY$10 * $BN$4 * 0.25
    ),
    0
)
+
IF(
    $N105 &lt; 0.875,
    MAX(0, MIN(($H105 / 1000) * AY$10 * $BN$4, AY$11 * 0.876) - (AY$11 * $N105)) * 0.25,
    0
)</f>
        <v>0</v>
      </c>
      <c r="AZ105" s="36" cm="1">
        <f t="array" ref="AZ105">IF(
    AND($H105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($H105 / 1000) * AZ$10 * $BN$4 * 0.25
    ),
    0
)
+
IF(
    $N105 &lt; 0.875,
    MAX(0, MIN(($H105 / 1000) * AZ$10 * $BN$4, AZ$11 * 0.876) - (AZ$11 * $N105)) * 0.25,
    0
)</f>
        <v>0</v>
      </c>
      <c r="BA105" s="36" cm="1">
        <f t="array" ref="BA105">IF(
    AND($H105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($H105 / 1000) * BA$10 * $BN$4 * 0.25
    ),
    0
)
+
IF(
    $N105 &lt; 0.875,
    MAX(0, MIN(($H105 / 1000) * BA$10 * $BN$4, BA$11 * 0.876) - (BA$11 * $N105)) * 0.25,
    0
)</f>
        <v>0</v>
      </c>
      <c r="BB105" s="36" cm="1">
        <f t="array" ref="BB105">IF(
    AND($H105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($H105 / 1000) * BB$10 * $BN$4 * 0.25
    ),
    0
)
+
IF(
    $N105 &lt; 0.875,
    MAX(0, MIN(($H105 / 1000) * BB$10 * $BN$4, BB$11 * 0.876) - (BB$11 * $N105)) * 0.25,
    0
)</f>
        <v>0</v>
      </c>
      <c r="BC105" s="36" cm="1">
        <f t="array" ref="BC105">IF(
    AND($H105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($H105 / 1000) * BC$10 * $BN$4 * 0.25
    ),
    0
)
+
IF(
    $N105 &lt; 0.875,
    MAX(0, MIN(($H105 / 1000) * BC$10 * $BN$4, BC$11 * 0.876) - (BC$11 * $N105)) * 0.25,
    0
)</f>
        <v>0</v>
      </c>
      <c r="BD105" s="36" cm="1">
        <f t="array" ref="BD105">IF(
    AND($H105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($H105 / 1000) * BD$10 * $BN$4 * 0.25
    ),
    0
)
+
IF(
    $N105 &lt; 0.875,
    MAX(0, MIN(($H105 / 1000) * BD$10 * $BN$4, BD$11 * 0.876) - (BD$11 * $N105)) * 0.25,
    0
)</f>
        <v>0</v>
      </c>
      <c r="BE105" s="36" cm="1">
        <f t="array" ref="BE105">IF(
    AND($H105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($H105 / 1000) * BE$10 * $BN$4 * 0.25
    ),
    0
)
+
IF(
    $N105 &lt; 0.875,
    MAX(0, MIN(($H105 / 1000) * BE$10 * $BN$4, BE$11 * 0.876) - (BE$11 * $N105)) * 0.25,
    0
)</f>
        <v>0</v>
      </c>
      <c r="BF105" s="36" cm="1">
        <f t="array" ref="BF105">IF(
    AND($H105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($H105 / 1000) * BF$10 * $BN$4 * 0.25
    ),
    0
)
+
IF(
    $N105 &lt; 0.875,
    MAX(0, MIN(($H105 / 1000) * BF$10 * $BN$4, BF$11 * 0.876) - (BF$11 * $N105)) * 0.25,
    0
)</f>
        <v>0</v>
      </c>
      <c r="BG105" s="8">
        <f>AVERAGE(TabellaMar2026[[#This Row],[Colonna55]:[Colonna53]])</f>
        <v>0</v>
      </c>
      <c r="BH105" s="8">
        <f>MAX(TabellaMar2026[[#This Row],[Colonna55]:[Colonna53]])</f>
        <v>0</v>
      </c>
      <c r="BI105" s="35">
        <f>MIN(TabellaMar2026[[#This Row],[Colonna55]:[Colonna53]])</f>
        <v>0</v>
      </c>
      <c r="BJ105" s="48">
        <f>SUM(TabellaMar2026[[#This Row],[Colonna54]:[Colonna53]])</f>
        <v>0</v>
      </c>
      <c r="BK105" s="54">
        <f>(SUM(Tabella01MarzoInverter[[Active power TX1-INV-1]:[Active power TX3-INV-12]]) * 0.25) / (12625 * (SUM($G$15:$H$110) * 0.25 / 1000))</f>
        <v>1.014229628761051</v>
      </c>
      <c r="BL105" s="5"/>
      <c r="BM105" s="5"/>
      <c r="BN105" s="5"/>
      <c r="BO105" s="8"/>
      <c r="BP105" s="19"/>
    </row>
    <row r="106" spans="1:68" x14ac:dyDescent="0.25">
      <c r="A106" s="18">
        <v>46147</v>
      </c>
      <c r="B106" t="s">
        <v>106</v>
      </c>
      <c r="C106" s="5">
        <v>-1</v>
      </c>
      <c r="D106" s="6">
        <v>-2.5000000000000001E-4</v>
      </c>
      <c r="E106" s="6">
        <v>-0.1</v>
      </c>
      <c r="F106" s="6">
        <v>-2.5000000000000001E-5</v>
      </c>
      <c r="G106" s="6">
        <f>IFERROR((D106+F106)/2, 0)</f>
        <v>-1.3750000000000001E-4</v>
      </c>
      <c r="H106" s="7">
        <f>IFERROR(IF(AVERAGE(C106,E106)&gt;$BN$7,AVERAGE(C106,E106),0), 0)</f>
        <v>0</v>
      </c>
      <c r="I106" s="7">
        <f>IFERROR(IF(AND(D106=0,F106=0),0,IF(H106&gt;$BN$6,MAX(D106,F106),G106)), 0)</f>
        <v>-1.3750000000000001E-4</v>
      </c>
      <c r="J106" s="6">
        <f>IFERROR(IF(AND(D106&gt;0,F106&gt;0),ABS(D106-F106)/AVERAGE(D106,F106),0), 0)</f>
        <v>0</v>
      </c>
      <c r="K106" s="6">
        <v>30467.8</v>
      </c>
      <c r="L106" s="6">
        <v>30467.8</v>
      </c>
      <c r="M106" s="8">
        <f>IFERROR((L106-K106)*1000, 0)</f>
        <v>0</v>
      </c>
      <c r="N106" s="6">
        <v>0.87599999999999989</v>
      </c>
      <c r="O106" s="8" cm="1">
        <f t="array" ref="O106">IF(
    AND($H106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($H106 / 1000) * O$10 * $BN$4 * 0.25
    ),
    0
)
+
IF(
    $N106 &lt; 0.875,
    MAX(0, MIN(($H106 / 1000) * O$10 * $BN$4, O$11 * 0.876) - (O$11 * $N106)) * 0.25,
    0
)</f>
        <v>0</v>
      </c>
      <c r="P106" s="8" cm="1">
        <f t="array" ref="P106">IF(
    AND($H106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($H106 / 1000) * P$10 * $BN$4 * 0.25
    ),
    0
)
+
IF(
    $N106 &lt; 0.875,
    MAX(0, MIN(($H106 / 1000) * P$10 * $BN$4, P$11 * 0.876) - (P$11 * $N106)) * 0.25,
    0
)</f>
        <v>0</v>
      </c>
      <c r="Q106" s="8" cm="1">
        <f t="array" ref="Q106">IF(
    AND($H106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($H106 / 1000) * Q$10 * $BN$4 * 0.25
    ),
    0
)
+
IF(
    $N106 &lt; 0.875,
    MAX(0, MIN(($H106 / 1000) * Q$10 * $BN$4, Q$11 * 0.876) - (Q$11 * $N106)) * 0.25,
    0
)</f>
        <v>0</v>
      </c>
      <c r="R106" s="8" cm="1">
        <f t="array" ref="R106">IF(
    AND($H106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($H106 / 1000) * R$10 * $BN$4 * 0.25
    ),
    0
)
+
IF(
    $N106 &lt; 0.875,
    MAX(0, MIN(($H106 / 1000) * R$10 * $BN$4, R$11 * 0.876) - (R$11 * $N106)) * 0.25,
    0
)</f>
        <v>0</v>
      </c>
      <c r="S106" s="8" cm="1">
        <f t="array" ref="S106">IF(
    AND($H106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($H106 / 1000) * S$10 * $BN$4 * 0.25
    ),
    0
)
+
IF(
    $N106 &lt; 0.875,
    MAX(0, MIN(($H106 / 1000) * S$10 * $BN$4, S$11 * 0.876) - (S$11 * $N106)) * 0.25,
    0
)</f>
        <v>0</v>
      </c>
      <c r="T106" s="8" cm="1">
        <f t="array" ref="T106">IF(
    AND($H106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($H106 / 1000) * T$10 * $BN$4 * 0.25
    ),
    0
)
+
IF(
    $N106 &lt; 0.875,
    MAX(0, MIN(($H106 / 1000) * T$10 * $BN$4, T$11 * 0.876) - (T$11 * $N106)) * 0.25,
    0
)</f>
        <v>0</v>
      </c>
      <c r="U106" s="8" cm="1">
        <f t="array" ref="U106">IF(
    AND($H106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($H106 / 1000) * U$10 * $BN$4 * 0.25
    ),
    0
)
+
IF(
    $N106 &lt; 0.875,
    MAX(0, MIN(($H106 / 1000) * U$10 * $BN$4, U$11 * 0.876) - (U$11 * $N106)) * 0.25,
    0
)</f>
        <v>0</v>
      </c>
      <c r="V106" s="8" cm="1">
        <f t="array" ref="V106">IF(
    AND($H106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($H106 / 1000) * V$10 * $BN$4 * 0.25
    ),
    0
)
+
IF(
    $N106 &lt; 0.875,
    MAX(0, MIN(($H106 / 1000) * V$10 * $BN$4, V$11 * 0.876) - (V$11 * $N106)) * 0.25,
    0
)</f>
        <v>0</v>
      </c>
      <c r="W106" s="8" cm="1">
        <f t="array" ref="W106">IF(
    AND($H106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($H106 / 1000) * W$10 * $BN$4 * 0.25
    ),
    0
)
+
IF(
    $N106 &lt; 0.875,
    MAX(0, MIN(($H106 / 1000) * W$10 * $BN$4, W$11 * 0.876) - (W$11 * $N106)) * 0.25,
    0
)</f>
        <v>0</v>
      </c>
      <c r="X106" s="8" cm="1">
        <f t="array" ref="X106">IF(
    AND($H106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($H106 / 1000) * X$10 * $BN$4 * 0.25
    ),
    0
)
+
IF(
    $N106 &lt; 0.875,
    MAX(0, MIN(($H106 / 1000) * X$10 * $BN$4, X$11 * 0.876) - (X$11 * $N106)) * 0.25,
    0
)</f>
        <v>0</v>
      </c>
      <c r="Y106" s="8" cm="1">
        <f t="array" ref="Y106">IF(
    AND($H106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($H106 / 1000) * Y$10 * $BN$4 * 0.25
    ),
    0
)
+
IF(
    $N106 &lt; 0.875,
    MAX(0, MIN(($H106 / 1000) * Y$10 * $BN$4, Y$11 * 0.876) - (Y$11 * $N106)) * 0.25,
    0
)</f>
        <v>0</v>
      </c>
      <c r="Z106" s="8" cm="1">
        <f t="array" ref="Z106">IF(
    AND($H106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($H106 / 1000) * Z$10 * $BN$4 * 0.25
    ),
    0
)
+
IF(
    $N106 &lt; 0.875,
    MAX(0, MIN(($H106 / 1000) * Z$10 * $BN$4, Z$11 * 0.876) - (Z$11 * $N106)) * 0.25,
    0
)</f>
        <v>0</v>
      </c>
      <c r="AA106" s="8">
        <f>AVERAGE(TabellaMar2026[[#This Row],[Colonna24]:[Colonna20]])</f>
        <v>0</v>
      </c>
      <c r="AB106" s="8">
        <f>MAX(TabellaMar2026[[#This Row],[Colonna24]:[Colonna20]])</f>
        <v>0</v>
      </c>
      <c r="AC106" s="35">
        <f>MIN(TabellaMar2026[[#This Row],[Colonna24]:[Colonna20]])</f>
        <v>0</v>
      </c>
      <c r="AD106" s="44">
        <f>SUM(TabellaMar2026[[#This Row],[Colonna24]:[Colonna20]])</f>
        <v>0</v>
      </c>
      <c r="AE106" s="36">
        <f>IF(
    AND($H106 &gt; $BN$7, Tabella01MarzoInverter[[#This Row],[Active power TX2-INV-1]] &lt;= 0, Tabella01MarzoInverter[[#This Row],[TX2 - Average Power]] &lt;= 0),
    MIN(($H106 / 1000) * AE$10 * $BN$4, AE$11 * 0.876) * 0.25,
    IF(
        AND($H106 &gt; $BN$7, Tabella01MarzoInverter[[#This Row],[Active power TX2-INV-1]] &lt;= 0),
        Tabella01MarzoInverter[[#This Row],[TX2 - Average Power]] * 0.25,
        0
    )
    +
    IF(
        $N106 &lt; 0.875,
        MAX(0, MIN(($H106 / 1000) * AE$10 * $BN$4, AE$11 * 0.876) - (AE$11 * $N106)) * 0.25,
        0
    )
)</f>
        <v>0</v>
      </c>
      <c r="AF106" s="36">
        <f>IF(
    AND($H106 &gt; $BN$7, Tabella01MarzoInverter[[#This Row],[Active power TX2-INV-2]] &lt;= 0, Tabella01MarzoInverter[[#This Row],[TX2 - Max Power]] &lt;= 0),
    MIN(($H106 / 1000) * AF$10 * $BN$4, AF$11 * 0.876) * 0.25,
    IF(
        AND($H106 &gt; $BN$7, Tabella01MarzoInverter[[#This Row],[Active power TX2-INV-2]] &lt;= 0),
        Tabella01MarzoInverter[[#This Row],[TX2 - Max Power]] * 0.25,
        0
    )
    +
    IF(
        $N106 &lt; 0.875,
        MAX(0, MIN(($H106 / 1000) * AF$10 * $BN$4, AF$11 * 0.876) - (AF$11 * $N106)) * 0.25,
        0
    )
)</f>
        <v>0</v>
      </c>
      <c r="AG106" s="36">
        <f>IF(
    AND($H106 &gt; $BN$7, Tabella01MarzoInverter[[#This Row],[Active power TX2-INV-3]] &lt;= 0, Tabella01MarzoInverter[[#This Row],[TX2 - Min Power]] &lt;= 0),
    MIN(($H106 / 1000) * AG$10 * $BN$4, AG$11 * 0.876) * 0.25,
    IF(
        AND($H106 &gt; $BN$7, Tabella01MarzoInverter[[#This Row],[Active power TX2-INV-3]] &lt;= 0),
        Tabella01MarzoInverter[[#This Row],[TX2 - Min Power]] * 0.25,
        0
    )
    +
    IF(
        $N106 &lt; 0.875,
        MAX(0, MIN(($H106 / 1000) * AG$10 * $BN$4, AG$11 * 0.876) - (AG$11 * $N106)) * 0.25,
        0
    )
)</f>
        <v>0</v>
      </c>
      <c r="AH106" s="36">
        <f>IF(
    AND($H106 &gt; $BN$7, Tabella01MarzoInverter[[#This Row],[Active power TX2-INV-4]] &lt;= 0, Tabella01MarzoInverter[[#This Row],[Active power TX3-INV-1]] &lt;= 0),
    MIN(($H106 / 1000) * AH$10 * $BN$4, AH$11 * 0.876) * 0.25,
    IF(
        AND($H106 &gt; $BN$7, Tabella01MarzoInverter[[#This Row],[Active power TX2-INV-4]] &lt;= 0),
        Tabella01MarzoInverter[[#This Row],[Active power TX3-INV-1]] * 0.25,
        0
    )
    +
    IF(
        $N106 &lt; 0.875,
        MAX(0, MIN(($H106 / 1000) * AH$10 * $BN$4, AH$11 * 0.876) - (AH$11 * $N106)) * 0.25,
        0
    )
)</f>
        <v>0</v>
      </c>
      <c r="AI106" s="36">
        <f>IF(
    AND($H106 &gt; $BN$7, Tabella01MarzoInverter[[#This Row],[Active power TX2-INV-5]] &lt;= 0, Tabella01MarzoInverter[[#This Row],[Active power TX3-INV-2]] &lt;= 0),
    MIN(($H106 / 1000) * AI$10 * $BN$4, AI$11 * 0.876) * 0.25,
    IF(
        AND($H106 &gt; $BN$7, Tabella01MarzoInverter[[#This Row],[Active power TX2-INV-5]] &lt;= 0),
        Tabella01MarzoInverter[[#This Row],[Active power TX3-INV-2]] * 0.25,
        0
    )
    +
    IF(
        $N106 &lt; 0.875,
        MAX(0, MIN(($H106 / 1000) * AI$10 * $BN$4, AI$11 * 0.876) - (AI$11 * $N106)) * 0.25,
        0
    )
)</f>
        <v>0</v>
      </c>
      <c r="AJ106" s="36">
        <f>IF(
    AND($H106 &gt; $BN$7, Tabella01MarzoInverter[[#This Row],[Active power TX2-INV-6]] &lt;= 0, Tabella01MarzoInverter[[#This Row],[Active power TX3-INV-3]] &lt;= 0),
    MIN(($H106 / 1000) * AJ$10 * $BN$4, AJ$11 * 0.876) * 0.25,
    IF(
        AND($H106 &gt; $BN$7, Tabella01MarzoInverter[[#This Row],[Active power TX2-INV-6]] &lt;= 0),
        Tabella01MarzoInverter[[#This Row],[Active power TX3-INV-3]] * 0.25,
        0
    )
    +
    IF(
        $N106 &lt; 0.875,
        MAX(0, MIN(($H106 / 1000) * AJ$10 * $BN$4, AJ$11 * 0.876) - (AJ$11 * $N106)) * 0.25,
        0
    )
)</f>
        <v>0</v>
      </c>
      <c r="AK106" s="36">
        <f>IF(
    AND($H106 &gt; $BN$7, Tabella01MarzoInverter[[#This Row],[Active power TX2-INV-7]] &lt;= 0, Tabella01MarzoInverter[[#This Row],[Active power TX3-INV-4]] &lt;= 0),
    MIN(($H106 / 1000) * AK$10 * $BN$4, AK$11 * 0.876) * 0.25,
    IF(
        AND($H106 &gt; $BN$7, Tabella01MarzoInverter[[#This Row],[Active power TX2-INV-7]] &lt;= 0),
        Tabella01MarzoInverter[[#This Row],[Active power TX3-INV-4]] * 0.25,
        0
    )
    +
    IF(
        $N106 &lt; 0.875,
        MAX(0, MIN(($H106 / 1000) * AK$10 * $BN$4, AK$11 * 0.876) - (AK$11 * $N106)) * 0.25,
        0
    )
)</f>
        <v>0</v>
      </c>
      <c r="AL106" s="36">
        <f>IF(
    AND($H106 &gt; $BN$7, Tabella01MarzoInverter[[#This Row],[Active power TX2-INV-8]] &lt;= 0, Tabella01MarzoInverter[[#This Row],[Active power TX3-INV-5]] &lt;= 0),
    MIN(($H106 / 1000) * AL$10 * $BN$4, AL$11 * 0.876) * 0.25,
    IF(
        AND($H106 &gt; $BN$7, Tabella01MarzoInverter[[#This Row],[Active power TX2-INV-8]] &lt;= 0),
        Tabella01MarzoInverter[[#This Row],[Active power TX3-INV-5]] * 0.25,
        0
    )
    +
    IF(
        $N106 &lt; 0.875,
        MAX(0, MIN(($H106 / 1000) * AL$10 * $BN$4, AL$11 * 0.876) - (AL$11 * $N106)) * 0.25,
        0
    )
)</f>
        <v>0</v>
      </c>
      <c r="AM106" s="36">
        <f>IF(
    AND($H106 &gt; $BN$7, Tabella01MarzoInverter[[#This Row],[Active power TX2-INV-9]] &lt;= 0, Tabella01MarzoInverter[[#This Row],[Active power TX3-INV-6]] &lt;= 0),
    MIN(($H106 / 1000) * AM$10 * $BN$4, AM$11 * 0.876) * 0.25,
    IF(
        AND($H106 &gt; $BN$7, Tabella01MarzoInverter[[#This Row],[Active power TX2-INV-9]] &lt;= 0),
        Tabella01MarzoInverter[[#This Row],[Active power TX3-INV-6]] * 0.25,
        0
    )
    +
    IF(
        $N106 &lt; 0.875,
        MAX(0, MIN(($H106 / 1000) * AM$10 * $BN$4, AM$11 * 0.876) - (AM$11 * $N106)) * 0.25,
        0
    )
)</f>
        <v>0</v>
      </c>
      <c r="AN106" s="36">
        <f>IF(
    AND($H106 &gt; $BN$7, Tabella01MarzoInverter[[#This Row],[Active power TX2-INV-10]] &lt;= 0, Tabella01MarzoInverter[[#This Row],[Active power TX3-INV-7]] &lt;= 0),
    MIN(($H106 / 1000) * AN$10 * $BN$4, AN$11 * 0.876) * 0.25,
    IF(
        AND($H106 &gt; $BN$7, Tabella01MarzoInverter[[#This Row],[Active power TX2-INV-10]] &lt;= 0),
        Tabella01MarzoInverter[[#This Row],[Active power TX3-INV-7]] * 0.25,
        0
    )
    +
    IF(
        $N106 &lt; 0.875,
        MAX(0, MIN(($H106 / 1000) * AN$10 * $BN$4, AN$11 * 0.876) - (AN$11 * $N106)) * 0.25,
        0
    )
)</f>
        <v>0</v>
      </c>
      <c r="AO106" s="36">
        <f>IF(
    AND($H106 &gt; $BN$7, Tabella01MarzoInverter[[#This Row],[Active power TX2-INV-11]] &lt;= 0, Tabella01MarzoInverter[[#This Row],[Active power TX3-INV-8]] &lt;= 0),
    MIN(($H106 / 1000) * AO$10 * $BN$4, AO$11 * 0.876) * 0.25,
    IF(
        AND($H106 &gt; $BN$7, Tabella01MarzoInverter[[#This Row],[Active power TX2-INV-11]] &lt;= 0),
        Tabella01MarzoInverter[[#This Row],[Active power TX3-INV-8]] * 0.25,
        0
    )
    +
    IF(
        $N106 &lt; 0.875,
        MAX(0, MIN(($H106 / 1000) * AO$10 * $BN$4, AO$11 * 0.876) - (AO$11 * $N106)) * 0.25,
        0
    )
)</f>
        <v>0</v>
      </c>
      <c r="AP106" s="36">
        <f>IF(
    AND($H106 &gt; $BN$7, Tabella01MarzoInverter[[#This Row],[Active power TX2-INV-12]] &lt;= 0, Tabella01MarzoInverter[[#This Row],[Active power TX3-INV-9]] &lt;= 0),
    MIN(($H106 / 1000) * AP$10 * $BN$4, AP$11 * 0.876) * 0.25,
    IF(
        AND($H106 &gt; $BN$7, Tabella01MarzoInverter[[#This Row],[Active power TX2-INV-12]] &lt;= 0),
        Tabella01MarzoInverter[[#This Row],[Active power TX3-INV-9]] * 0.25,
        0
    )
    +
    IF(
        $N106 &lt; 0.875,
        MAX(0, MIN(($H106 / 1000) * AP$10 * $BN$4, AP$11 * 0.876) - (AP$11 * $N106)) * 0.25,
        0
    )
)</f>
        <v>0</v>
      </c>
      <c r="AQ106" s="8">
        <f>AVERAGE(TabellaMar2026[[#This Row],[Colonna39]:[Colonna6]])</f>
        <v>0</v>
      </c>
      <c r="AR106" s="8">
        <f>MAX(TabellaMar2026[[#This Row],[Colonna39]:[Colonna6]])</f>
        <v>0</v>
      </c>
      <c r="AS106" s="35">
        <f>MIN(TabellaMar2026[[#This Row],[Colonna39]:[Colonna6]])</f>
        <v>0</v>
      </c>
      <c r="AT106" s="48">
        <f>SUM(TabellaMar2026[[#This Row],[Colonna39]:[Colonna6]])</f>
        <v>0</v>
      </c>
      <c r="AU106" s="36" cm="1">
        <f t="array" ref="AU106">IF(
    AND($H106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($H106 / 1000) * AU$10 * $BN$4 * 0.25
    ),
    0
)
+
IF(
    $N106 &lt; 0.875,
    MAX(0, MIN(($H106 / 1000) * AU$10 * $BN$4, AU$11 * 0.876) - (AU$11 * $N106)) * 0.25,
    0
)</f>
        <v>0</v>
      </c>
      <c r="AV106" s="36" cm="1">
        <f t="array" ref="AV106">IF(
    AND($H106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($H106 / 1000) * AV$10 * $BN$4 * 0.25
    ),
    0
)
+
IF(
    $N106 &lt; 0.875,
    MAX(0, MIN(($H106 / 1000) * AV$10 * $BN$4, AV$11 * 0.876) - (AV$11 * $N106)) * 0.25,
    0
)</f>
        <v>0</v>
      </c>
      <c r="AW106" s="36" cm="1">
        <f t="array" ref="AW106">IF(
    AND($H106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($H106 / 1000) * AW$10 * $BN$4 * 0.25
    ),
    0
)
+
IF(
    $N106 &lt; 0.875,
    MAX(0, MIN(($H106 / 1000) * AW$10 * $BN$4, AW$11 * 0.876) - (AW$11 * $N106)) * 0.25,
    0
)</f>
        <v>0</v>
      </c>
      <c r="AX106" s="36" cm="1">
        <f t="array" ref="AX106">IF(
    AND($H106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($H106 / 1000) * AX$10 * $BN$4 * 0.25
    ),
    0
)
+
IF(
    $N106 &lt; 0.875,
    MAX(0, MIN(($H106 / 1000) * AX$10 * $BN$4, AX$11 * 0.876) - (AX$11 * $N106)) * 0.25,
    0
)</f>
        <v>0</v>
      </c>
      <c r="AY106" s="36" cm="1">
        <f t="array" ref="AY106">IF(
    AND($H106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($H106 / 1000) * AY$10 * $BN$4 * 0.25
    ),
    0
)
+
IF(
    $N106 &lt; 0.875,
    MAX(0, MIN(($H106 / 1000) * AY$10 * $BN$4, AY$11 * 0.876) - (AY$11 * $N106)) * 0.25,
    0
)</f>
        <v>0</v>
      </c>
      <c r="AZ106" s="36" cm="1">
        <f t="array" ref="AZ106">IF(
    AND($H106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($H106 / 1000) * AZ$10 * $BN$4 * 0.25
    ),
    0
)
+
IF(
    $N106 &lt; 0.875,
    MAX(0, MIN(($H106 / 1000) * AZ$10 * $BN$4, AZ$11 * 0.876) - (AZ$11 * $N106)) * 0.25,
    0
)</f>
        <v>0</v>
      </c>
      <c r="BA106" s="36" cm="1">
        <f t="array" ref="BA106">IF(
    AND($H106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($H106 / 1000) * BA$10 * $BN$4 * 0.25
    ),
    0
)
+
IF(
    $N106 &lt; 0.875,
    MAX(0, MIN(($H106 / 1000) * BA$10 * $BN$4, BA$11 * 0.876) - (BA$11 * $N106)) * 0.25,
    0
)</f>
        <v>0</v>
      </c>
      <c r="BB106" s="36" cm="1">
        <f t="array" ref="BB106">IF(
    AND($H106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($H106 / 1000) * BB$10 * $BN$4 * 0.25
    ),
    0
)
+
IF(
    $N106 &lt; 0.875,
    MAX(0, MIN(($H106 / 1000) * BB$10 * $BN$4, BB$11 * 0.876) - (BB$11 * $N106)) * 0.25,
    0
)</f>
        <v>0</v>
      </c>
      <c r="BC106" s="36" cm="1">
        <f t="array" ref="BC106">IF(
    AND($H106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($H106 / 1000) * BC$10 * $BN$4 * 0.25
    ),
    0
)
+
IF(
    $N106 &lt; 0.875,
    MAX(0, MIN(($H106 / 1000) * BC$10 * $BN$4, BC$11 * 0.876) - (BC$11 * $N106)) * 0.25,
    0
)</f>
        <v>0</v>
      </c>
      <c r="BD106" s="36" cm="1">
        <f t="array" ref="BD106">IF(
    AND($H106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($H106 / 1000) * BD$10 * $BN$4 * 0.25
    ),
    0
)
+
IF(
    $N106 &lt; 0.875,
    MAX(0, MIN(($H106 / 1000) * BD$10 * $BN$4, BD$11 * 0.876) - (BD$11 * $N106)) * 0.25,
    0
)</f>
        <v>0</v>
      </c>
      <c r="BE106" s="36" cm="1">
        <f t="array" ref="BE106">IF(
    AND($H106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($H106 / 1000) * BE$10 * $BN$4 * 0.25
    ),
    0
)
+
IF(
    $N106 &lt; 0.875,
    MAX(0, MIN(($H106 / 1000) * BE$10 * $BN$4, BE$11 * 0.876) - (BE$11 * $N106)) * 0.25,
    0
)</f>
        <v>0</v>
      </c>
      <c r="BF106" s="36" cm="1">
        <f t="array" ref="BF106">IF(
    AND($H106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($H106 / 1000) * BF$10 * $BN$4 * 0.25
    ),
    0
)
+
IF(
    $N106 &lt; 0.875,
    MAX(0, MIN(($H106 / 1000) * BF$10 * $BN$4, BF$11 * 0.876) - (BF$11 * $N106)) * 0.25,
    0
)</f>
        <v>0</v>
      </c>
      <c r="BG106" s="8">
        <f>AVERAGE(TabellaMar2026[[#This Row],[Colonna55]:[Colonna53]])</f>
        <v>0</v>
      </c>
      <c r="BH106" s="8">
        <f>MAX(TabellaMar2026[[#This Row],[Colonna55]:[Colonna53]])</f>
        <v>0</v>
      </c>
      <c r="BI106" s="35">
        <f>MIN(TabellaMar2026[[#This Row],[Colonna55]:[Colonna53]])</f>
        <v>0</v>
      </c>
      <c r="BJ106" s="48">
        <f>SUM(TabellaMar2026[[#This Row],[Colonna54]:[Colonna53]])</f>
        <v>0</v>
      </c>
      <c r="BK106" s="54">
        <f>(SUM(Tabella01MarzoInverter[[Active power TX1-INV-1]:[Active power TX3-INV-12]]) * 0.25) / (12625 * (SUM($G$15:$H$110) * 0.25 / 1000))</f>
        <v>1.014229628761051</v>
      </c>
      <c r="BL106" s="5"/>
      <c r="BM106" s="5"/>
      <c r="BN106" s="5"/>
      <c r="BO106" s="8"/>
      <c r="BP106" s="19"/>
    </row>
    <row r="107" spans="1:68" x14ac:dyDescent="0.25">
      <c r="A107" s="18">
        <v>46147</v>
      </c>
      <c r="B107" t="s">
        <v>107</v>
      </c>
      <c r="C107" s="5">
        <v>-0.9</v>
      </c>
      <c r="D107" s="6">
        <v>-2.2499999999999999E-4</v>
      </c>
      <c r="E107" s="6">
        <v>0</v>
      </c>
      <c r="F107" s="6">
        <v>0</v>
      </c>
      <c r="G107" s="6">
        <f>IFERROR((D107+F107)/2, 0)</f>
        <v>-1.125E-4</v>
      </c>
      <c r="H107" s="7">
        <f>IFERROR(IF(AVERAGE(C107,E107)&gt;$BN$7,AVERAGE(C107,E107),0), 0)</f>
        <v>0</v>
      </c>
      <c r="I107" s="7">
        <f>IFERROR(IF(AND(D107=0,F107=0),0,IF(H107&gt;$BN$6,MAX(D107,F107),G107)), 0)</f>
        <v>-1.125E-4</v>
      </c>
      <c r="J107" s="6">
        <f>IFERROR(IF(AND(D107&gt;0,F107&gt;0),ABS(D107-F107)/AVERAGE(D107,F107),0), 0)</f>
        <v>0</v>
      </c>
      <c r="K107" s="6">
        <v>30467.8</v>
      </c>
      <c r="L107" s="6">
        <v>30467.8</v>
      </c>
      <c r="M107" s="8">
        <f>IFERROR((L107-K107)*1000, 0)</f>
        <v>0</v>
      </c>
      <c r="N107" s="6">
        <v>0.87599999999999989</v>
      </c>
      <c r="O107" s="8" cm="1">
        <f t="array" ref="O107">IF(
    AND($H107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($H107 / 1000) * O$10 * $BN$4 * 0.25
    ),
    0
)
+
IF(
    $N107 &lt; 0.875,
    MAX(0, MIN(($H107 / 1000) * O$10 * $BN$4, O$11 * 0.876) - (O$11 * $N107)) * 0.25,
    0
)</f>
        <v>0</v>
      </c>
      <c r="P107" s="8" cm="1">
        <f t="array" ref="P107">IF(
    AND($H107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($H107 / 1000) * P$10 * $BN$4 * 0.25
    ),
    0
)
+
IF(
    $N107 &lt; 0.875,
    MAX(0, MIN(($H107 / 1000) * P$10 * $BN$4, P$11 * 0.876) - (P$11 * $N107)) * 0.25,
    0
)</f>
        <v>0</v>
      </c>
      <c r="Q107" s="8" cm="1">
        <f t="array" ref="Q107">IF(
    AND($H107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($H107 / 1000) * Q$10 * $BN$4 * 0.25
    ),
    0
)
+
IF(
    $N107 &lt; 0.875,
    MAX(0, MIN(($H107 / 1000) * Q$10 * $BN$4, Q$11 * 0.876) - (Q$11 * $N107)) * 0.25,
    0
)</f>
        <v>0</v>
      </c>
      <c r="R107" s="8" cm="1">
        <f t="array" ref="R107">IF(
    AND($H107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($H107 / 1000) * R$10 * $BN$4 * 0.25
    ),
    0
)
+
IF(
    $N107 &lt; 0.875,
    MAX(0, MIN(($H107 / 1000) * R$10 * $BN$4, R$11 * 0.876) - (R$11 * $N107)) * 0.25,
    0
)</f>
        <v>0</v>
      </c>
      <c r="S107" s="8" cm="1">
        <f t="array" ref="S107">IF(
    AND($H107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($H107 / 1000) * S$10 * $BN$4 * 0.25
    ),
    0
)
+
IF(
    $N107 &lt; 0.875,
    MAX(0, MIN(($H107 / 1000) * S$10 * $BN$4, S$11 * 0.876) - (S$11 * $N107)) * 0.25,
    0
)</f>
        <v>0</v>
      </c>
      <c r="T107" s="8" cm="1">
        <f t="array" ref="T107">IF(
    AND($H107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($H107 / 1000) * T$10 * $BN$4 * 0.25
    ),
    0
)
+
IF(
    $N107 &lt; 0.875,
    MAX(0, MIN(($H107 / 1000) * T$10 * $BN$4, T$11 * 0.876) - (T$11 * $N107)) * 0.25,
    0
)</f>
        <v>0</v>
      </c>
      <c r="U107" s="8" cm="1">
        <f t="array" ref="U107">IF(
    AND($H107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($H107 / 1000) * U$10 * $BN$4 * 0.25
    ),
    0
)
+
IF(
    $N107 &lt; 0.875,
    MAX(0, MIN(($H107 / 1000) * U$10 * $BN$4, U$11 * 0.876) - (U$11 * $N107)) * 0.25,
    0
)</f>
        <v>0</v>
      </c>
      <c r="V107" s="8" cm="1">
        <f t="array" ref="V107">IF(
    AND($H107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($H107 / 1000) * V$10 * $BN$4 * 0.25
    ),
    0
)
+
IF(
    $N107 &lt; 0.875,
    MAX(0, MIN(($H107 / 1000) * V$10 * $BN$4, V$11 * 0.876) - (V$11 * $N107)) * 0.25,
    0
)</f>
        <v>0</v>
      </c>
      <c r="W107" s="8" cm="1">
        <f t="array" ref="W107">IF(
    AND($H107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($H107 / 1000) * W$10 * $BN$4 * 0.25
    ),
    0
)
+
IF(
    $N107 &lt; 0.875,
    MAX(0, MIN(($H107 / 1000) * W$10 * $BN$4, W$11 * 0.876) - (W$11 * $N107)) * 0.25,
    0
)</f>
        <v>0</v>
      </c>
      <c r="X107" s="8" cm="1">
        <f t="array" ref="X107">IF(
    AND($H107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($H107 / 1000) * X$10 * $BN$4 * 0.25
    ),
    0
)
+
IF(
    $N107 &lt; 0.875,
    MAX(0, MIN(($H107 / 1000) * X$10 * $BN$4, X$11 * 0.876) - (X$11 * $N107)) * 0.25,
    0
)</f>
        <v>0</v>
      </c>
      <c r="Y107" s="8" cm="1">
        <f t="array" ref="Y107">IF(
    AND($H107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($H107 / 1000) * Y$10 * $BN$4 * 0.25
    ),
    0
)
+
IF(
    $N107 &lt; 0.875,
    MAX(0, MIN(($H107 / 1000) * Y$10 * $BN$4, Y$11 * 0.876) - (Y$11 * $N107)) * 0.25,
    0
)</f>
        <v>0</v>
      </c>
      <c r="Z107" s="8" cm="1">
        <f t="array" ref="Z107">IF(
    AND($H107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($H107 / 1000) * Z$10 * $BN$4 * 0.25
    ),
    0
)
+
IF(
    $N107 &lt; 0.875,
    MAX(0, MIN(($H107 / 1000) * Z$10 * $BN$4, Z$11 * 0.876) - (Z$11 * $N107)) * 0.25,
    0
)</f>
        <v>0</v>
      </c>
      <c r="AA107" s="8">
        <f>AVERAGE(TabellaMar2026[[#This Row],[Colonna24]:[Colonna20]])</f>
        <v>0</v>
      </c>
      <c r="AB107" s="8">
        <f>MAX(TabellaMar2026[[#This Row],[Colonna24]:[Colonna20]])</f>
        <v>0</v>
      </c>
      <c r="AC107" s="35">
        <f>MIN(TabellaMar2026[[#This Row],[Colonna24]:[Colonna20]])</f>
        <v>0</v>
      </c>
      <c r="AD107" s="44">
        <f>SUM(TabellaMar2026[[#This Row],[Colonna24]:[Colonna20]])</f>
        <v>0</v>
      </c>
      <c r="AE107" s="36">
        <f>IF(
    AND($H107 &gt; $BN$7, Tabella01MarzoInverter[[#This Row],[Active power TX2-INV-1]] &lt;= 0, Tabella01MarzoInverter[[#This Row],[TX2 - Average Power]] &lt;= 0),
    MIN(($H107 / 1000) * AE$10 * $BN$4, AE$11 * 0.876) * 0.25,
    IF(
        AND($H107 &gt; $BN$7, Tabella01MarzoInverter[[#This Row],[Active power TX2-INV-1]] &lt;= 0),
        Tabella01MarzoInverter[[#This Row],[TX2 - Average Power]] * 0.25,
        0
    )
    +
    IF(
        $N107 &lt; 0.875,
        MAX(0, MIN(($H107 / 1000) * AE$10 * $BN$4, AE$11 * 0.876) - (AE$11 * $N107)) * 0.25,
        0
    )
)</f>
        <v>0</v>
      </c>
      <c r="AF107" s="36">
        <f>IF(
    AND($H107 &gt; $BN$7, Tabella01MarzoInverter[[#This Row],[Active power TX2-INV-2]] &lt;= 0, Tabella01MarzoInverter[[#This Row],[TX2 - Max Power]] &lt;= 0),
    MIN(($H107 / 1000) * AF$10 * $BN$4, AF$11 * 0.876) * 0.25,
    IF(
        AND($H107 &gt; $BN$7, Tabella01MarzoInverter[[#This Row],[Active power TX2-INV-2]] &lt;= 0),
        Tabella01MarzoInverter[[#This Row],[TX2 - Max Power]] * 0.25,
        0
    )
    +
    IF(
        $N107 &lt; 0.875,
        MAX(0, MIN(($H107 / 1000) * AF$10 * $BN$4, AF$11 * 0.876) - (AF$11 * $N107)) * 0.25,
        0
    )
)</f>
        <v>0</v>
      </c>
      <c r="AG107" s="36">
        <f>IF(
    AND($H107 &gt; $BN$7, Tabella01MarzoInverter[[#This Row],[Active power TX2-INV-3]] &lt;= 0, Tabella01MarzoInverter[[#This Row],[TX2 - Min Power]] &lt;= 0),
    MIN(($H107 / 1000) * AG$10 * $BN$4, AG$11 * 0.876) * 0.25,
    IF(
        AND($H107 &gt; $BN$7, Tabella01MarzoInverter[[#This Row],[Active power TX2-INV-3]] &lt;= 0),
        Tabella01MarzoInverter[[#This Row],[TX2 - Min Power]] * 0.25,
        0
    )
    +
    IF(
        $N107 &lt; 0.875,
        MAX(0, MIN(($H107 / 1000) * AG$10 * $BN$4, AG$11 * 0.876) - (AG$11 * $N107)) * 0.25,
        0
    )
)</f>
        <v>0</v>
      </c>
      <c r="AH107" s="36">
        <f>IF(
    AND($H107 &gt; $BN$7, Tabella01MarzoInverter[[#This Row],[Active power TX2-INV-4]] &lt;= 0, Tabella01MarzoInverter[[#This Row],[Active power TX3-INV-1]] &lt;= 0),
    MIN(($H107 / 1000) * AH$10 * $BN$4, AH$11 * 0.876) * 0.25,
    IF(
        AND($H107 &gt; $BN$7, Tabella01MarzoInverter[[#This Row],[Active power TX2-INV-4]] &lt;= 0),
        Tabella01MarzoInverter[[#This Row],[Active power TX3-INV-1]] * 0.25,
        0
    )
    +
    IF(
        $N107 &lt; 0.875,
        MAX(0, MIN(($H107 / 1000) * AH$10 * $BN$4, AH$11 * 0.876) - (AH$11 * $N107)) * 0.25,
        0
    )
)</f>
        <v>0</v>
      </c>
      <c r="AI107" s="36">
        <f>IF(
    AND($H107 &gt; $BN$7, Tabella01MarzoInverter[[#This Row],[Active power TX2-INV-5]] &lt;= 0, Tabella01MarzoInverter[[#This Row],[Active power TX3-INV-2]] &lt;= 0),
    MIN(($H107 / 1000) * AI$10 * $BN$4, AI$11 * 0.876) * 0.25,
    IF(
        AND($H107 &gt; $BN$7, Tabella01MarzoInverter[[#This Row],[Active power TX2-INV-5]] &lt;= 0),
        Tabella01MarzoInverter[[#This Row],[Active power TX3-INV-2]] * 0.25,
        0
    )
    +
    IF(
        $N107 &lt; 0.875,
        MAX(0, MIN(($H107 / 1000) * AI$10 * $BN$4, AI$11 * 0.876) - (AI$11 * $N107)) * 0.25,
        0
    )
)</f>
        <v>0</v>
      </c>
      <c r="AJ107" s="36">
        <f>IF(
    AND($H107 &gt; $BN$7, Tabella01MarzoInverter[[#This Row],[Active power TX2-INV-6]] &lt;= 0, Tabella01MarzoInverter[[#This Row],[Active power TX3-INV-3]] &lt;= 0),
    MIN(($H107 / 1000) * AJ$10 * $BN$4, AJ$11 * 0.876) * 0.25,
    IF(
        AND($H107 &gt; $BN$7, Tabella01MarzoInverter[[#This Row],[Active power TX2-INV-6]] &lt;= 0),
        Tabella01MarzoInverter[[#This Row],[Active power TX3-INV-3]] * 0.25,
        0
    )
    +
    IF(
        $N107 &lt; 0.875,
        MAX(0, MIN(($H107 / 1000) * AJ$10 * $BN$4, AJ$11 * 0.876) - (AJ$11 * $N107)) * 0.25,
        0
    )
)</f>
        <v>0</v>
      </c>
      <c r="AK107" s="36">
        <f>IF(
    AND($H107 &gt; $BN$7, Tabella01MarzoInverter[[#This Row],[Active power TX2-INV-7]] &lt;= 0, Tabella01MarzoInverter[[#This Row],[Active power TX3-INV-4]] &lt;= 0),
    MIN(($H107 / 1000) * AK$10 * $BN$4, AK$11 * 0.876) * 0.25,
    IF(
        AND($H107 &gt; $BN$7, Tabella01MarzoInverter[[#This Row],[Active power TX2-INV-7]] &lt;= 0),
        Tabella01MarzoInverter[[#This Row],[Active power TX3-INV-4]] * 0.25,
        0
    )
    +
    IF(
        $N107 &lt; 0.875,
        MAX(0, MIN(($H107 / 1000) * AK$10 * $BN$4, AK$11 * 0.876) - (AK$11 * $N107)) * 0.25,
        0
    )
)</f>
        <v>0</v>
      </c>
      <c r="AL107" s="36">
        <f>IF(
    AND($H107 &gt; $BN$7, Tabella01MarzoInverter[[#This Row],[Active power TX2-INV-8]] &lt;= 0, Tabella01MarzoInverter[[#This Row],[Active power TX3-INV-5]] &lt;= 0),
    MIN(($H107 / 1000) * AL$10 * $BN$4, AL$11 * 0.876) * 0.25,
    IF(
        AND($H107 &gt; $BN$7, Tabella01MarzoInverter[[#This Row],[Active power TX2-INV-8]] &lt;= 0),
        Tabella01MarzoInverter[[#This Row],[Active power TX3-INV-5]] * 0.25,
        0
    )
    +
    IF(
        $N107 &lt; 0.875,
        MAX(0, MIN(($H107 / 1000) * AL$10 * $BN$4, AL$11 * 0.876) - (AL$11 * $N107)) * 0.25,
        0
    )
)</f>
        <v>0</v>
      </c>
      <c r="AM107" s="36">
        <f>IF(
    AND($H107 &gt; $BN$7, Tabella01MarzoInverter[[#This Row],[Active power TX2-INV-9]] &lt;= 0, Tabella01MarzoInverter[[#This Row],[Active power TX3-INV-6]] &lt;= 0),
    MIN(($H107 / 1000) * AM$10 * $BN$4, AM$11 * 0.876) * 0.25,
    IF(
        AND($H107 &gt; $BN$7, Tabella01MarzoInverter[[#This Row],[Active power TX2-INV-9]] &lt;= 0),
        Tabella01MarzoInverter[[#This Row],[Active power TX3-INV-6]] * 0.25,
        0
    )
    +
    IF(
        $N107 &lt; 0.875,
        MAX(0, MIN(($H107 / 1000) * AM$10 * $BN$4, AM$11 * 0.876) - (AM$11 * $N107)) * 0.25,
        0
    )
)</f>
        <v>0</v>
      </c>
      <c r="AN107" s="36">
        <f>IF(
    AND($H107 &gt; $BN$7, Tabella01MarzoInverter[[#This Row],[Active power TX2-INV-10]] &lt;= 0, Tabella01MarzoInverter[[#This Row],[Active power TX3-INV-7]] &lt;= 0),
    MIN(($H107 / 1000) * AN$10 * $BN$4, AN$11 * 0.876) * 0.25,
    IF(
        AND($H107 &gt; $BN$7, Tabella01MarzoInverter[[#This Row],[Active power TX2-INV-10]] &lt;= 0),
        Tabella01MarzoInverter[[#This Row],[Active power TX3-INV-7]] * 0.25,
        0
    )
    +
    IF(
        $N107 &lt; 0.875,
        MAX(0, MIN(($H107 / 1000) * AN$10 * $BN$4, AN$11 * 0.876) - (AN$11 * $N107)) * 0.25,
        0
    )
)</f>
        <v>0</v>
      </c>
      <c r="AO107" s="36">
        <f>IF(
    AND($H107 &gt; $BN$7, Tabella01MarzoInverter[[#This Row],[Active power TX2-INV-11]] &lt;= 0, Tabella01MarzoInverter[[#This Row],[Active power TX3-INV-8]] &lt;= 0),
    MIN(($H107 / 1000) * AO$10 * $BN$4, AO$11 * 0.876) * 0.25,
    IF(
        AND($H107 &gt; $BN$7, Tabella01MarzoInverter[[#This Row],[Active power TX2-INV-11]] &lt;= 0),
        Tabella01MarzoInverter[[#This Row],[Active power TX3-INV-8]] * 0.25,
        0
    )
    +
    IF(
        $N107 &lt; 0.875,
        MAX(0, MIN(($H107 / 1000) * AO$10 * $BN$4, AO$11 * 0.876) - (AO$11 * $N107)) * 0.25,
        0
    )
)</f>
        <v>0</v>
      </c>
      <c r="AP107" s="36">
        <f>IF(
    AND($H107 &gt; $BN$7, Tabella01MarzoInverter[[#This Row],[Active power TX2-INV-12]] &lt;= 0, Tabella01MarzoInverter[[#This Row],[Active power TX3-INV-9]] &lt;= 0),
    MIN(($H107 / 1000) * AP$10 * $BN$4, AP$11 * 0.876) * 0.25,
    IF(
        AND($H107 &gt; $BN$7, Tabella01MarzoInverter[[#This Row],[Active power TX2-INV-12]] &lt;= 0),
        Tabella01MarzoInverter[[#This Row],[Active power TX3-INV-9]] * 0.25,
        0
    )
    +
    IF(
        $N107 &lt; 0.875,
        MAX(0, MIN(($H107 / 1000) * AP$10 * $BN$4, AP$11 * 0.876) - (AP$11 * $N107)) * 0.25,
        0
    )
)</f>
        <v>0</v>
      </c>
      <c r="AQ107" s="8">
        <f>AVERAGE(TabellaMar2026[[#This Row],[Colonna39]:[Colonna6]])</f>
        <v>0</v>
      </c>
      <c r="AR107" s="8">
        <f>MAX(TabellaMar2026[[#This Row],[Colonna39]:[Colonna6]])</f>
        <v>0</v>
      </c>
      <c r="AS107" s="35">
        <f>MIN(TabellaMar2026[[#This Row],[Colonna39]:[Colonna6]])</f>
        <v>0</v>
      </c>
      <c r="AT107" s="48">
        <f>SUM(TabellaMar2026[[#This Row],[Colonna39]:[Colonna6]])</f>
        <v>0</v>
      </c>
      <c r="AU107" s="36" cm="1">
        <f t="array" ref="AU107">IF(
    AND($H107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($H107 / 1000) * AU$10 * $BN$4 * 0.25
    ),
    0
)
+
IF(
    $N107 &lt; 0.875,
    MAX(0, MIN(($H107 / 1000) * AU$10 * $BN$4, AU$11 * 0.876) - (AU$11 * $N107)) * 0.25,
    0
)</f>
        <v>0</v>
      </c>
      <c r="AV107" s="36" cm="1">
        <f t="array" ref="AV107">IF(
    AND($H107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($H107 / 1000) * AV$10 * $BN$4 * 0.25
    ),
    0
)
+
IF(
    $N107 &lt; 0.875,
    MAX(0, MIN(($H107 / 1000) * AV$10 * $BN$4, AV$11 * 0.876) - (AV$11 * $N107)) * 0.25,
    0
)</f>
        <v>0</v>
      </c>
      <c r="AW107" s="36" cm="1">
        <f t="array" ref="AW107">IF(
    AND($H107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($H107 / 1000) * AW$10 * $BN$4 * 0.25
    ),
    0
)
+
IF(
    $N107 &lt; 0.875,
    MAX(0, MIN(($H107 / 1000) * AW$10 * $BN$4, AW$11 * 0.876) - (AW$11 * $N107)) * 0.25,
    0
)</f>
        <v>0</v>
      </c>
      <c r="AX107" s="36" cm="1">
        <f t="array" ref="AX107">IF(
    AND($H107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($H107 / 1000) * AX$10 * $BN$4 * 0.25
    ),
    0
)
+
IF(
    $N107 &lt; 0.875,
    MAX(0, MIN(($H107 / 1000) * AX$10 * $BN$4, AX$11 * 0.876) - (AX$11 * $N107)) * 0.25,
    0
)</f>
        <v>0</v>
      </c>
      <c r="AY107" s="36" cm="1">
        <f t="array" ref="AY107">IF(
    AND($H107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($H107 / 1000) * AY$10 * $BN$4 * 0.25
    ),
    0
)
+
IF(
    $N107 &lt; 0.875,
    MAX(0, MIN(($H107 / 1000) * AY$10 * $BN$4, AY$11 * 0.876) - (AY$11 * $N107)) * 0.25,
    0
)</f>
        <v>0</v>
      </c>
      <c r="AZ107" s="36" cm="1">
        <f t="array" ref="AZ107">IF(
    AND($H107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($H107 / 1000) * AZ$10 * $BN$4 * 0.25
    ),
    0
)
+
IF(
    $N107 &lt; 0.875,
    MAX(0, MIN(($H107 / 1000) * AZ$10 * $BN$4, AZ$11 * 0.876) - (AZ$11 * $N107)) * 0.25,
    0
)</f>
        <v>0</v>
      </c>
      <c r="BA107" s="36" cm="1">
        <f t="array" ref="BA107">IF(
    AND($H107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($H107 / 1000) * BA$10 * $BN$4 * 0.25
    ),
    0
)
+
IF(
    $N107 &lt; 0.875,
    MAX(0, MIN(($H107 / 1000) * BA$10 * $BN$4, BA$11 * 0.876) - (BA$11 * $N107)) * 0.25,
    0
)</f>
        <v>0</v>
      </c>
      <c r="BB107" s="36" cm="1">
        <f t="array" ref="BB107">IF(
    AND($H107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($H107 / 1000) * BB$10 * $BN$4 * 0.25
    ),
    0
)
+
IF(
    $N107 &lt; 0.875,
    MAX(0, MIN(($H107 / 1000) * BB$10 * $BN$4, BB$11 * 0.876) - (BB$11 * $N107)) * 0.25,
    0
)</f>
        <v>0</v>
      </c>
      <c r="BC107" s="36" cm="1">
        <f t="array" ref="BC107">IF(
    AND($H107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($H107 / 1000) * BC$10 * $BN$4 * 0.25
    ),
    0
)
+
IF(
    $N107 &lt; 0.875,
    MAX(0, MIN(($H107 / 1000) * BC$10 * $BN$4, BC$11 * 0.876) - (BC$11 * $N107)) * 0.25,
    0
)</f>
        <v>0</v>
      </c>
      <c r="BD107" s="36" cm="1">
        <f t="array" ref="BD107">IF(
    AND($H107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($H107 / 1000) * BD$10 * $BN$4 * 0.25
    ),
    0
)
+
IF(
    $N107 &lt; 0.875,
    MAX(0, MIN(($H107 / 1000) * BD$10 * $BN$4, BD$11 * 0.876) - (BD$11 * $N107)) * 0.25,
    0
)</f>
        <v>0</v>
      </c>
      <c r="BE107" s="36" cm="1">
        <f t="array" ref="BE107">IF(
    AND($H107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($H107 / 1000) * BE$10 * $BN$4 * 0.25
    ),
    0
)
+
IF(
    $N107 &lt; 0.875,
    MAX(0, MIN(($H107 / 1000) * BE$10 * $BN$4, BE$11 * 0.876) - (BE$11 * $N107)) * 0.25,
    0
)</f>
        <v>0</v>
      </c>
      <c r="BF107" s="36" cm="1">
        <f t="array" ref="BF107">IF(
    AND($H107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($H107 / 1000) * BF$10 * $BN$4 * 0.25
    ),
    0
)
+
IF(
    $N107 &lt; 0.875,
    MAX(0, MIN(($H107 / 1000) * BF$10 * $BN$4, BF$11 * 0.876) - (BF$11 * $N107)) * 0.25,
    0
)</f>
        <v>0</v>
      </c>
      <c r="BG107" s="8">
        <f>AVERAGE(TabellaMar2026[[#This Row],[Colonna55]:[Colonna53]])</f>
        <v>0</v>
      </c>
      <c r="BH107" s="8">
        <f>MAX(TabellaMar2026[[#This Row],[Colonna55]:[Colonna53]])</f>
        <v>0</v>
      </c>
      <c r="BI107" s="35">
        <f>MIN(TabellaMar2026[[#This Row],[Colonna55]:[Colonna53]])</f>
        <v>0</v>
      </c>
      <c r="BJ107" s="48">
        <f>SUM(TabellaMar2026[[#This Row],[Colonna54]:[Colonna53]])</f>
        <v>0</v>
      </c>
      <c r="BK107" s="54">
        <f>(SUM(Tabella01MarzoInverter[[Active power TX1-INV-1]:[Active power TX3-INV-12]]) * 0.25) / (12625 * (SUM($G$15:$H$110) * 0.25 / 1000))</f>
        <v>1.014229628761051</v>
      </c>
      <c r="BL107" s="5"/>
      <c r="BM107" s="5"/>
      <c r="BN107" s="5"/>
      <c r="BO107" s="8"/>
      <c r="BP107" s="19"/>
    </row>
    <row r="108" spans="1:68" x14ac:dyDescent="0.25">
      <c r="A108" s="18">
        <v>46147</v>
      </c>
      <c r="B108" t="s">
        <v>108</v>
      </c>
      <c r="C108" s="5">
        <v>-0.8</v>
      </c>
      <c r="D108" s="6">
        <v>-2.0000000000000001E-4</v>
      </c>
      <c r="E108" s="6">
        <v>0</v>
      </c>
      <c r="F108" s="6">
        <v>0</v>
      </c>
      <c r="G108" s="6">
        <f>IFERROR((D108+F108)/2, 0)</f>
        <v>-1E-4</v>
      </c>
      <c r="H108" s="7">
        <f>IFERROR(IF(AVERAGE(C108,E108)&gt;$BN$7,AVERAGE(C108,E108),0), 0)</f>
        <v>0</v>
      </c>
      <c r="I108" s="7">
        <f>IFERROR(IF(AND(D108=0,F108=0),0,IF(H108&gt;$BN$6,MAX(D108,F108),G108)), 0)</f>
        <v>-1E-4</v>
      </c>
      <c r="J108" s="6">
        <f>IFERROR(IF(AND(D108&gt;0,F108&gt;0),ABS(D108-F108)/AVERAGE(D108,F108),0), 0)</f>
        <v>0</v>
      </c>
      <c r="K108" s="6">
        <v>30467.8</v>
      </c>
      <c r="L108" s="6">
        <v>30467.8</v>
      </c>
      <c r="M108" s="8">
        <f>IFERROR((L108-K108)*1000, 0)</f>
        <v>0</v>
      </c>
      <c r="N108" s="6">
        <v>0.87599999999999989</v>
      </c>
      <c r="O108" s="8" cm="1">
        <f t="array" ref="O108">IF(
    AND($H108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($H108 / 1000) * O$10 * $BN$4 * 0.25
    ),
    0
)
+
IF(
    $N108 &lt; 0.875,
    MAX(0, MIN(($H108 / 1000) * O$10 * $BN$4, O$11 * 0.876) - (O$11 * $N108)) * 0.25,
    0
)</f>
        <v>0</v>
      </c>
      <c r="P108" s="8" cm="1">
        <f t="array" ref="P108">IF(
    AND($H108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($H108 / 1000) * P$10 * $BN$4 * 0.25
    ),
    0
)
+
IF(
    $N108 &lt; 0.875,
    MAX(0, MIN(($H108 / 1000) * P$10 * $BN$4, P$11 * 0.876) - (P$11 * $N108)) * 0.25,
    0
)</f>
        <v>0</v>
      </c>
      <c r="Q108" s="8" cm="1">
        <f t="array" ref="Q108">IF(
    AND($H108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($H108 / 1000) * Q$10 * $BN$4 * 0.25
    ),
    0
)
+
IF(
    $N108 &lt; 0.875,
    MAX(0, MIN(($H108 / 1000) * Q$10 * $BN$4, Q$11 * 0.876) - (Q$11 * $N108)) * 0.25,
    0
)</f>
        <v>0</v>
      </c>
      <c r="R108" s="8" cm="1">
        <f t="array" ref="R108">IF(
    AND($H108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($H108 / 1000) * R$10 * $BN$4 * 0.25
    ),
    0
)
+
IF(
    $N108 &lt; 0.875,
    MAX(0, MIN(($H108 / 1000) * R$10 * $BN$4, R$11 * 0.876) - (R$11 * $N108)) * 0.25,
    0
)</f>
        <v>0</v>
      </c>
      <c r="S108" s="8" cm="1">
        <f t="array" ref="S108">IF(
    AND($H108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($H108 / 1000) * S$10 * $BN$4 * 0.25
    ),
    0
)
+
IF(
    $N108 &lt; 0.875,
    MAX(0, MIN(($H108 / 1000) * S$10 * $BN$4, S$11 * 0.876) - (S$11 * $N108)) * 0.25,
    0
)</f>
        <v>0</v>
      </c>
      <c r="T108" s="8" cm="1">
        <f t="array" ref="T108">IF(
    AND($H108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($H108 / 1000) * T$10 * $BN$4 * 0.25
    ),
    0
)
+
IF(
    $N108 &lt; 0.875,
    MAX(0, MIN(($H108 / 1000) * T$10 * $BN$4, T$11 * 0.876) - (T$11 * $N108)) * 0.25,
    0
)</f>
        <v>0</v>
      </c>
      <c r="U108" s="8" cm="1">
        <f t="array" ref="U108">IF(
    AND($H108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($H108 / 1000) * U$10 * $BN$4 * 0.25
    ),
    0
)
+
IF(
    $N108 &lt; 0.875,
    MAX(0, MIN(($H108 / 1000) * U$10 * $BN$4, U$11 * 0.876) - (U$11 * $N108)) * 0.25,
    0
)</f>
        <v>0</v>
      </c>
      <c r="V108" s="8" cm="1">
        <f t="array" ref="V108">IF(
    AND($H108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($H108 / 1000) * V$10 * $BN$4 * 0.25
    ),
    0
)
+
IF(
    $N108 &lt; 0.875,
    MAX(0, MIN(($H108 / 1000) * V$10 * $BN$4, V$11 * 0.876) - (V$11 * $N108)) * 0.25,
    0
)</f>
        <v>0</v>
      </c>
      <c r="W108" s="8" cm="1">
        <f t="array" ref="W108">IF(
    AND($H108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($H108 / 1000) * W$10 * $BN$4 * 0.25
    ),
    0
)
+
IF(
    $N108 &lt; 0.875,
    MAX(0, MIN(($H108 / 1000) * W$10 * $BN$4, W$11 * 0.876) - (W$11 * $N108)) * 0.25,
    0
)</f>
        <v>0</v>
      </c>
      <c r="X108" s="8" cm="1">
        <f t="array" ref="X108">IF(
    AND($H108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($H108 / 1000) * X$10 * $BN$4 * 0.25
    ),
    0
)
+
IF(
    $N108 &lt; 0.875,
    MAX(0, MIN(($H108 / 1000) * X$10 * $BN$4, X$11 * 0.876) - (X$11 * $N108)) * 0.25,
    0
)</f>
        <v>0</v>
      </c>
      <c r="Y108" s="8" cm="1">
        <f t="array" ref="Y108">IF(
    AND($H108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($H108 / 1000) * Y$10 * $BN$4 * 0.25
    ),
    0
)
+
IF(
    $N108 &lt; 0.875,
    MAX(0, MIN(($H108 / 1000) * Y$10 * $BN$4, Y$11 * 0.876) - (Y$11 * $N108)) * 0.25,
    0
)</f>
        <v>0</v>
      </c>
      <c r="Z108" s="8" cm="1">
        <f t="array" ref="Z108">IF(
    AND($H108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($H108 / 1000) * Z$10 * $BN$4 * 0.25
    ),
    0
)
+
IF(
    $N108 &lt; 0.875,
    MAX(0, MIN(($H108 / 1000) * Z$10 * $BN$4, Z$11 * 0.876) - (Z$11 * $N108)) * 0.25,
    0
)</f>
        <v>0</v>
      </c>
      <c r="AA108" s="8">
        <f>AVERAGE(TabellaMar2026[[#This Row],[Colonna24]:[Colonna20]])</f>
        <v>0</v>
      </c>
      <c r="AB108" s="8">
        <f>MAX(TabellaMar2026[[#This Row],[Colonna24]:[Colonna20]])</f>
        <v>0</v>
      </c>
      <c r="AC108" s="35">
        <f>MIN(TabellaMar2026[[#This Row],[Colonna24]:[Colonna20]])</f>
        <v>0</v>
      </c>
      <c r="AD108" s="44">
        <f>SUM(TabellaMar2026[[#This Row],[Colonna24]:[Colonna20]])</f>
        <v>0</v>
      </c>
      <c r="AE108" s="36">
        <f>IF(
    AND($H108 &gt; $BN$7, Tabella01MarzoInverter[[#This Row],[Active power TX2-INV-1]] &lt;= 0, Tabella01MarzoInverter[[#This Row],[TX2 - Average Power]] &lt;= 0),
    MIN(($H108 / 1000) * AE$10 * $BN$4, AE$11 * 0.876) * 0.25,
    IF(
        AND($H108 &gt; $BN$7, Tabella01MarzoInverter[[#This Row],[Active power TX2-INV-1]] &lt;= 0),
        Tabella01MarzoInverter[[#This Row],[TX2 - Average Power]] * 0.25,
        0
    )
    +
    IF(
        $N108 &lt; 0.875,
        MAX(0, MIN(($H108 / 1000) * AE$10 * $BN$4, AE$11 * 0.876) - (AE$11 * $N108)) * 0.25,
        0
    )
)</f>
        <v>0</v>
      </c>
      <c r="AF108" s="36">
        <f>IF(
    AND($H108 &gt; $BN$7, Tabella01MarzoInverter[[#This Row],[Active power TX2-INV-2]] &lt;= 0, Tabella01MarzoInverter[[#This Row],[TX2 - Max Power]] &lt;= 0),
    MIN(($H108 / 1000) * AF$10 * $BN$4, AF$11 * 0.876) * 0.25,
    IF(
        AND($H108 &gt; $BN$7, Tabella01MarzoInverter[[#This Row],[Active power TX2-INV-2]] &lt;= 0),
        Tabella01MarzoInverter[[#This Row],[TX2 - Max Power]] * 0.25,
        0
    )
    +
    IF(
        $N108 &lt; 0.875,
        MAX(0, MIN(($H108 / 1000) * AF$10 * $BN$4, AF$11 * 0.876) - (AF$11 * $N108)) * 0.25,
        0
    )
)</f>
        <v>0</v>
      </c>
      <c r="AG108" s="36">
        <f>IF(
    AND($H108 &gt; $BN$7, Tabella01MarzoInverter[[#This Row],[Active power TX2-INV-3]] &lt;= 0, Tabella01MarzoInverter[[#This Row],[TX2 - Min Power]] &lt;= 0),
    MIN(($H108 / 1000) * AG$10 * $BN$4, AG$11 * 0.876) * 0.25,
    IF(
        AND($H108 &gt; $BN$7, Tabella01MarzoInverter[[#This Row],[Active power TX2-INV-3]] &lt;= 0),
        Tabella01MarzoInverter[[#This Row],[TX2 - Min Power]] * 0.25,
        0
    )
    +
    IF(
        $N108 &lt; 0.875,
        MAX(0, MIN(($H108 / 1000) * AG$10 * $BN$4, AG$11 * 0.876) - (AG$11 * $N108)) * 0.25,
        0
    )
)</f>
        <v>0</v>
      </c>
      <c r="AH108" s="36">
        <f>IF(
    AND($H108 &gt; $BN$7, Tabella01MarzoInverter[[#This Row],[Active power TX2-INV-4]] &lt;= 0, Tabella01MarzoInverter[[#This Row],[Active power TX3-INV-1]] &lt;= 0),
    MIN(($H108 / 1000) * AH$10 * $BN$4, AH$11 * 0.876) * 0.25,
    IF(
        AND($H108 &gt; $BN$7, Tabella01MarzoInverter[[#This Row],[Active power TX2-INV-4]] &lt;= 0),
        Tabella01MarzoInverter[[#This Row],[Active power TX3-INV-1]] * 0.25,
        0
    )
    +
    IF(
        $N108 &lt; 0.875,
        MAX(0, MIN(($H108 / 1000) * AH$10 * $BN$4, AH$11 * 0.876) - (AH$11 * $N108)) * 0.25,
        0
    )
)</f>
        <v>0</v>
      </c>
      <c r="AI108" s="36">
        <f>IF(
    AND($H108 &gt; $BN$7, Tabella01MarzoInverter[[#This Row],[Active power TX2-INV-5]] &lt;= 0, Tabella01MarzoInverter[[#This Row],[Active power TX3-INV-2]] &lt;= 0),
    MIN(($H108 / 1000) * AI$10 * $BN$4, AI$11 * 0.876) * 0.25,
    IF(
        AND($H108 &gt; $BN$7, Tabella01MarzoInverter[[#This Row],[Active power TX2-INV-5]] &lt;= 0),
        Tabella01MarzoInverter[[#This Row],[Active power TX3-INV-2]] * 0.25,
        0
    )
    +
    IF(
        $N108 &lt; 0.875,
        MAX(0, MIN(($H108 / 1000) * AI$10 * $BN$4, AI$11 * 0.876) - (AI$11 * $N108)) * 0.25,
        0
    )
)</f>
        <v>0</v>
      </c>
      <c r="AJ108" s="36">
        <f>IF(
    AND($H108 &gt; $BN$7, Tabella01MarzoInverter[[#This Row],[Active power TX2-INV-6]] &lt;= 0, Tabella01MarzoInverter[[#This Row],[Active power TX3-INV-3]] &lt;= 0),
    MIN(($H108 / 1000) * AJ$10 * $BN$4, AJ$11 * 0.876) * 0.25,
    IF(
        AND($H108 &gt; $BN$7, Tabella01MarzoInverter[[#This Row],[Active power TX2-INV-6]] &lt;= 0),
        Tabella01MarzoInverter[[#This Row],[Active power TX3-INV-3]] * 0.25,
        0
    )
    +
    IF(
        $N108 &lt; 0.875,
        MAX(0, MIN(($H108 / 1000) * AJ$10 * $BN$4, AJ$11 * 0.876) - (AJ$11 * $N108)) * 0.25,
        0
    )
)</f>
        <v>0</v>
      </c>
      <c r="AK108" s="36">
        <f>IF(
    AND($H108 &gt; $BN$7, Tabella01MarzoInverter[[#This Row],[Active power TX2-INV-7]] &lt;= 0, Tabella01MarzoInverter[[#This Row],[Active power TX3-INV-4]] &lt;= 0),
    MIN(($H108 / 1000) * AK$10 * $BN$4, AK$11 * 0.876) * 0.25,
    IF(
        AND($H108 &gt; $BN$7, Tabella01MarzoInverter[[#This Row],[Active power TX2-INV-7]] &lt;= 0),
        Tabella01MarzoInverter[[#This Row],[Active power TX3-INV-4]] * 0.25,
        0
    )
    +
    IF(
        $N108 &lt; 0.875,
        MAX(0, MIN(($H108 / 1000) * AK$10 * $BN$4, AK$11 * 0.876) - (AK$11 * $N108)) * 0.25,
        0
    )
)</f>
        <v>0</v>
      </c>
      <c r="AL108" s="36">
        <f>IF(
    AND($H108 &gt; $BN$7, Tabella01MarzoInverter[[#This Row],[Active power TX2-INV-8]] &lt;= 0, Tabella01MarzoInverter[[#This Row],[Active power TX3-INV-5]] &lt;= 0),
    MIN(($H108 / 1000) * AL$10 * $BN$4, AL$11 * 0.876) * 0.25,
    IF(
        AND($H108 &gt; $BN$7, Tabella01MarzoInverter[[#This Row],[Active power TX2-INV-8]] &lt;= 0),
        Tabella01MarzoInverter[[#This Row],[Active power TX3-INV-5]] * 0.25,
        0
    )
    +
    IF(
        $N108 &lt; 0.875,
        MAX(0, MIN(($H108 / 1000) * AL$10 * $BN$4, AL$11 * 0.876) - (AL$11 * $N108)) * 0.25,
        0
    )
)</f>
        <v>0</v>
      </c>
      <c r="AM108" s="36">
        <f>IF(
    AND($H108 &gt; $BN$7, Tabella01MarzoInverter[[#This Row],[Active power TX2-INV-9]] &lt;= 0, Tabella01MarzoInverter[[#This Row],[Active power TX3-INV-6]] &lt;= 0),
    MIN(($H108 / 1000) * AM$10 * $BN$4, AM$11 * 0.876) * 0.25,
    IF(
        AND($H108 &gt; $BN$7, Tabella01MarzoInverter[[#This Row],[Active power TX2-INV-9]] &lt;= 0),
        Tabella01MarzoInverter[[#This Row],[Active power TX3-INV-6]] * 0.25,
        0
    )
    +
    IF(
        $N108 &lt; 0.875,
        MAX(0, MIN(($H108 / 1000) * AM$10 * $BN$4, AM$11 * 0.876) - (AM$11 * $N108)) * 0.25,
        0
    )
)</f>
        <v>0</v>
      </c>
      <c r="AN108" s="36">
        <f>IF(
    AND($H108 &gt; $BN$7, Tabella01MarzoInverter[[#This Row],[Active power TX2-INV-10]] &lt;= 0, Tabella01MarzoInverter[[#This Row],[Active power TX3-INV-7]] &lt;= 0),
    MIN(($H108 / 1000) * AN$10 * $BN$4, AN$11 * 0.876) * 0.25,
    IF(
        AND($H108 &gt; $BN$7, Tabella01MarzoInverter[[#This Row],[Active power TX2-INV-10]] &lt;= 0),
        Tabella01MarzoInverter[[#This Row],[Active power TX3-INV-7]] * 0.25,
        0
    )
    +
    IF(
        $N108 &lt; 0.875,
        MAX(0, MIN(($H108 / 1000) * AN$10 * $BN$4, AN$11 * 0.876) - (AN$11 * $N108)) * 0.25,
        0
    )
)</f>
        <v>0</v>
      </c>
      <c r="AO108" s="36">
        <f>IF(
    AND($H108 &gt; $BN$7, Tabella01MarzoInverter[[#This Row],[Active power TX2-INV-11]] &lt;= 0, Tabella01MarzoInverter[[#This Row],[Active power TX3-INV-8]] &lt;= 0),
    MIN(($H108 / 1000) * AO$10 * $BN$4, AO$11 * 0.876) * 0.25,
    IF(
        AND($H108 &gt; $BN$7, Tabella01MarzoInverter[[#This Row],[Active power TX2-INV-11]] &lt;= 0),
        Tabella01MarzoInverter[[#This Row],[Active power TX3-INV-8]] * 0.25,
        0
    )
    +
    IF(
        $N108 &lt; 0.875,
        MAX(0, MIN(($H108 / 1000) * AO$10 * $BN$4, AO$11 * 0.876) - (AO$11 * $N108)) * 0.25,
        0
    )
)</f>
        <v>0</v>
      </c>
      <c r="AP108" s="36">
        <f>IF(
    AND($H108 &gt; $BN$7, Tabella01MarzoInverter[[#This Row],[Active power TX2-INV-12]] &lt;= 0, Tabella01MarzoInverter[[#This Row],[Active power TX3-INV-9]] &lt;= 0),
    MIN(($H108 / 1000) * AP$10 * $BN$4, AP$11 * 0.876) * 0.25,
    IF(
        AND($H108 &gt; $BN$7, Tabella01MarzoInverter[[#This Row],[Active power TX2-INV-12]] &lt;= 0),
        Tabella01MarzoInverter[[#This Row],[Active power TX3-INV-9]] * 0.25,
        0
    )
    +
    IF(
        $N108 &lt; 0.875,
        MAX(0, MIN(($H108 / 1000) * AP$10 * $BN$4, AP$11 * 0.876) - (AP$11 * $N108)) * 0.25,
        0
    )
)</f>
        <v>0</v>
      </c>
      <c r="AQ108" s="8">
        <f>AVERAGE(TabellaMar2026[[#This Row],[Colonna39]:[Colonna6]])</f>
        <v>0</v>
      </c>
      <c r="AR108" s="8">
        <f>MAX(TabellaMar2026[[#This Row],[Colonna39]:[Colonna6]])</f>
        <v>0</v>
      </c>
      <c r="AS108" s="35">
        <f>MIN(TabellaMar2026[[#This Row],[Colonna39]:[Colonna6]])</f>
        <v>0</v>
      </c>
      <c r="AT108" s="48">
        <f>SUM(TabellaMar2026[[#This Row],[Colonna39]:[Colonna6]])</f>
        <v>0</v>
      </c>
      <c r="AU108" s="36" cm="1">
        <f t="array" ref="AU108">IF(
    AND($H108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($H108 / 1000) * AU$10 * $BN$4 * 0.25
    ),
    0
)
+
IF(
    $N108 &lt; 0.875,
    MAX(0, MIN(($H108 / 1000) * AU$10 * $BN$4, AU$11 * 0.876) - (AU$11 * $N108)) * 0.25,
    0
)</f>
        <v>0</v>
      </c>
      <c r="AV108" s="36" cm="1">
        <f t="array" ref="AV108">IF(
    AND($H108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($H108 / 1000) * AV$10 * $BN$4 * 0.25
    ),
    0
)
+
IF(
    $N108 &lt; 0.875,
    MAX(0, MIN(($H108 / 1000) * AV$10 * $BN$4, AV$11 * 0.876) - (AV$11 * $N108)) * 0.25,
    0
)</f>
        <v>0</v>
      </c>
      <c r="AW108" s="36" cm="1">
        <f t="array" ref="AW108">IF(
    AND($H108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($H108 / 1000) * AW$10 * $BN$4 * 0.25
    ),
    0
)
+
IF(
    $N108 &lt; 0.875,
    MAX(0, MIN(($H108 / 1000) * AW$10 * $BN$4, AW$11 * 0.876) - (AW$11 * $N108)) * 0.25,
    0
)</f>
        <v>0</v>
      </c>
      <c r="AX108" s="36" cm="1">
        <f t="array" ref="AX108">IF(
    AND($H108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($H108 / 1000) * AX$10 * $BN$4 * 0.25
    ),
    0
)
+
IF(
    $N108 &lt; 0.875,
    MAX(0, MIN(($H108 / 1000) * AX$10 * $BN$4, AX$11 * 0.876) - (AX$11 * $N108)) * 0.25,
    0
)</f>
        <v>0</v>
      </c>
      <c r="AY108" s="36" cm="1">
        <f t="array" ref="AY108">IF(
    AND($H108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($H108 / 1000) * AY$10 * $BN$4 * 0.25
    ),
    0
)
+
IF(
    $N108 &lt; 0.875,
    MAX(0, MIN(($H108 / 1000) * AY$10 * $BN$4, AY$11 * 0.876) - (AY$11 * $N108)) * 0.25,
    0
)</f>
        <v>0</v>
      </c>
      <c r="AZ108" s="36" cm="1">
        <f t="array" ref="AZ108">IF(
    AND($H108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($H108 / 1000) * AZ$10 * $BN$4 * 0.25
    ),
    0
)
+
IF(
    $N108 &lt; 0.875,
    MAX(0, MIN(($H108 / 1000) * AZ$10 * $BN$4, AZ$11 * 0.876) - (AZ$11 * $N108)) * 0.25,
    0
)</f>
        <v>0</v>
      </c>
      <c r="BA108" s="36" cm="1">
        <f t="array" ref="BA108">IF(
    AND($H108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($H108 / 1000) * BA$10 * $BN$4 * 0.25
    ),
    0
)
+
IF(
    $N108 &lt; 0.875,
    MAX(0, MIN(($H108 / 1000) * BA$10 * $BN$4, BA$11 * 0.876) - (BA$11 * $N108)) * 0.25,
    0
)</f>
        <v>0</v>
      </c>
      <c r="BB108" s="36" cm="1">
        <f t="array" ref="BB108">IF(
    AND($H108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($H108 / 1000) * BB$10 * $BN$4 * 0.25
    ),
    0
)
+
IF(
    $N108 &lt; 0.875,
    MAX(0, MIN(($H108 / 1000) * BB$10 * $BN$4, BB$11 * 0.876) - (BB$11 * $N108)) * 0.25,
    0
)</f>
        <v>0</v>
      </c>
      <c r="BC108" s="36" cm="1">
        <f t="array" ref="BC108">IF(
    AND($H108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($H108 / 1000) * BC$10 * $BN$4 * 0.25
    ),
    0
)
+
IF(
    $N108 &lt; 0.875,
    MAX(0, MIN(($H108 / 1000) * BC$10 * $BN$4, BC$11 * 0.876) - (BC$11 * $N108)) * 0.25,
    0
)</f>
        <v>0</v>
      </c>
      <c r="BD108" s="36" cm="1">
        <f t="array" ref="BD108">IF(
    AND($H108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($H108 / 1000) * BD$10 * $BN$4 * 0.25
    ),
    0
)
+
IF(
    $N108 &lt; 0.875,
    MAX(0, MIN(($H108 / 1000) * BD$10 * $BN$4, BD$11 * 0.876) - (BD$11 * $N108)) * 0.25,
    0
)</f>
        <v>0</v>
      </c>
      <c r="BE108" s="36" cm="1">
        <f t="array" ref="BE108">IF(
    AND($H108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($H108 / 1000) * BE$10 * $BN$4 * 0.25
    ),
    0
)
+
IF(
    $N108 &lt; 0.875,
    MAX(0, MIN(($H108 / 1000) * BE$10 * $BN$4, BE$11 * 0.876) - (BE$11 * $N108)) * 0.25,
    0
)</f>
        <v>0</v>
      </c>
      <c r="BF108" s="36" cm="1">
        <f t="array" ref="BF108">IF(
    AND($H108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($H108 / 1000) * BF$10 * $BN$4 * 0.25
    ),
    0
)
+
IF(
    $N108 &lt; 0.875,
    MAX(0, MIN(($H108 / 1000) * BF$10 * $BN$4, BF$11 * 0.876) - (BF$11 * $N108)) * 0.25,
    0
)</f>
        <v>0</v>
      </c>
      <c r="BG108" s="8">
        <f>AVERAGE(TabellaMar2026[[#This Row],[Colonna55]:[Colonna53]])</f>
        <v>0</v>
      </c>
      <c r="BH108" s="8">
        <f>MAX(TabellaMar2026[[#This Row],[Colonna55]:[Colonna53]])</f>
        <v>0</v>
      </c>
      <c r="BI108" s="35">
        <f>MIN(TabellaMar2026[[#This Row],[Colonna55]:[Colonna53]])</f>
        <v>0</v>
      </c>
      <c r="BJ108" s="48">
        <f>SUM(TabellaMar2026[[#This Row],[Colonna54]:[Colonna53]])</f>
        <v>0</v>
      </c>
      <c r="BK108" s="54">
        <f>(SUM(Tabella01MarzoInverter[[Active power TX1-INV-1]:[Active power TX3-INV-12]]) * 0.25) / (12625 * (SUM($G$15:$H$110) * 0.25 / 1000))</f>
        <v>1.014229628761051</v>
      </c>
      <c r="BL108" s="5"/>
      <c r="BM108" s="5"/>
      <c r="BN108" s="5"/>
      <c r="BO108" s="8"/>
      <c r="BP108" s="19"/>
    </row>
    <row r="109" spans="1:68" x14ac:dyDescent="0.25">
      <c r="A109" s="18">
        <v>46147</v>
      </c>
      <c r="B109" t="s">
        <v>109</v>
      </c>
      <c r="C109" s="5">
        <v>-0.2</v>
      </c>
      <c r="D109" s="6">
        <v>-5.0000000000000002E-5</v>
      </c>
      <c r="E109" s="6">
        <v>0</v>
      </c>
      <c r="F109" s="6">
        <v>0</v>
      </c>
      <c r="G109" s="6">
        <f>IFERROR((D109+F109)/2, 0)</f>
        <v>-2.5000000000000001E-5</v>
      </c>
      <c r="H109" s="7">
        <f>IFERROR(IF(AVERAGE(C109,E109)&gt;$BN$7,AVERAGE(C109,E109),0), 0)</f>
        <v>0</v>
      </c>
      <c r="I109" s="7">
        <f>IFERROR(IF(AND(D109=0,F109=0),0,IF(H109&gt;$BN$6,MAX(D109,F109),G109)), 0)</f>
        <v>-2.5000000000000001E-5</v>
      </c>
      <c r="J109" s="6">
        <f>IFERROR(IF(AND(D109&gt;0,F109&gt;0),ABS(D109-F109)/AVERAGE(D109,F109),0), 0)</f>
        <v>0</v>
      </c>
      <c r="K109" s="6">
        <v>30467.8</v>
      </c>
      <c r="L109" s="6">
        <v>30467.8</v>
      </c>
      <c r="M109" s="8">
        <f>IFERROR((L109-K109)*1000, 0)</f>
        <v>0</v>
      </c>
      <c r="N109" s="6">
        <v>0.87599999999999989</v>
      </c>
      <c r="O109" s="8" cm="1">
        <f t="array" ref="O109">IF(
    AND($H109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($H109 / 1000) * O$10 * $BN$4 * 0.25
    ),
    0
)
+
IF(
    $N109 &lt; 0.875,
    MAX(0, MIN(($H109 / 1000) * O$10 * $BN$4, O$11 * 0.876) - (O$11 * $N109)) * 0.25,
    0
)</f>
        <v>0</v>
      </c>
      <c r="P109" s="8" cm="1">
        <f t="array" ref="P109">IF(
    AND($H109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($H109 / 1000) * P$10 * $BN$4 * 0.25
    ),
    0
)
+
IF(
    $N109 &lt; 0.875,
    MAX(0, MIN(($H109 / 1000) * P$10 * $BN$4, P$11 * 0.876) - (P$11 * $N109)) * 0.25,
    0
)</f>
        <v>0</v>
      </c>
      <c r="Q109" s="8" cm="1">
        <f t="array" ref="Q109">IF(
    AND($H109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($H109 / 1000) * Q$10 * $BN$4 * 0.25
    ),
    0
)
+
IF(
    $N109 &lt; 0.875,
    MAX(0, MIN(($H109 / 1000) * Q$10 * $BN$4, Q$11 * 0.876) - (Q$11 * $N109)) * 0.25,
    0
)</f>
        <v>0</v>
      </c>
      <c r="R109" s="8" cm="1">
        <f t="array" ref="R109">IF(
    AND($H109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($H109 / 1000) * R$10 * $BN$4 * 0.25
    ),
    0
)
+
IF(
    $N109 &lt; 0.875,
    MAX(0, MIN(($H109 / 1000) * R$10 * $BN$4, R$11 * 0.876) - (R$11 * $N109)) * 0.25,
    0
)</f>
        <v>0</v>
      </c>
      <c r="S109" s="8" cm="1">
        <f t="array" ref="S109">IF(
    AND($H109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($H109 / 1000) * S$10 * $BN$4 * 0.25
    ),
    0
)
+
IF(
    $N109 &lt; 0.875,
    MAX(0, MIN(($H109 / 1000) * S$10 * $BN$4, S$11 * 0.876) - (S$11 * $N109)) * 0.25,
    0
)</f>
        <v>0</v>
      </c>
      <c r="T109" s="8" cm="1">
        <f t="array" ref="T109">IF(
    AND($H109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($H109 / 1000) * T$10 * $BN$4 * 0.25
    ),
    0
)
+
IF(
    $N109 &lt; 0.875,
    MAX(0, MIN(($H109 / 1000) * T$10 * $BN$4, T$11 * 0.876) - (T$11 * $N109)) * 0.25,
    0
)</f>
        <v>0</v>
      </c>
      <c r="U109" s="8" cm="1">
        <f t="array" ref="U109">IF(
    AND($H109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($H109 / 1000) * U$10 * $BN$4 * 0.25
    ),
    0
)
+
IF(
    $N109 &lt; 0.875,
    MAX(0, MIN(($H109 / 1000) * U$10 * $BN$4, U$11 * 0.876) - (U$11 * $N109)) * 0.25,
    0
)</f>
        <v>0</v>
      </c>
      <c r="V109" s="8" cm="1">
        <f t="array" ref="V109">IF(
    AND($H109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($H109 / 1000) * V$10 * $BN$4 * 0.25
    ),
    0
)
+
IF(
    $N109 &lt; 0.875,
    MAX(0, MIN(($H109 / 1000) * V$10 * $BN$4, V$11 * 0.876) - (V$11 * $N109)) * 0.25,
    0
)</f>
        <v>0</v>
      </c>
      <c r="W109" s="8" cm="1">
        <f t="array" ref="W109">IF(
    AND($H109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($H109 / 1000) * W$10 * $BN$4 * 0.25
    ),
    0
)
+
IF(
    $N109 &lt; 0.875,
    MAX(0, MIN(($H109 / 1000) * W$10 * $BN$4, W$11 * 0.876) - (W$11 * $N109)) * 0.25,
    0
)</f>
        <v>0</v>
      </c>
      <c r="X109" s="8" cm="1">
        <f t="array" ref="X109">IF(
    AND($H109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($H109 / 1000) * X$10 * $BN$4 * 0.25
    ),
    0
)
+
IF(
    $N109 &lt; 0.875,
    MAX(0, MIN(($H109 / 1000) * X$10 * $BN$4, X$11 * 0.876) - (X$11 * $N109)) * 0.25,
    0
)</f>
        <v>0</v>
      </c>
      <c r="Y109" s="8" cm="1">
        <f t="array" ref="Y109">IF(
    AND($H109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($H109 / 1000) * Y$10 * $BN$4 * 0.25
    ),
    0
)
+
IF(
    $N109 &lt; 0.875,
    MAX(0, MIN(($H109 / 1000) * Y$10 * $BN$4, Y$11 * 0.876) - (Y$11 * $N109)) * 0.25,
    0
)</f>
        <v>0</v>
      </c>
      <c r="Z109" s="8" cm="1">
        <f t="array" ref="Z109">IF(
    AND($H109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($H109 / 1000) * Z$10 * $BN$4 * 0.25
    ),
    0
)
+
IF(
    $N109 &lt; 0.875,
    MAX(0, MIN(($H109 / 1000) * Z$10 * $BN$4, Z$11 * 0.876) - (Z$11 * $N109)) * 0.25,
    0
)</f>
        <v>0</v>
      </c>
      <c r="AA109" s="8">
        <f>AVERAGE(TabellaMar2026[[#This Row],[Colonna24]:[Colonna20]])</f>
        <v>0</v>
      </c>
      <c r="AB109" s="8">
        <f>MAX(TabellaMar2026[[#This Row],[Colonna24]:[Colonna20]])</f>
        <v>0</v>
      </c>
      <c r="AC109" s="35">
        <f>MIN(TabellaMar2026[[#This Row],[Colonna24]:[Colonna20]])</f>
        <v>0</v>
      </c>
      <c r="AD109" s="44">
        <f>SUM(TabellaMar2026[[#This Row],[Colonna24]:[Colonna20]])</f>
        <v>0</v>
      </c>
      <c r="AE109" s="36">
        <f>IF(
    AND($H109 &gt; $BN$7, Tabella01MarzoInverter[[#This Row],[Active power TX2-INV-1]] &lt;= 0, Tabella01MarzoInverter[[#This Row],[TX2 - Average Power]] &lt;= 0),
    MIN(($H109 / 1000) * AE$10 * $BN$4, AE$11 * 0.876) * 0.25,
    IF(
        AND($H109 &gt; $BN$7, Tabella01MarzoInverter[[#This Row],[Active power TX2-INV-1]] &lt;= 0),
        Tabella01MarzoInverter[[#This Row],[TX2 - Average Power]] * 0.25,
        0
    )
    +
    IF(
        $N109 &lt; 0.875,
        MAX(0, MIN(($H109 / 1000) * AE$10 * $BN$4, AE$11 * 0.876) - (AE$11 * $N109)) * 0.25,
        0
    )
)</f>
        <v>0</v>
      </c>
      <c r="AF109" s="36">
        <f>IF(
    AND($H109 &gt; $BN$7, Tabella01MarzoInverter[[#This Row],[Active power TX2-INV-2]] &lt;= 0, Tabella01MarzoInverter[[#This Row],[TX2 - Max Power]] &lt;= 0),
    MIN(($H109 / 1000) * AF$10 * $BN$4, AF$11 * 0.876) * 0.25,
    IF(
        AND($H109 &gt; $BN$7, Tabella01MarzoInverter[[#This Row],[Active power TX2-INV-2]] &lt;= 0),
        Tabella01MarzoInverter[[#This Row],[TX2 - Max Power]] * 0.25,
        0
    )
    +
    IF(
        $N109 &lt; 0.875,
        MAX(0, MIN(($H109 / 1000) * AF$10 * $BN$4, AF$11 * 0.876) - (AF$11 * $N109)) * 0.25,
        0
    )
)</f>
        <v>0</v>
      </c>
      <c r="AG109" s="36">
        <f>IF(
    AND($H109 &gt; $BN$7, Tabella01MarzoInverter[[#This Row],[Active power TX2-INV-3]] &lt;= 0, Tabella01MarzoInverter[[#This Row],[TX2 - Min Power]] &lt;= 0),
    MIN(($H109 / 1000) * AG$10 * $BN$4, AG$11 * 0.876) * 0.25,
    IF(
        AND($H109 &gt; $BN$7, Tabella01MarzoInverter[[#This Row],[Active power TX2-INV-3]] &lt;= 0),
        Tabella01MarzoInverter[[#This Row],[TX2 - Min Power]] * 0.25,
        0
    )
    +
    IF(
        $N109 &lt; 0.875,
        MAX(0, MIN(($H109 / 1000) * AG$10 * $BN$4, AG$11 * 0.876) - (AG$11 * $N109)) * 0.25,
        0
    )
)</f>
        <v>0</v>
      </c>
      <c r="AH109" s="36">
        <f>IF(
    AND($H109 &gt; $BN$7, Tabella01MarzoInverter[[#This Row],[Active power TX2-INV-4]] &lt;= 0, Tabella01MarzoInverter[[#This Row],[Active power TX3-INV-1]] &lt;= 0),
    MIN(($H109 / 1000) * AH$10 * $BN$4, AH$11 * 0.876) * 0.25,
    IF(
        AND($H109 &gt; $BN$7, Tabella01MarzoInverter[[#This Row],[Active power TX2-INV-4]] &lt;= 0),
        Tabella01MarzoInverter[[#This Row],[Active power TX3-INV-1]] * 0.25,
        0
    )
    +
    IF(
        $N109 &lt; 0.875,
        MAX(0, MIN(($H109 / 1000) * AH$10 * $BN$4, AH$11 * 0.876) - (AH$11 * $N109)) * 0.25,
        0
    )
)</f>
        <v>0</v>
      </c>
      <c r="AI109" s="36">
        <f>IF(
    AND($H109 &gt; $BN$7, Tabella01MarzoInverter[[#This Row],[Active power TX2-INV-5]] &lt;= 0, Tabella01MarzoInverter[[#This Row],[Active power TX3-INV-2]] &lt;= 0),
    MIN(($H109 / 1000) * AI$10 * $BN$4, AI$11 * 0.876) * 0.25,
    IF(
        AND($H109 &gt; $BN$7, Tabella01MarzoInverter[[#This Row],[Active power TX2-INV-5]] &lt;= 0),
        Tabella01MarzoInverter[[#This Row],[Active power TX3-INV-2]] * 0.25,
        0
    )
    +
    IF(
        $N109 &lt; 0.875,
        MAX(0, MIN(($H109 / 1000) * AI$10 * $BN$4, AI$11 * 0.876) - (AI$11 * $N109)) * 0.25,
        0
    )
)</f>
        <v>0</v>
      </c>
      <c r="AJ109" s="36">
        <f>IF(
    AND($H109 &gt; $BN$7, Tabella01MarzoInverter[[#This Row],[Active power TX2-INV-6]] &lt;= 0, Tabella01MarzoInverter[[#This Row],[Active power TX3-INV-3]] &lt;= 0),
    MIN(($H109 / 1000) * AJ$10 * $BN$4, AJ$11 * 0.876) * 0.25,
    IF(
        AND($H109 &gt; $BN$7, Tabella01MarzoInverter[[#This Row],[Active power TX2-INV-6]] &lt;= 0),
        Tabella01MarzoInverter[[#This Row],[Active power TX3-INV-3]] * 0.25,
        0
    )
    +
    IF(
        $N109 &lt; 0.875,
        MAX(0, MIN(($H109 / 1000) * AJ$10 * $BN$4, AJ$11 * 0.876) - (AJ$11 * $N109)) * 0.25,
        0
    )
)</f>
        <v>0</v>
      </c>
      <c r="AK109" s="36">
        <f>IF(
    AND($H109 &gt; $BN$7, Tabella01MarzoInverter[[#This Row],[Active power TX2-INV-7]] &lt;= 0, Tabella01MarzoInverter[[#This Row],[Active power TX3-INV-4]] &lt;= 0),
    MIN(($H109 / 1000) * AK$10 * $BN$4, AK$11 * 0.876) * 0.25,
    IF(
        AND($H109 &gt; $BN$7, Tabella01MarzoInverter[[#This Row],[Active power TX2-INV-7]] &lt;= 0),
        Tabella01MarzoInverter[[#This Row],[Active power TX3-INV-4]] * 0.25,
        0
    )
    +
    IF(
        $N109 &lt; 0.875,
        MAX(0, MIN(($H109 / 1000) * AK$10 * $BN$4, AK$11 * 0.876) - (AK$11 * $N109)) * 0.25,
        0
    )
)</f>
        <v>0</v>
      </c>
      <c r="AL109" s="36">
        <f>IF(
    AND($H109 &gt; $BN$7, Tabella01MarzoInverter[[#This Row],[Active power TX2-INV-8]] &lt;= 0, Tabella01MarzoInverter[[#This Row],[Active power TX3-INV-5]] &lt;= 0),
    MIN(($H109 / 1000) * AL$10 * $BN$4, AL$11 * 0.876) * 0.25,
    IF(
        AND($H109 &gt; $BN$7, Tabella01MarzoInverter[[#This Row],[Active power TX2-INV-8]] &lt;= 0),
        Tabella01MarzoInverter[[#This Row],[Active power TX3-INV-5]] * 0.25,
        0
    )
    +
    IF(
        $N109 &lt; 0.875,
        MAX(0, MIN(($H109 / 1000) * AL$10 * $BN$4, AL$11 * 0.876) - (AL$11 * $N109)) * 0.25,
        0
    )
)</f>
        <v>0</v>
      </c>
      <c r="AM109" s="36">
        <f>IF(
    AND($H109 &gt; $BN$7, Tabella01MarzoInverter[[#This Row],[Active power TX2-INV-9]] &lt;= 0, Tabella01MarzoInverter[[#This Row],[Active power TX3-INV-6]] &lt;= 0),
    MIN(($H109 / 1000) * AM$10 * $BN$4, AM$11 * 0.876) * 0.25,
    IF(
        AND($H109 &gt; $BN$7, Tabella01MarzoInverter[[#This Row],[Active power TX2-INV-9]] &lt;= 0),
        Tabella01MarzoInverter[[#This Row],[Active power TX3-INV-6]] * 0.25,
        0
    )
    +
    IF(
        $N109 &lt; 0.875,
        MAX(0, MIN(($H109 / 1000) * AM$10 * $BN$4, AM$11 * 0.876) - (AM$11 * $N109)) * 0.25,
        0
    )
)</f>
        <v>0</v>
      </c>
      <c r="AN109" s="36">
        <f>IF(
    AND($H109 &gt; $BN$7, Tabella01MarzoInverter[[#This Row],[Active power TX2-INV-10]] &lt;= 0, Tabella01MarzoInverter[[#This Row],[Active power TX3-INV-7]] &lt;= 0),
    MIN(($H109 / 1000) * AN$10 * $BN$4, AN$11 * 0.876) * 0.25,
    IF(
        AND($H109 &gt; $BN$7, Tabella01MarzoInverter[[#This Row],[Active power TX2-INV-10]] &lt;= 0),
        Tabella01MarzoInverter[[#This Row],[Active power TX3-INV-7]] * 0.25,
        0
    )
    +
    IF(
        $N109 &lt; 0.875,
        MAX(0, MIN(($H109 / 1000) * AN$10 * $BN$4, AN$11 * 0.876) - (AN$11 * $N109)) * 0.25,
        0
    )
)</f>
        <v>0</v>
      </c>
      <c r="AO109" s="36">
        <f>IF(
    AND($H109 &gt; $BN$7, Tabella01MarzoInverter[[#This Row],[Active power TX2-INV-11]] &lt;= 0, Tabella01MarzoInverter[[#This Row],[Active power TX3-INV-8]] &lt;= 0),
    MIN(($H109 / 1000) * AO$10 * $BN$4, AO$11 * 0.876) * 0.25,
    IF(
        AND($H109 &gt; $BN$7, Tabella01MarzoInverter[[#This Row],[Active power TX2-INV-11]] &lt;= 0),
        Tabella01MarzoInverter[[#This Row],[Active power TX3-INV-8]] * 0.25,
        0
    )
    +
    IF(
        $N109 &lt; 0.875,
        MAX(0, MIN(($H109 / 1000) * AO$10 * $BN$4, AO$11 * 0.876) - (AO$11 * $N109)) * 0.25,
        0
    )
)</f>
        <v>0</v>
      </c>
      <c r="AP109" s="36">
        <f>IF(
    AND($H109 &gt; $BN$7, Tabella01MarzoInverter[[#This Row],[Active power TX2-INV-12]] &lt;= 0, Tabella01MarzoInverter[[#This Row],[Active power TX3-INV-9]] &lt;= 0),
    MIN(($H109 / 1000) * AP$10 * $BN$4, AP$11 * 0.876) * 0.25,
    IF(
        AND($H109 &gt; $BN$7, Tabella01MarzoInverter[[#This Row],[Active power TX2-INV-12]] &lt;= 0),
        Tabella01MarzoInverter[[#This Row],[Active power TX3-INV-9]] * 0.25,
        0
    )
    +
    IF(
        $N109 &lt; 0.875,
        MAX(0, MIN(($H109 / 1000) * AP$10 * $BN$4, AP$11 * 0.876) - (AP$11 * $N109)) * 0.25,
        0
    )
)</f>
        <v>0</v>
      </c>
      <c r="AQ109" s="8">
        <f>AVERAGE(TabellaMar2026[[#This Row],[Colonna39]:[Colonna6]])</f>
        <v>0</v>
      </c>
      <c r="AR109" s="8">
        <f>MAX(TabellaMar2026[[#This Row],[Colonna39]:[Colonna6]])</f>
        <v>0</v>
      </c>
      <c r="AS109" s="35">
        <f>MIN(TabellaMar2026[[#This Row],[Colonna39]:[Colonna6]])</f>
        <v>0</v>
      </c>
      <c r="AT109" s="48">
        <f>SUM(TabellaMar2026[[#This Row],[Colonna39]:[Colonna6]])</f>
        <v>0</v>
      </c>
      <c r="AU109" s="36" cm="1">
        <f t="array" ref="AU109">IF(
    AND($H109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($H109 / 1000) * AU$10 * $BN$4 * 0.25
    ),
    0
)
+
IF(
    $N109 &lt; 0.875,
    MAX(0, MIN(($H109 / 1000) * AU$10 * $BN$4, AU$11 * 0.876) - (AU$11 * $N109)) * 0.25,
    0
)</f>
        <v>0</v>
      </c>
      <c r="AV109" s="36" cm="1">
        <f t="array" ref="AV109">IF(
    AND($H109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($H109 / 1000) * AV$10 * $BN$4 * 0.25
    ),
    0
)
+
IF(
    $N109 &lt; 0.875,
    MAX(0, MIN(($H109 / 1000) * AV$10 * $BN$4, AV$11 * 0.876) - (AV$11 * $N109)) * 0.25,
    0
)</f>
        <v>0</v>
      </c>
      <c r="AW109" s="36" cm="1">
        <f t="array" ref="AW109">IF(
    AND($H109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($H109 / 1000) * AW$10 * $BN$4 * 0.25
    ),
    0
)
+
IF(
    $N109 &lt; 0.875,
    MAX(0, MIN(($H109 / 1000) * AW$10 * $BN$4, AW$11 * 0.876) - (AW$11 * $N109)) * 0.25,
    0
)</f>
        <v>0</v>
      </c>
      <c r="AX109" s="36" cm="1">
        <f t="array" ref="AX109">IF(
    AND($H109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($H109 / 1000) * AX$10 * $BN$4 * 0.25
    ),
    0
)
+
IF(
    $N109 &lt; 0.875,
    MAX(0, MIN(($H109 / 1000) * AX$10 * $BN$4, AX$11 * 0.876) - (AX$11 * $N109)) * 0.25,
    0
)</f>
        <v>0</v>
      </c>
      <c r="AY109" s="36" cm="1">
        <f t="array" ref="AY109">IF(
    AND($H109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($H109 / 1000) * AY$10 * $BN$4 * 0.25
    ),
    0
)
+
IF(
    $N109 &lt; 0.875,
    MAX(0, MIN(($H109 / 1000) * AY$10 * $BN$4, AY$11 * 0.876) - (AY$11 * $N109)) * 0.25,
    0
)</f>
        <v>0</v>
      </c>
      <c r="AZ109" s="36" cm="1">
        <f t="array" ref="AZ109">IF(
    AND($H109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($H109 / 1000) * AZ$10 * $BN$4 * 0.25
    ),
    0
)
+
IF(
    $N109 &lt; 0.875,
    MAX(0, MIN(($H109 / 1000) * AZ$10 * $BN$4, AZ$11 * 0.876) - (AZ$11 * $N109)) * 0.25,
    0
)</f>
        <v>0</v>
      </c>
      <c r="BA109" s="36" cm="1">
        <f t="array" ref="BA109">IF(
    AND($H109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($H109 / 1000) * BA$10 * $BN$4 * 0.25
    ),
    0
)
+
IF(
    $N109 &lt; 0.875,
    MAX(0, MIN(($H109 / 1000) * BA$10 * $BN$4, BA$11 * 0.876) - (BA$11 * $N109)) * 0.25,
    0
)</f>
        <v>0</v>
      </c>
      <c r="BB109" s="36" cm="1">
        <f t="array" ref="BB109">IF(
    AND($H109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($H109 / 1000) * BB$10 * $BN$4 * 0.25
    ),
    0
)
+
IF(
    $N109 &lt; 0.875,
    MAX(0, MIN(($H109 / 1000) * BB$10 * $BN$4, BB$11 * 0.876) - (BB$11 * $N109)) * 0.25,
    0
)</f>
        <v>0</v>
      </c>
      <c r="BC109" s="36" cm="1">
        <f t="array" ref="BC109">IF(
    AND($H109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($H109 / 1000) * BC$10 * $BN$4 * 0.25
    ),
    0
)
+
IF(
    $N109 &lt; 0.875,
    MAX(0, MIN(($H109 / 1000) * BC$10 * $BN$4, BC$11 * 0.876) - (BC$11 * $N109)) * 0.25,
    0
)</f>
        <v>0</v>
      </c>
      <c r="BD109" s="36" cm="1">
        <f t="array" ref="BD109">IF(
    AND($H109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($H109 / 1000) * BD$10 * $BN$4 * 0.25
    ),
    0
)
+
IF(
    $N109 &lt; 0.875,
    MAX(0, MIN(($H109 / 1000) * BD$10 * $BN$4, BD$11 * 0.876) - (BD$11 * $N109)) * 0.25,
    0
)</f>
        <v>0</v>
      </c>
      <c r="BE109" s="36" cm="1">
        <f t="array" ref="BE109">IF(
    AND($H109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($H109 / 1000) * BE$10 * $BN$4 * 0.25
    ),
    0
)
+
IF(
    $N109 &lt; 0.875,
    MAX(0, MIN(($H109 / 1000) * BE$10 * $BN$4, BE$11 * 0.876) - (BE$11 * $N109)) * 0.25,
    0
)</f>
        <v>0</v>
      </c>
      <c r="BF109" s="36" cm="1">
        <f t="array" ref="BF109">IF(
    AND($H109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($H109 / 1000) * BF$10 * $BN$4 * 0.25
    ),
    0
)
+
IF(
    $N109 &lt; 0.875,
    MAX(0, MIN(($H109 / 1000) * BF$10 * $BN$4, BF$11 * 0.876) - (BF$11 * $N109)) * 0.25,
    0
)</f>
        <v>0</v>
      </c>
      <c r="BG109" s="8">
        <f>AVERAGE(TabellaMar2026[[#This Row],[Colonna55]:[Colonna53]])</f>
        <v>0</v>
      </c>
      <c r="BH109" s="8">
        <f>MAX(TabellaMar2026[[#This Row],[Colonna55]:[Colonna53]])</f>
        <v>0</v>
      </c>
      <c r="BI109" s="35">
        <f>MIN(TabellaMar2026[[#This Row],[Colonna55]:[Colonna53]])</f>
        <v>0</v>
      </c>
      <c r="BJ109" s="48">
        <f>SUM(TabellaMar2026[[#This Row],[Colonna54]:[Colonna53]])</f>
        <v>0</v>
      </c>
      <c r="BK109" s="54">
        <f>(SUM(Tabella01MarzoInverter[[Active power TX1-INV-1]:[Active power TX3-INV-12]]) * 0.25) / (12625 * (SUM($G$15:$H$110) * 0.25 / 1000))</f>
        <v>1.014229628761051</v>
      </c>
      <c r="BL109" s="5"/>
      <c r="BM109" s="5"/>
      <c r="BN109" s="5"/>
      <c r="BO109" s="8"/>
      <c r="BP109" s="19"/>
    </row>
    <row r="110" spans="1:68" x14ac:dyDescent="0.25">
      <c r="A110" s="18">
        <v>46147</v>
      </c>
      <c r="B110" t="s">
        <v>110</v>
      </c>
      <c r="C110" s="5">
        <v>-0.1</v>
      </c>
      <c r="D110" s="6">
        <v>-2.5000000000000001E-5</v>
      </c>
      <c r="E110" s="6">
        <v>0</v>
      </c>
      <c r="F110" s="6">
        <v>0</v>
      </c>
      <c r="G110" s="6">
        <f>IFERROR((D110+F110)/2, 0)</f>
        <v>-1.2500000000000001E-5</v>
      </c>
      <c r="H110" s="7">
        <f>IFERROR(IF(AVERAGE(C110,E110)&gt;$BN$7,AVERAGE(C110,E110),0), 0)</f>
        <v>0</v>
      </c>
      <c r="I110" s="7">
        <f>IFERROR(IF(AND(D110=0,F110=0),0,IF(H110&gt;$BN$6,MAX(D110,F110),G110)), 0)</f>
        <v>-1.2500000000000001E-5</v>
      </c>
      <c r="J110" s="6">
        <f>IFERROR(IF(AND(D110&gt;0,F110&gt;0),ABS(D110-F110)/AVERAGE(D110,F110),0), 0)</f>
        <v>0</v>
      </c>
      <c r="K110" s="6">
        <v>30467.8</v>
      </c>
      <c r="L110" s="6">
        <v>30467.8</v>
      </c>
      <c r="M110" s="8">
        <f>IFERROR((L110-K110)*1000, 0)</f>
        <v>0</v>
      </c>
      <c r="N110" s="6">
        <v>0.87599999999999989</v>
      </c>
      <c r="O110" s="8" cm="1">
        <f t="array" ref="O110">IF(
    AND($H110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($H110 / 1000) * O$10 * $BN$4 * 0.25
    ),
    0
)
+
IF(
    $N110 &lt; 0.875,
    MAX(0, MIN(($H110 / 1000) * O$10 * $BN$4, O$11 * 0.876) - (O$11 * $N110)) * 0.25,
    0
)</f>
        <v>0</v>
      </c>
      <c r="P110" s="8" cm="1">
        <f t="array" ref="P110">IF(
    AND($H110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($H110 / 1000) * P$10 * $BN$4 * 0.25
    ),
    0
)
+
IF(
    $N110 &lt; 0.875,
    MAX(0, MIN(($H110 / 1000) * P$10 * $BN$4, P$11 * 0.876) - (P$11 * $N110)) * 0.25,
    0
)</f>
        <v>0</v>
      </c>
      <c r="Q110" s="8" cm="1">
        <f t="array" ref="Q110">IF(
    AND($H110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($H110 / 1000) * Q$10 * $BN$4 * 0.25
    ),
    0
)
+
IF(
    $N110 &lt; 0.875,
    MAX(0, MIN(($H110 / 1000) * Q$10 * $BN$4, Q$11 * 0.876) - (Q$11 * $N110)) * 0.25,
    0
)</f>
        <v>0</v>
      </c>
      <c r="R110" s="8" cm="1">
        <f t="array" ref="R110">IF(
    AND($H110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($H110 / 1000) * R$10 * $BN$4 * 0.25
    ),
    0
)
+
IF(
    $N110 &lt; 0.875,
    MAX(0, MIN(($H110 / 1000) * R$10 * $BN$4, R$11 * 0.876) - (R$11 * $N110)) * 0.25,
    0
)</f>
        <v>0</v>
      </c>
      <c r="S110" s="8" cm="1">
        <f t="array" ref="S110">IF(
    AND($H110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($H110 / 1000) * S$10 * $BN$4 * 0.25
    ),
    0
)
+
IF(
    $N110 &lt; 0.875,
    MAX(0, MIN(($H110 / 1000) * S$10 * $BN$4, S$11 * 0.876) - (S$11 * $N110)) * 0.25,
    0
)</f>
        <v>0</v>
      </c>
      <c r="T110" s="8" cm="1">
        <f t="array" ref="T110">IF(
    AND($H110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($H110 / 1000) * T$10 * $BN$4 * 0.25
    ),
    0
)
+
IF(
    $N110 &lt; 0.875,
    MAX(0, MIN(($H110 / 1000) * T$10 * $BN$4, T$11 * 0.876) - (T$11 * $N110)) * 0.25,
    0
)</f>
        <v>0</v>
      </c>
      <c r="U110" s="8" cm="1">
        <f t="array" ref="U110">IF(
    AND($H110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($H110 / 1000) * U$10 * $BN$4 * 0.25
    ),
    0
)
+
IF(
    $N110 &lt; 0.875,
    MAX(0, MIN(($H110 / 1000) * U$10 * $BN$4, U$11 * 0.876) - (U$11 * $N110)) * 0.25,
    0
)</f>
        <v>0</v>
      </c>
      <c r="V110" s="8" cm="1">
        <f t="array" ref="V110">IF(
    AND($H110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($H110 / 1000) * V$10 * $BN$4 * 0.25
    ),
    0
)
+
IF(
    $N110 &lt; 0.875,
    MAX(0, MIN(($H110 / 1000) * V$10 * $BN$4, V$11 * 0.876) - (V$11 * $N110)) * 0.25,
    0
)</f>
        <v>0</v>
      </c>
      <c r="W110" s="8" cm="1">
        <f t="array" ref="W110">IF(
    AND($H110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($H110 / 1000) * W$10 * $BN$4 * 0.25
    ),
    0
)
+
IF(
    $N110 &lt; 0.875,
    MAX(0, MIN(($H110 / 1000) * W$10 * $BN$4, W$11 * 0.876) - (W$11 * $N110)) * 0.25,
    0
)</f>
        <v>0</v>
      </c>
      <c r="X110" s="8" cm="1">
        <f t="array" ref="X110">IF(
    AND($H110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($H110 / 1000) * X$10 * $BN$4 * 0.25
    ),
    0
)
+
IF(
    $N110 &lt; 0.875,
    MAX(0, MIN(($H110 / 1000) * X$10 * $BN$4, X$11 * 0.876) - (X$11 * $N110)) * 0.25,
    0
)</f>
        <v>0</v>
      </c>
      <c r="Y110" s="8" cm="1">
        <f t="array" ref="Y110">IF(
    AND($H110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($H110 / 1000) * Y$10 * $BN$4 * 0.25
    ),
    0
)
+
IF(
    $N110 &lt; 0.875,
    MAX(0, MIN(($H110 / 1000) * Y$10 * $BN$4, Y$11 * 0.876) - (Y$11 * $N110)) * 0.25,
    0
)</f>
        <v>0</v>
      </c>
      <c r="Z110" s="8" cm="1">
        <f t="array" ref="Z110">IF(
    AND($H110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($H110 / 1000) * Z$10 * $BN$4 * 0.25
    ),
    0
)
+
IF(
    $N110 &lt; 0.875,
    MAX(0, MIN(($H110 / 1000) * Z$10 * $BN$4, Z$11 * 0.876) - (Z$11 * $N110)) * 0.25,
    0
)</f>
        <v>0</v>
      </c>
      <c r="AA110" s="8">
        <f>AVERAGE(TabellaMar2026[[#This Row],[Colonna24]:[Colonna20]])</f>
        <v>0</v>
      </c>
      <c r="AB110" s="8">
        <f>MAX(TabellaMar2026[[#This Row],[Colonna24]:[Colonna20]])</f>
        <v>0</v>
      </c>
      <c r="AC110" s="35">
        <f>MIN(TabellaMar2026[[#This Row],[Colonna24]:[Colonna20]])</f>
        <v>0</v>
      </c>
      <c r="AD110" s="44">
        <f>SUM(TabellaMar2026[[#This Row],[Colonna24]:[Colonna20]])</f>
        <v>0</v>
      </c>
      <c r="AE110" s="36">
        <f>IF(
    AND($H110 &gt; $BN$7, Tabella01MarzoInverter[[#This Row],[Active power TX2-INV-1]] &lt;= 0, Tabella01MarzoInverter[[#This Row],[TX2 - Average Power]] &lt;= 0),
    MIN(($H110 / 1000) * AE$10 * $BN$4, AE$11 * 0.876) * 0.25,
    IF(
        AND($H110 &gt; $BN$7, Tabella01MarzoInverter[[#This Row],[Active power TX2-INV-1]] &lt;= 0),
        Tabella01MarzoInverter[[#This Row],[TX2 - Average Power]] * 0.25,
        0
    )
    +
    IF(
        $N110 &lt; 0.875,
        MAX(0, MIN(($H110 / 1000) * AE$10 * $BN$4, AE$11 * 0.876) - (AE$11 * $N110)) * 0.25,
        0
    )
)</f>
        <v>0</v>
      </c>
      <c r="AF110" s="36">
        <f>IF(
    AND($H110 &gt; $BN$7, Tabella01MarzoInverter[[#This Row],[Active power TX2-INV-2]] &lt;= 0, Tabella01MarzoInverter[[#This Row],[TX2 - Max Power]] &lt;= 0),
    MIN(($H110 / 1000) * AF$10 * $BN$4, AF$11 * 0.876) * 0.25,
    IF(
        AND($H110 &gt; $BN$7, Tabella01MarzoInverter[[#This Row],[Active power TX2-INV-2]] &lt;= 0),
        Tabella01MarzoInverter[[#This Row],[TX2 - Max Power]] * 0.25,
        0
    )
    +
    IF(
        $N110 &lt; 0.875,
        MAX(0, MIN(($H110 / 1000) * AF$10 * $BN$4, AF$11 * 0.876) - (AF$11 * $N110)) * 0.25,
        0
    )
)</f>
        <v>0</v>
      </c>
      <c r="AG110" s="36">
        <f>IF(
    AND($H110 &gt; $BN$7, Tabella01MarzoInverter[[#This Row],[Active power TX2-INV-3]] &lt;= 0, Tabella01MarzoInverter[[#This Row],[TX2 - Min Power]] &lt;= 0),
    MIN(($H110 / 1000) * AG$10 * $BN$4, AG$11 * 0.876) * 0.25,
    IF(
        AND($H110 &gt; $BN$7, Tabella01MarzoInverter[[#This Row],[Active power TX2-INV-3]] &lt;= 0),
        Tabella01MarzoInverter[[#This Row],[TX2 - Min Power]] * 0.25,
        0
    )
    +
    IF(
        $N110 &lt; 0.875,
        MAX(0, MIN(($H110 / 1000) * AG$10 * $BN$4, AG$11 * 0.876) - (AG$11 * $N110)) * 0.25,
        0
    )
)</f>
        <v>0</v>
      </c>
      <c r="AH110" s="36">
        <f>IF(
    AND($H110 &gt; $BN$7, Tabella01MarzoInverter[[#This Row],[Active power TX2-INV-4]] &lt;= 0, Tabella01MarzoInverter[[#This Row],[Active power TX3-INV-1]] &lt;= 0),
    MIN(($H110 / 1000) * AH$10 * $BN$4, AH$11 * 0.876) * 0.25,
    IF(
        AND($H110 &gt; $BN$7, Tabella01MarzoInverter[[#This Row],[Active power TX2-INV-4]] &lt;= 0),
        Tabella01MarzoInverter[[#This Row],[Active power TX3-INV-1]] * 0.25,
        0
    )
    +
    IF(
        $N110 &lt; 0.875,
        MAX(0, MIN(($H110 / 1000) * AH$10 * $BN$4, AH$11 * 0.876) - (AH$11 * $N110)) * 0.25,
        0
    )
)</f>
        <v>0</v>
      </c>
      <c r="AI110" s="36">
        <f>IF(
    AND($H110 &gt; $BN$7, Tabella01MarzoInverter[[#This Row],[Active power TX2-INV-5]] &lt;= 0, Tabella01MarzoInverter[[#This Row],[Active power TX3-INV-2]] &lt;= 0),
    MIN(($H110 / 1000) * AI$10 * $BN$4, AI$11 * 0.876) * 0.25,
    IF(
        AND($H110 &gt; $BN$7, Tabella01MarzoInverter[[#This Row],[Active power TX2-INV-5]] &lt;= 0),
        Tabella01MarzoInverter[[#This Row],[Active power TX3-INV-2]] * 0.25,
        0
    )
    +
    IF(
        $N110 &lt; 0.875,
        MAX(0, MIN(($H110 / 1000) * AI$10 * $BN$4, AI$11 * 0.876) - (AI$11 * $N110)) * 0.25,
        0
    )
)</f>
        <v>0</v>
      </c>
      <c r="AJ110" s="36">
        <f>IF(
    AND($H110 &gt; $BN$7, Tabella01MarzoInverter[[#This Row],[Active power TX2-INV-6]] &lt;= 0, Tabella01MarzoInverter[[#This Row],[Active power TX3-INV-3]] &lt;= 0),
    MIN(($H110 / 1000) * AJ$10 * $BN$4, AJ$11 * 0.876) * 0.25,
    IF(
        AND($H110 &gt; $BN$7, Tabella01MarzoInverter[[#This Row],[Active power TX2-INV-6]] &lt;= 0),
        Tabella01MarzoInverter[[#This Row],[Active power TX3-INV-3]] * 0.25,
        0
    )
    +
    IF(
        $N110 &lt; 0.875,
        MAX(0, MIN(($H110 / 1000) * AJ$10 * $BN$4, AJ$11 * 0.876) - (AJ$11 * $N110)) * 0.25,
        0
    )
)</f>
        <v>0</v>
      </c>
      <c r="AK110" s="36">
        <f>IF(
    AND($H110 &gt; $BN$7, Tabella01MarzoInverter[[#This Row],[Active power TX2-INV-7]] &lt;= 0, Tabella01MarzoInverter[[#This Row],[Active power TX3-INV-4]] &lt;= 0),
    MIN(($H110 / 1000) * AK$10 * $BN$4, AK$11 * 0.876) * 0.25,
    IF(
        AND($H110 &gt; $BN$7, Tabella01MarzoInverter[[#This Row],[Active power TX2-INV-7]] &lt;= 0),
        Tabella01MarzoInverter[[#This Row],[Active power TX3-INV-4]] * 0.25,
        0
    )
    +
    IF(
        $N110 &lt; 0.875,
        MAX(0, MIN(($H110 / 1000) * AK$10 * $BN$4, AK$11 * 0.876) - (AK$11 * $N110)) * 0.25,
        0
    )
)</f>
        <v>0</v>
      </c>
      <c r="AL110" s="36">
        <f>IF(
    AND($H110 &gt; $BN$7, Tabella01MarzoInverter[[#This Row],[Active power TX2-INV-8]] &lt;= 0, Tabella01MarzoInverter[[#This Row],[Active power TX3-INV-5]] &lt;= 0),
    MIN(($H110 / 1000) * AL$10 * $BN$4, AL$11 * 0.876) * 0.25,
    IF(
        AND($H110 &gt; $BN$7, Tabella01MarzoInverter[[#This Row],[Active power TX2-INV-8]] &lt;= 0),
        Tabella01MarzoInverter[[#This Row],[Active power TX3-INV-5]] * 0.25,
        0
    )
    +
    IF(
        $N110 &lt; 0.875,
        MAX(0, MIN(($H110 / 1000) * AL$10 * $BN$4, AL$11 * 0.876) - (AL$11 * $N110)) * 0.25,
        0
    )
)</f>
        <v>0</v>
      </c>
      <c r="AM110" s="36">
        <f>IF(
    AND($H110 &gt; $BN$7, Tabella01MarzoInverter[[#This Row],[Active power TX2-INV-9]] &lt;= 0, Tabella01MarzoInverter[[#This Row],[Active power TX3-INV-6]] &lt;= 0),
    MIN(($H110 / 1000) * AM$10 * $BN$4, AM$11 * 0.876) * 0.25,
    IF(
        AND($H110 &gt; $BN$7, Tabella01MarzoInverter[[#This Row],[Active power TX2-INV-9]] &lt;= 0),
        Tabella01MarzoInverter[[#This Row],[Active power TX3-INV-6]] * 0.25,
        0
    )
    +
    IF(
        $N110 &lt; 0.875,
        MAX(0, MIN(($H110 / 1000) * AM$10 * $BN$4, AM$11 * 0.876) - (AM$11 * $N110)) * 0.25,
        0
    )
)</f>
        <v>0</v>
      </c>
      <c r="AN110" s="36">
        <f>IF(
    AND($H110 &gt; $BN$7, Tabella01MarzoInverter[[#This Row],[Active power TX2-INV-10]] &lt;= 0, Tabella01MarzoInverter[[#This Row],[Active power TX3-INV-7]] &lt;= 0),
    MIN(($H110 / 1000) * AN$10 * $BN$4, AN$11 * 0.876) * 0.25,
    IF(
        AND($H110 &gt; $BN$7, Tabella01MarzoInverter[[#This Row],[Active power TX2-INV-10]] &lt;= 0),
        Tabella01MarzoInverter[[#This Row],[Active power TX3-INV-7]] * 0.25,
        0
    )
    +
    IF(
        $N110 &lt; 0.875,
        MAX(0, MIN(($H110 / 1000) * AN$10 * $BN$4, AN$11 * 0.876) - (AN$11 * $N110)) * 0.25,
        0
    )
)</f>
        <v>0</v>
      </c>
      <c r="AO110" s="36">
        <f>IF(
    AND($H110 &gt; $BN$7, Tabella01MarzoInverter[[#This Row],[Active power TX2-INV-11]] &lt;= 0, Tabella01MarzoInverter[[#This Row],[Active power TX3-INV-8]] &lt;= 0),
    MIN(($H110 / 1000) * AO$10 * $BN$4, AO$11 * 0.876) * 0.25,
    IF(
        AND($H110 &gt; $BN$7, Tabella01MarzoInverter[[#This Row],[Active power TX2-INV-11]] &lt;= 0),
        Tabella01MarzoInverter[[#This Row],[Active power TX3-INV-8]] * 0.25,
        0
    )
    +
    IF(
        $N110 &lt; 0.875,
        MAX(0, MIN(($H110 / 1000) * AO$10 * $BN$4, AO$11 * 0.876) - (AO$11 * $N110)) * 0.25,
        0
    )
)</f>
        <v>0</v>
      </c>
      <c r="AP110" s="36">
        <f>IF(
    AND($H110 &gt; $BN$7, Tabella01MarzoInverter[[#This Row],[Active power TX2-INV-12]] &lt;= 0, Tabella01MarzoInverter[[#This Row],[Active power TX3-INV-9]] &lt;= 0),
    MIN(($H110 / 1000) * AP$10 * $BN$4, AP$11 * 0.876) * 0.25,
    IF(
        AND($H110 &gt; $BN$7, Tabella01MarzoInverter[[#This Row],[Active power TX2-INV-12]] &lt;= 0),
        Tabella01MarzoInverter[[#This Row],[Active power TX3-INV-9]] * 0.25,
        0
    )
    +
    IF(
        $N110 &lt; 0.875,
        MAX(0, MIN(($H110 / 1000) * AP$10 * $BN$4, AP$11 * 0.876) - (AP$11 * $N110)) * 0.25,
        0
    )
)</f>
        <v>0</v>
      </c>
      <c r="AQ110" s="8">
        <f>AVERAGE(TabellaMar2026[[#This Row],[Colonna39]:[Colonna6]])</f>
        <v>0</v>
      </c>
      <c r="AR110" s="8">
        <f>MAX(TabellaMar2026[[#This Row],[Colonna39]:[Colonna6]])</f>
        <v>0</v>
      </c>
      <c r="AS110" s="35">
        <f>MIN(TabellaMar2026[[#This Row],[Colonna39]:[Colonna6]])</f>
        <v>0</v>
      </c>
      <c r="AT110" s="48">
        <f>SUM(TabellaMar2026[[#This Row],[Colonna39]:[Colonna6]])</f>
        <v>0</v>
      </c>
      <c r="AU110" s="36" cm="1">
        <f t="array" ref="AU110">IF(
    AND($H110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($H110 / 1000) * AU$10 * $BN$4 * 0.25
    ),
    0
)
+
IF(
    $N110 &lt; 0.875,
    MAX(0, MIN(($H110 / 1000) * AU$10 * $BN$4, AU$11 * 0.876) - (AU$11 * $N110)) * 0.25,
    0
)</f>
        <v>0</v>
      </c>
      <c r="AV110" s="36" cm="1">
        <f t="array" ref="AV110">IF(
    AND($H110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($H110 / 1000) * AV$10 * $BN$4 * 0.25
    ),
    0
)
+
IF(
    $N110 &lt; 0.875,
    MAX(0, MIN(($H110 / 1000) * AV$10 * $BN$4, AV$11 * 0.876) - (AV$11 * $N110)) * 0.25,
    0
)</f>
        <v>0</v>
      </c>
      <c r="AW110" s="36" cm="1">
        <f t="array" ref="AW110">IF(
    AND($H110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($H110 / 1000) * AW$10 * $BN$4 * 0.25
    ),
    0
)
+
IF(
    $N110 &lt; 0.875,
    MAX(0, MIN(($H110 / 1000) * AW$10 * $BN$4, AW$11 * 0.876) - (AW$11 * $N110)) * 0.25,
    0
)</f>
        <v>0</v>
      </c>
      <c r="AX110" s="36" cm="1">
        <f t="array" ref="AX110">IF(
    AND($H110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($H110 / 1000) * AX$10 * $BN$4 * 0.25
    ),
    0
)
+
IF(
    $N110 &lt; 0.875,
    MAX(0, MIN(($H110 / 1000) * AX$10 * $BN$4, AX$11 * 0.876) - (AX$11 * $N110)) * 0.25,
    0
)</f>
        <v>0</v>
      </c>
      <c r="AY110" s="36" cm="1">
        <f t="array" ref="AY110">IF(
    AND($H110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($H110 / 1000) * AY$10 * $BN$4 * 0.25
    ),
    0
)
+
IF(
    $N110 &lt; 0.875,
    MAX(0, MIN(($H110 / 1000) * AY$10 * $BN$4, AY$11 * 0.876) - (AY$11 * $N110)) * 0.25,
    0
)</f>
        <v>0</v>
      </c>
      <c r="AZ110" s="36" cm="1">
        <f t="array" ref="AZ110">IF(
    AND($H110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($H110 / 1000) * AZ$10 * $BN$4 * 0.25
    ),
    0
)
+
IF(
    $N110 &lt; 0.875,
    MAX(0, MIN(($H110 / 1000) * AZ$10 * $BN$4, AZ$11 * 0.876) - (AZ$11 * $N110)) * 0.25,
    0
)</f>
        <v>0</v>
      </c>
      <c r="BA110" s="36" cm="1">
        <f t="array" ref="BA110">IF(
    AND($H110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($H110 / 1000) * BA$10 * $BN$4 * 0.25
    ),
    0
)
+
IF(
    $N110 &lt; 0.875,
    MAX(0, MIN(($H110 / 1000) * BA$10 * $BN$4, BA$11 * 0.876) - (BA$11 * $N110)) * 0.25,
    0
)</f>
        <v>0</v>
      </c>
      <c r="BB110" s="36" cm="1">
        <f t="array" ref="BB110">IF(
    AND($H110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($H110 / 1000) * BB$10 * $BN$4 * 0.25
    ),
    0
)
+
IF(
    $N110 &lt; 0.875,
    MAX(0, MIN(($H110 / 1000) * BB$10 * $BN$4, BB$11 * 0.876) - (BB$11 * $N110)) * 0.25,
    0
)</f>
        <v>0</v>
      </c>
      <c r="BC110" s="36" cm="1">
        <f t="array" ref="BC110">IF(
    AND($H110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($H110 / 1000) * BC$10 * $BN$4 * 0.25
    ),
    0
)
+
IF(
    $N110 &lt; 0.875,
    MAX(0, MIN(($H110 / 1000) * BC$10 * $BN$4, BC$11 * 0.876) - (BC$11 * $N110)) * 0.25,
    0
)</f>
        <v>0</v>
      </c>
      <c r="BD110" s="36" cm="1">
        <f t="array" ref="BD110">IF(
    AND($H110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($H110 / 1000) * BD$10 * $BN$4 * 0.25
    ),
    0
)
+
IF(
    $N110 &lt; 0.875,
    MAX(0, MIN(($H110 / 1000) * BD$10 * $BN$4, BD$11 * 0.876) - (BD$11 * $N110)) * 0.25,
    0
)</f>
        <v>0</v>
      </c>
      <c r="BE110" s="36" cm="1">
        <f t="array" ref="BE110">IF(
    AND($H110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($H110 / 1000) * BE$10 * $BN$4 * 0.25
    ),
    0
)
+
IF(
    $N110 &lt; 0.875,
    MAX(0, MIN(($H110 / 1000) * BE$10 * $BN$4, BE$11 * 0.876) - (BE$11 * $N110)) * 0.25,
    0
)</f>
        <v>0</v>
      </c>
      <c r="BF110" s="36" cm="1">
        <f t="array" ref="BF110">IF(
    AND($H110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($H110 / 1000) * BF$10 * $BN$4 * 0.25
    ),
    0
)
+
IF(
    $N110 &lt; 0.875,
    MAX(0, MIN(($H110 / 1000) * BF$10 * $BN$4, BF$11 * 0.876) - (BF$11 * $N110)) * 0.25,
    0
)</f>
        <v>0</v>
      </c>
      <c r="BG110" s="8">
        <f>AVERAGE(TabellaMar2026[[#This Row],[Colonna55]:[Colonna53]])</f>
        <v>0</v>
      </c>
      <c r="BH110" s="8">
        <f>MAX(TabellaMar2026[[#This Row],[Colonna55]:[Colonna53]])</f>
        <v>0</v>
      </c>
      <c r="BI110" s="35">
        <f>MIN(TabellaMar2026[[#This Row],[Colonna55]:[Colonna53]])</f>
        <v>0</v>
      </c>
      <c r="BJ110" s="48">
        <f>SUM(TabellaMar2026[[#This Row],[Colonna54]:[Colonna53]])</f>
        <v>0</v>
      </c>
      <c r="BK110" s="54">
        <f>(SUM(Tabella01MarzoInverter[[Active power TX1-INV-1]:[Active power TX3-INV-12]]) * 0.25) / (12625 * (SUM($G$15:$H$110) * 0.25 / 1000))</f>
        <v>1.014229628761051</v>
      </c>
      <c r="BL110" s="5"/>
      <c r="BM110" s="5"/>
      <c r="BN110" s="5"/>
      <c r="BO110" s="8"/>
      <c r="BP110" s="19"/>
    </row>
    <row r="111" spans="1:68" ht="15.75" thickBot="1" x14ac:dyDescent="0.3">
      <c r="A111" s="11" t="s">
        <v>240</v>
      </c>
      <c r="B111" s="11"/>
      <c r="C111" s="11"/>
      <c r="D111" s="12">
        <f>SUM(D15:D110)</f>
        <v>7.6226249999999984</v>
      </c>
      <c r="E111" s="12"/>
      <c r="F111" s="12">
        <f>SUM(F15:F110)</f>
        <v>7.504175</v>
      </c>
      <c r="G111" s="12">
        <f>SUM(G15:G110)</f>
        <v>7.5633999999999979</v>
      </c>
      <c r="H111" s="12"/>
      <c r="I111" s="12">
        <f>SUM(I15:I110)</f>
        <v>7.640200000000001</v>
      </c>
      <c r="J111" s="12"/>
      <c r="K111" s="12"/>
      <c r="L111" s="12"/>
      <c r="M111" s="13">
        <f>SUM(M15:M110)</f>
        <v>81599.999999998545</v>
      </c>
      <c r="N111" s="13"/>
      <c r="O111" s="32" cm="1">
        <f t="array" ref="O111">SUM((Inverter_data!C15:C110)*0.25,O15:O110)/(O$10*(SUM(PR_Calc!$H$15:$H$110)/4000))</f>
        <v>0.88896272398337395</v>
      </c>
      <c r="P111" s="32" cm="1">
        <f t="array" ref="P111">SUM((Inverter_data!D15:D110)*0.25,P15:P110)/(P$10*(SUM(PR_Calc!$H$15:$H$110)/4000))</f>
        <v>0.88271869141122317</v>
      </c>
      <c r="Q111" s="32" cm="1">
        <f t="array" ref="Q111">SUM((Inverter_data!E15:E110)*0.25,Q15:Q110)/(Q$10*(SUM(PR_Calc!$H$15:$H$110)/4000))</f>
        <v>0.88448751178382923</v>
      </c>
      <c r="R111" s="32" cm="1">
        <f t="array" ref="R111">SUM((Inverter_data!F15:F110)*0.25,R15:R110)/(R$10*(SUM(PR_Calc!$H$15:$H$110)/4000))</f>
        <v>0.88904971514923958</v>
      </c>
      <c r="S111" s="32" cm="1">
        <f t="array" ref="S111">SUM((Inverter_data!G15:G110)*0.25,S15:S110)/(S$10*(SUM(PR_Calc!$H$15:$H$110)/4000))</f>
        <v>0.8861403439352814</v>
      </c>
      <c r="T111" s="32" cm="1">
        <f t="array" ref="T111">SUM((Inverter_data!H15:H110)*0.25,T15:T110)/(T$10*(SUM(PR_Calc!$H$15:$H$110)/4000))</f>
        <v>0.88344361779343916</v>
      </c>
      <c r="U111" s="32" cm="1">
        <f t="array" ref="U111">SUM((Inverter_data!I15:I110)*0.25,U15:U110)/(U$10*(SUM(PR_Calc!$H$15:$H$110)/4000))</f>
        <v>0.89029658852665061</v>
      </c>
      <c r="V111" s="32" cm="1">
        <f t="array" ref="V111">SUM((Inverter_data!J15:J110)*0.25,V15:V110)/(V$10*(SUM(PR_Calc!$H$15:$H$110)/4000))</f>
        <v>0.86406938238885689</v>
      </c>
      <c r="W111" s="32" cm="1">
        <f t="array" ref="W111">SUM((Inverter_data!K15:K110)*0.25,W15:W110)/(W$10*(SUM(PR_Calc!$H$15:$H$110)/4000))</f>
        <v>0.86066706123499126</v>
      </c>
      <c r="X111" s="32" cm="1">
        <f t="array" ref="X111">SUM((Inverter_data!L15:L110)*0.25,X15:X110)/(X$10*(SUM(PR_Calc!$H$15:$H$110)/4000))</f>
        <v>0.8569319043160738</v>
      </c>
      <c r="Y111" s="32" cm="1">
        <f t="array" ref="Y111">SUM((Inverter_data!M15:M110)*0.25,Y15:Y110)/(Y$10*(SUM(PR_Calc!$H$15:$H$110)/4000))</f>
        <v>0.85863306489300695</v>
      </c>
      <c r="Z111" s="32" cm="1">
        <f t="array" ref="Z111">SUM((Inverter_data!N15:N110)*0.25,Z15:Z110)/(Z$10*(SUM(PR_Calc!$H$15:$H$110)/4000))</f>
        <v>0.89065421887521035</v>
      </c>
      <c r="AA111" s="32" t="e" cm="1">
        <f t="array" ref="AA111">SUM((Inverter_data!O15:O110)*0.25,AA15:AA110)/(AA$10*(SUM(PR_Calc!$H$15:$H$110)/4000))</f>
        <v>#DIV/0!</v>
      </c>
      <c r="AB111" s="32" t="e" cm="1">
        <f t="array" ref="AB111">SUM((Inverter_data!P15:P110)*0.25,AB15:AB110)/(AB$10*(SUM(PR_Calc!$H$15:$H$110)/4000))</f>
        <v>#DIV/0!</v>
      </c>
      <c r="AC111" s="32" t="e" cm="1">
        <f t="array" ref="AC111">SUM((Inverter_data!Q15:Q110)*0.25,AC15:AC110)/(AC$10*(SUM(PR_Calc!$H$15:$H$110)/4000))</f>
        <v>#DIV/0!</v>
      </c>
      <c r="AD111" s="45">
        <f>SUBTOTAL(109,TabellaMar2026[Colonna62])</f>
        <v>0</v>
      </c>
      <c r="AE111" s="42" cm="1">
        <f t="array" ref="AE111">SUM((Inverter_data!R15:'Inverter_data'!R110)*0.25,AE15:AE110)/(AE$10*(SUM(PR_Calc!$H$15:$H$110)/4000))</f>
        <v>0.88763116079369153</v>
      </c>
      <c r="AF111" s="42" cm="1">
        <f t="array" ref="AF111">SUM((Inverter_data!S15:'Inverter_data'!S110)*0.25,AF15:AF110)/(AF$10*(SUM(PR_Calc!$H$15:$H$110)/4000))</f>
        <v>0.87169981040154643</v>
      </c>
      <c r="AG111" s="42" cm="1">
        <f t="array" ref="AG111">SUM((Inverter_data!T15:'Inverter_data'!T110)*0.25,AG15:AG110)/(AG$10*(SUM(PR_Calc!$H$15:$H$110)/4000))</f>
        <v>0.8799156427333229</v>
      </c>
      <c r="AH111" s="42" cm="1">
        <f t="array" ref="AH111">SUM((Inverter_data!U15:'Inverter_data'!U110)*0.25,AH15:AH110)/(AH$10*(SUM(PR_Calc!$H$15:$H$110)/4000))</f>
        <v>0.89645086830862208</v>
      </c>
      <c r="AI111" s="42" cm="1">
        <f t="array" ref="AI111">SUM((Inverter_data!V15:'Inverter_data'!V110)*0.25,AI15:AI110)/(AI$10*(SUM(PR_Calc!$H$15:$H$110)/4000))</f>
        <v>0.90232392268136574</v>
      </c>
      <c r="AJ111" s="42" cm="1">
        <f t="array" ref="AJ111">SUM((Inverter_data!W15:'Inverter_data'!W110)*0.25,AJ15:AJ110)/(AJ$10*(SUM(PR_Calc!$H$15:$H$110)/4000))</f>
        <v>0.85025669813919702</v>
      </c>
      <c r="AK111" s="42" cm="1">
        <f t="array" ref="AK111">SUM((Inverter_data!X15:'Inverter_data'!X110)*0.25,AK15:AK110)/(AK$10*(SUM(PR_Calc!$H$15:$H$110)/4000))</f>
        <v>0.88009929075015081</v>
      </c>
      <c r="AL111" s="42" cm="1">
        <f t="array" ref="AL111">SUM((Inverter_data!Y15:'Inverter_data'!Y110)*0.25,AL15:AL110)/(AL$10*(SUM(PR_Calc!$H$15:$H$110)/4000))</f>
        <v>0.85376071911016171</v>
      </c>
      <c r="AM111" s="42" cm="1">
        <f t="array" ref="AM111">SUM((Inverter_data!Z15:'Inverter_data'!Z110)*0.25,AM15:AM110)/(AM$10*(SUM(PR_Calc!$H$15:$H$110)/4000))</f>
        <v>0.85524923461497726</v>
      </c>
      <c r="AN111" s="42" cm="1">
        <f t="array" ref="AN111">SUM((Inverter_data!AA15:'Inverter_data'!AA110)*0.25,AN15:AN110)/(AN$10*(SUM(PR_Calc!$H$15:$H$110)/4000))</f>
        <v>0.88550240871893127</v>
      </c>
      <c r="AO111" s="42" cm="1">
        <f t="array" ref="AO111">SUM((Inverter_data!AB15:'Inverter_data'!AB110)*0.25,AO15:AO110)/(AO$10*(SUM(PR_Calc!$H$15:$H$110)/4000))</f>
        <v>0.85846664701048059</v>
      </c>
      <c r="AP111" s="42" cm="1">
        <f t="array" ref="AP111">SUM((Inverter_data!AC15:'Inverter_data'!AC110)*0.25,AP15:AP110)/(AP$10*(SUM(PR_Calc!$H$15:$H$110)/4000))</f>
        <v>0.85815230212126481</v>
      </c>
      <c r="AQ111" s="9"/>
      <c r="AR111" s="9"/>
      <c r="AS111" s="46"/>
      <c r="AT111" s="49">
        <f>SUBTOTAL(109,TabellaMar2026[Colonna63])</f>
        <v>0</v>
      </c>
      <c r="AU111" s="47" cm="1">
        <f t="array" ref="AU111">SUM((Inverter_data!AG15:'Inverter_data'!AG110)*0.25,AU15:AU110)/(AU$10*(SUM(PR_Calc!$H$15:$H$110)/4000))</f>
        <v>0.85960383587440869</v>
      </c>
      <c r="AV111" s="47" cm="1">
        <f t="array" ref="AV111">SUM((Inverter_data!AH15:'Inverter_data'!AH110)*0.25,AV15:AV110)/(AV$10*(SUM(PR_Calc!$H$15:$H$110)/4000))</f>
        <v>0.85707983132276389</v>
      </c>
      <c r="AW111" s="47" cm="1">
        <f t="array" ref="AW111">SUM((Inverter_data!AI15:'Inverter_data'!AI110)*0.25,AW15:AW110)/(AW$10*(SUM(PR_Calc!$H$15:$H$110)/4000))</f>
        <v>0.85673775011979358</v>
      </c>
      <c r="AX111" s="47" cm="1">
        <f t="array" ref="AX111">SUM((Inverter_data!AJ15:'Inverter_data'!AJ110)*0.25,AX15:AX110)/(AX$10*(SUM(PR_Calc!$H$15:$H$110)/4000))</f>
        <v>0.85886420084095905</v>
      </c>
      <c r="AY111" s="47" cm="1">
        <f t="array" ref="AY111">SUM((Inverter_data!AK15:'Inverter_data'!AK110)*0.25,AY15:AY110)/(AY$10*(SUM(PR_Calc!$H$15:$H$110)/4000))</f>
        <v>0.860223280214922</v>
      </c>
      <c r="AZ111" s="47" cm="1">
        <f t="array" ref="AZ111">SUM((Inverter_data!AL15:'Inverter_data'!AL110)*0.25,AZ15:AZ110)/(AZ$10*(SUM(PR_Calc!$H$15:$H$110)/4000))</f>
        <v>0.85857759226549824</v>
      </c>
      <c r="BA111" s="47" cm="1">
        <f t="array" ref="BA111">SUM((Inverter_data!AM15:'Inverter_data'!AM110)*0.25,BA15:BA110)/(BA$10*(SUM(PR_Calc!$H$15:$H$110)/4000))</f>
        <v>0.86134197820301339</v>
      </c>
      <c r="BB111" s="47" cm="1">
        <f t="array" ref="BB111">SUM((Inverter_data!AN15:'Inverter_data'!AN110)*0.25,BB15:BB110)/(BB$10*(SUM(PR_Calc!$H$15:$H$110)/4000))</f>
        <v>0.85510130760828762</v>
      </c>
      <c r="BC111" s="47" cm="1">
        <f t="array" ref="BC111">SUM((Inverter_data!AO15:'Inverter_data'!AO110)*0.25,BC15:BC110)/(BC$10*(SUM(PR_Calc!$H$15:$H$110)/4000))</f>
        <v>0.86001063514280507</v>
      </c>
      <c r="BD111" s="47" cm="1">
        <f t="array" ref="BD111">SUM((Inverter_data!AP15:'Inverter_data'!AP110)*0.25,BD15:BD110)/(BD$10*(SUM(PR_Calc!$H$15:$H$110)/4000))</f>
        <v>0.85840192894505396</v>
      </c>
      <c r="BE111" s="47" cm="1">
        <f t="array" ref="BE111">SUM((Inverter_data!AQ15:'Inverter_data'!AQ110)*0.25,BE15:BE110)/(BE$10*(SUM(PR_Calc!$H$15:$H$110)/4000))</f>
        <v>0.85536942530791304</v>
      </c>
      <c r="BF111" s="47" cm="1">
        <f t="array" ref="BF111">SUM((Inverter_data!AR15:'Inverter_data'!AR110)*0.25,BF15:BF110)/(BF$10*(SUM(PR_Calc!$H$15:$H$110)/4000))</f>
        <v>0.91452569943853124</v>
      </c>
      <c r="BG111" s="47" t="e" cm="1">
        <f t="array" ref="BG111">SUM((Inverter_data!AS15:'Inverter_data'!AS110)*0.25,BG15:BG110)/(BG$10*(SUM(PR_Calc!$H$15:$H$110)/4000))</f>
        <v>#DIV/0!</v>
      </c>
      <c r="BH111" s="47" t="e" cm="1">
        <f t="array" ref="BH111">SUM((Inverter_data!AT15:'Inverter_data'!AT110)*0.25,BH15:BH110)/(BH$10*(SUM(PR_Calc!$H$15:$H$110)/4000))</f>
        <v>#DIV/0!</v>
      </c>
      <c r="BI111" s="47" t="e" cm="1">
        <f t="array" ref="BI111">SUM((Inverter_data!AU15:'Inverter_data'!AU110)*0.25,BI15:BI110)/(BI$10*(SUM(PR_Calc!$H$15:$H$110)/4000))</f>
        <v>#DIV/0!</v>
      </c>
      <c r="BJ111" s="53">
        <f>SUBTOTAL(109,TabellaMar2026[Colonna64])</f>
        <v>0</v>
      </c>
      <c r="BK111" s="51"/>
      <c r="BL111" s="32">
        <f>SUM(TabellaMar2026[[#Totals],[Colonna24]:[Colonna20]],TabellaMar2026[[#Totals],[Colonna39]:[Colonna6]],TabellaMar2026[[#Totals],[Colonna54]:[Colonna53]])/36</f>
        <v>0.87142780541552345</v>
      </c>
      <c r="BM111" s="10"/>
      <c r="BN111" s="14" t="e">
        <f>SUBTOTAL(101,TabellaMar2026[Colonna9])</f>
        <v>#DIV/0!</v>
      </c>
      <c r="BO111" s="12" t="e">
        <f>AVERAGE(BO15:BO66)</f>
        <v>#DIV/0!</v>
      </c>
      <c r="BP111" s="9">
        <f>$AO$111/($I$111*'[1]PVSyst Data'!$G$4*1000)</f>
        <v>8.8964214540494813E-6</v>
      </c>
    </row>
    <row r="115" spans="41:41" x14ac:dyDescent="0.25">
      <c r="AO115" s="15"/>
    </row>
  </sheetData>
  <mergeCells count="25">
    <mergeCell ref="A1:BP1"/>
    <mergeCell ref="A2:BP2"/>
    <mergeCell ref="A3:BH3"/>
    <mergeCell ref="BN3:BP3"/>
    <mergeCell ref="A4:BH4"/>
    <mergeCell ref="BN4:BP4"/>
    <mergeCell ref="A11:M11"/>
    <mergeCell ref="A5:BH5"/>
    <mergeCell ref="BN5:BP5"/>
    <mergeCell ref="A6:BH6"/>
    <mergeCell ref="BN6:BP6"/>
    <mergeCell ref="BS9:BV9"/>
    <mergeCell ref="BS10:BV10"/>
    <mergeCell ref="BS7:BV7"/>
    <mergeCell ref="BS4:BV4"/>
    <mergeCell ref="BN7:BP7"/>
    <mergeCell ref="A8:BP8"/>
    <mergeCell ref="A9:M9"/>
    <mergeCell ref="A10:M10"/>
    <mergeCell ref="BS2:BW2"/>
    <mergeCell ref="BS8:BV8"/>
    <mergeCell ref="A7:BH7"/>
    <mergeCell ref="BS3:BV3"/>
    <mergeCell ref="BS5:BV5"/>
    <mergeCell ref="BS6:BV6"/>
  </mergeCells>
  <phoneticPr fontId="8" type="noConversion"/>
  <conditionalFormatting sqref="J15:J110">
    <cfRule type="cellIs" dxfId="72" priority="8" operator="greaterThan">
      <formula>0.03</formula>
    </cfRule>
    <cfRule type="cellIs" dxfId="71" priority="9" operator="greaterThan">
      <formula>"0.03"</formula>
    </cfRule>
    <cfRule type="cellIs" dxfId="70" priority="12" operator="greaterThan">
      <formula>"0.03"</formula>
    </cfRule>
  </conditionalFormatting>
  <conditionalFormatting sqref="N15:N11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5:Z110 AE15:AP110 AU15:BF110">
    <cfRule type="colorScale" priority="4">
      <colorScale>
        <cfvo type="num" val="0"/>
        <cfvo type="percentile" val="50"/>
        <cfvo type="max"/>
        <color theme="4" tint="0.79998168889431442"/>
        <color rgb="FFFFEB84"/>
        <color theme="5"/>
      </colorScale>
    </cfRule>
  </conditionalFormatting>
  <conditionalFormatting sqref="BK15:BK110">
    <cfRule type="cellIs" dxfId="69" priority="5" operator="greaterThan">
      <formula>0</formula>
    </cfRule>
  </conditionalFormatting>
  <conditionalFormatting sqref="BL15:BM66">
    <cfRule type="cellIs" dxfId="68" priority="6" operator="lessThan">
      <formula>24</formula>
    </cfRule>
  </conditionalFormatting>
  <pageMargins left="0.7" right="0.7" top="0.75" bottom="0.75" header="0.3" footer="0.3"/>
  <pageSetup paperSize="9" orientation="portrait" horizontalDpi="1200" verticalDpi="1200" r:id="rId1"/>
  <ignoredErrors>
    <ignoredError sqref="AD14:AD110" calculatedColumn="1"/>
  </ignoredError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2B3B-1CCA-42A9-9F31-581659846F94}">
  <dimension ref="A13:AU110"/>
  <sheetViews>
    <sheetView topLeftCell="U65" zoomScale="85" zoomScaleNormal="85" workbookViewId="0">
      <selection activeCell="G79" sqref="G79:N83"/>
    </sheetView>
  </sheetViews>
  <sheetFormatPr defaultColWidth="12.85546875" defaultRowHeight="15" x14ac:dyDescent="0.25"/>
  <sheetData>
    <row r="13" spans="1:47" ht="15.75" thickBot="1" x14ac:dyDescent="0.3"/>
    <row r="14" spans="1:47" s="3" customFormat="1" ht="69.75" customHeight="1" x14ac:dyDescent="0.25">
      <c r="A14" s="24" t="s">
        <v>13</v>
      </c>
      <c r="B14" s="23" t="s">
        <v>14</v>
      </c>
      <c r="C14" s="23" t="s">
        <v>112</v>
      </c>
      <c r="D14" s="23" t="s">
        <v>113</v>
      </c>
      <c r="E14" s="23" t="s">
        <v>114</v>
      </c>
      <c r="F14" s="23" t="s">
        <v>115</v>
      </c>
      <c r="G14" s="23" t="s">
        <v>116</v>
      </c>
      <c r="H14" s="23" t="s">
        <v>117</v>
      </c>
      <c r="I14" s="23" t="s">
        <v>118</v>
      </c>
      <c r="J14" s="23" t="s">
        <v>119</v>
      </c>
      <c r="K14" s="23" t="s">
        <v>120</v>
      </c>
      <c r="L14" s="23" t="s">
        <v>121</v>
      </c>
      <c r="M14" s="23" t="s">
        <v>122</v>
      </c>
      <c r="N14" s="34" t="s">
        <v>123</v>
      </c>
      <c r="O14" s="37" t="s">
        <v>136</v>
      </c>
      <c r="P14" s="38" t="s">
        <v>137</v>
      </c>
      <c r="Q14" s="39" t="s">
        <v>138</v>
      </c>
      <c r="R14" s="24" t="s">
        <v>124</v>
      </c>
      <c r="S14" s="23" t="s">
        <v>125</v>
      </c>
      <c r="T14" s="23" t="s">
        <v>126</v>
      </c>
      <c r="U14" s="23" t="s">
        <v>127</v>
      </c>
      <c r="V14" s="23" t="s">
        <v>128</v>
      </c>
      <c r="W14" s="23" t="s">
        <v>129</v>
      </c>
      <c r="X14" s="23" t="s">
        <v>130</v>
      </c>
      <c r="Y14" s="23" t="s">
        <v>131</v>
      </c>
      <c r="Z14" s="23" t="s">
        <v>132</v>
      </c>
      <c r="AA14" s="23" t="s">
        <v>133</v>
      </c>
      <c r="AB14" s="23" t="s">
        <v>134</v>
      </c>
      <c r="AC14" s="34" t="s">
        <v>135</v>
      </c>
      <c r="AD14" s="37" t="s">
        <v>139</v>
      </c>
      <c r="AE14" s="38" t="s">
        <v>140</v>
      </c>
      <c r="AF14" s="39" t="s">
        <v>142</v>
      </c>
      <c r="AG14" s="24" t="s">
        <v>143</v>
      </c>
      <c r="AH14" s="23" t="s">
        <v>144</v>
      </c>
      <c r="AI14" s="23" t="s">
        <v>145</v>
      </c>
      <c r="AJ14" s="23" t="s">
        <v>146</v>
      </c>
      <c r="AK14" s="23" t="s">
        <v>147</v>
      </c>
      <c r="AL14" s="23" t="s">
        <v>148</v>
      </c>
      <c r="AM14" s="23" t="s">
        <v>149</v>
      </c>
      <c r="AN14" s="23" t="s">
        <v>150</v>
      </c>
      <c r="AO14" s="23" t="s">
        <v>151</v>
      </c>
      <c r="AP14" s="23" t="s">
        <v>152</v>
      </c>
      <c r="AQ14" s="23" t="s">
        <v>153</v>
      </c>
      <c r="AR14" s="34" t="s">
        <v>154</v>
      </c>
      <c r="AS14" s="37" t="s">
        <v>155</v>
      </c>
      <c r="AT14" s="38" t="s">
        <v>156</v>
      </c>
      <c r="AU14" s="39" t="s">
        <v>141</v>
      </c>
    </row>
    <row r="15" spans="1:47" x14ac:dyDescent="0.25">
      <c r="A15" s="65">
        <v>46147</v>
      </c>
      <c r="B15" s="66" t="s">
        <v>15</v>
      </c>
      <c r="C15" s="67">
        <v>0</v>
      </c>
      <c r="D15" s="67">
        <v>0</v>
      </c>
      <c r="E15" s="67">
        <v>0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8">
        <v>0</v>
      </c>
      <c r="O15" s="69">
        <f>IFERROR(AVERAGEIF(Tabella01MarzoInverter[[#This Row],[Active power TX1-INV-1]:[Active power TX1-INV-12]], "&gt;0"), 0)</f>
        <v>0</v>
      </c>
      <c r="P15" s="67">
        <f>MAX(Tabella01MarzoInverter[[#This Row],[Active power TX1-INV-1]:[Active power TX1-INV-12]])</f>
        <v>0</v>
      </c>
      <c r="Q15" s="70">
        <f>MIN(Tabella01MarzoInverter[[#This Row],[Active power TX1-INV-1]:[Active power TX1-INV-12]])</f>
        <v>0</v>
      </c>
      <c r="R15" s="71">
        <v>0</v>
      </c>
      <c r="S15" s="67">
        <v>0</v>
      </c>
      <c r="T15" s="67">
        <v>0</v>
      </c>
      <c r="U15" s="67">
        <v>0</v>
      </c>
      <c r="V15" s="67">
        <v>0</v>
      </c>
      <c r="W15" s="67">
        <v>0</v>
      </c>
      <c r="X15" s="67">
        <v>0</v>
      </c>
      <c r="Y15" s="67">
        <v>0</v>
      </c>
      <c r="Z15" s="67">
        <v>0</v>
      </c>
      <c r="AA15" s="67">
        <v>0</v>
      </c>
      <c r="AB15" s="67">
        <v>0</v>
      </c>
      <c r="AC15" s="68">
        <v>0</v>
      </c>
      <c r="AD15" s="69">
        <f>IFERROR(AVERAGEIF(Tabella01MarzoInverter[[#This Row],[Active power TX2-INV-1]:[Active power TX2-INV-12]], "&gt;0"), 0)</f>
        <v>0</v>
      </c>
      <c r="AE15" s="67">
        <f>MAX(Tabella01MarzoInverter[[#This Row],[Active power TX2-INV-1]:[Active power TX2-INV-12]])</f>
        <v>0</v>
      </c>
      <c r="AF15" s="70">
        <f>MIN(Tabella01MarzoInverter[[#This Row],[Active power TX2-INV-1]:[Active power TX2-INV-12]])</f>
        <v>0</v>
      </c>
      <c r="AG15" s="71">
        <v>0</v>
      </c>
      <c r="AH15" s="67">
        <v>0</v>
      </c>
      <c r="AI15" s="67">
        <v>0</v>
      </c>
      <c r="AJ15" s="67">
        <v>0</v>
      </c>
      <c r="AK15" s="67">
        <v>0</v>
      </c>
      <c r="AL15" s="67">
        <v>0</v>
      </c>
      <c r="AM15" s="67">
        <v>0</v>
      </c>
      <c r="AN15" s="67">
        <v>0</v>
      </c>
      <c r="AO15" s="67">
        <v>0</v>
      </c>
      <c r="AP15" s="67">
        <v>0</v>
      </c>
      <c r="AQ15" s="67">
        <v>0</v>
      </c>
      <c r="AR15" s="68">
        <v>0</v>
      </c>
      <c r="AS15" s="69">
        <f>IFERROR(AVERAGEIF(Tabella01MarzoInverter[[#This Row],[Active power TX3-INV-1]:[Active power TX3-INV-12]], "&gt;0"), 0)</f>
        <v>0</v>
      </c>
      <c r="AT15" s="67">
        <f>MAX(Tabella01MarzoInverter[[#This Row],[Active power TX3-INV-1]:[Active power TX3-INV-12]])</f>
        <v>0</v>
      </c>
      <c r="AU15" s="70">
        <f>MIN(Tabella01MarzoInverter[[#This Row],[Active power TX3-INV-1]:[Active power TX3-INV-12]])</f>
        <v>0</v>
      </c>
    </row>
    <row r="16" spans="1:47" x14ac:dyDescent="0.25">
      <c r="A16" s="65">
        <v>46147</v>
      </c>
      <c r="B16" s="72" t="s">
        <v>16</v>
      </c>
      <c r="C16" s="67">
        <v>0</v>
      </c>
      <c r="D16" s="67">
        <v>0</v>
      </c>
      <c r="E16" s="67">
        <v>0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8">
        <v>0</v>
      </c>
      <c r="O16" s="69">
        <f>IFERROR(AVERAGEIF(Tabella01MarzoInverter[[#This Row],[Active power TX1-INV-1]:[Active power TX1-INV-12]], "&gt;0"), 0)</f>
        <v>0</v>
      </c>
      <c r="P16" s="67">
        <f>MAX(Tabella01MarzoInverter[[#This Row],[Active power TX1-INV-1]:[Active power TX1-INV-12]])</f>
        <v>0</v>
      </c>
      <c r="Q16" s="70">
        <f>MIN(Tabella01MarzoInverter[[#This Row],[Active power TX1-INV-1]:[Active power TX1-INV-12]])</f>
        <v>0</v>
      </c>
      <c r="R16" s="71">
        <v>0</v>
      </c>
      <c r="S16" s="67">
        <v>0</v>
      </c>
      <c r="T16" s="67">
        <v>0</v>
      </c>
      <c r="U16" s="67">
        <v>0</v>
      </c>
      <c r="V16" s="67">
        <v>0</v>
      </c>
      <c r="W16" s="67">
        <v>0</v>
      </c>
      <c r="X16" s="67">
        <v>0</v>
      </c>
      <c r="Y16" s="67">
        <v>0</v>
      </c>
      <c r="Z16" s="67">
        <v>0</v>
      </c>
      <c r="AA16" s="67">
        <v>0</v>
      </c>
      <c r="AB16" s="67">
        <v>0</v>
      </c>
      <c r="AC16" s="68">
        <v>0</v>
      </c>
      <c r="AD16" s="69">
        <f>IFERROR(AVERAGEIF(Tabella01MarzoInverter[[#This Row],[Active power TX2-INV-1]:[Active power TX2-INV-12]], "&gt;0"), 0)</f>
        <v>0</v>
      </c>
      <c r="AE16" s="67">
        <f>MAX(Tabella01MarzoInverter[[#This Row],[Active power TX2-INV-1]:[Active power TX2-INV-12]])</f>
        <v>0</v>
      </c>
      <c r="AF16" s="70">
        <f>MIN(Tabella01MarzoInverter[[#This Row],[Active power TX2-INV-1]:[Active power TX2-INV-12]])</f>
        <v>0</v>
      </c>
      <c r="AG16" s="71">
        <v>0</v>
      </c>
      <c r="AH16" s="67">
        <v>0</v>
      </c>
      <c r="AI16" s="67">
        <v>0</v>
      </c>
      <c r="AJ16" s="67">
        <v>0</v>
      </c>
      <c r="AK16" s="67">
        <v>0</v>
      </c>
      <c r="AL16" s="67">
        <v>0</v>
      </c>
      <c r="AM16" s="67">
        <v>0</v>
      </c>
      <c r="AN16" s="67">
        <v>0</v>
      </c>
      <c r="AO16" s="67">
        <v>0</v>
      </c>
      <c r="AP16" s="67">
        <v>0</v>
      </c>
      <c r="AQ16" s="67">
        <v>0</v>
      </c>
      <c r="AR16" s="68">
        <v>0</v>
      </c>
      <c r="AS16" s="69">
        <f>IFERROR(AVERAGEIF(Tabella01MarzoInverter[[#This Row],[Active power TX3-INV-1]:[Active power TX3-INV-12]], "&gt;0"), 0)</f>
        <v>0</v>
      </c>
      <c r="AT16" s="67">
        <f>MAX(Tabella01MarzoInverter[[#This Row],[Active power TX3-INV-1]:[Active power TX3-INV-12]])</f>
        <v>0</v>
      </c>
      <c r="AU16" s="70">
        <f>MIN(Tabella01MarzoInverter[[#This Row],[Active power TX3-INV-1]:[Active power TX3-INV-12]])</f>
        <v>0</v>
      </c>
    </row>
    <row r="17" spans="1:47" x14ac:dyDescent="0.25">
      <c r="A17" s="65">
        <v>46147</v>
      </c>
      <c r="B17" s="66" t="s">
        <v>17</v>
      </c>
      <c r="C17" s="67">
        <v>0</v>
      </c>
      <c r="D17" s="67">
        <v>0</v>
      </c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8">
        <v>0</v>
      </c>
      <c r="O17" s="69">
        <f>IFERROR(AVERAGEIF(Tabella01MarzoInverter[[#This Row],[Active power TX1-INV-1]:[Active power TX1-INV-12]], "&gt;0"), 0)</f>
        <v>0</v>
      </c>
      <c r="P17" s="67">
        <f>MAX(Tabella01MarzoInverter[[#This Row],[Active power TX1-INV-1]:[Active power TX1-INV-12]])</f>
        <v>0</v>
      </c>
      <c r="Q17" s="70">
        <f>MIN(Tabella01MarzoInverter[[#This Row],[Active power TX1-INV-1]:[Active power TX1-INV-12]])</f>
        <v>0</v>
      </c>
      <c r="R17" s="71">
        <v>0</v>
      </c>
      <c r="S17" s="67">
        <v>0</v>
      </c>
      <c r="T17" s="67">
        <v>0</v>
      </c>
      <c r="U17" s="67">
        <v>0</v>
      </c>
      <c r="V17" s="67">
        <v>0</v>
      </c>
      <c r="W17" s="67">
        <v>0</v>
      </c>
      <c r="X17" s="67">
        <v>0</v>
      </c>
      <c r="Y17" s="67">
        <v>0</v>
      </c>
      <c r="Z17" s="67">
        <v>0</v>
      </c>
      <c r="AA17" s="67">
        <v>0</v>
      </c>
      <c r="AB17" s="67">
        <v>0</v>
      </c>
      <c r="AC17" s="68">
        <v>0</v>
      </c>
      <c r="AD17" s="69">
        <f>IFERROR(AVERAGEIF(Tabella01MarzoInverter[[#This Row],[Active power TX2-INV-1]:[Active power TX2-INV-12]], "&gt;0"), 0)</f>
        <v>0</v>
      </c>
      <c r="AE17" s="67">
        <f>MAX(Tabella01MarzoInverter[[#This Row],[Active power TX2-INV-1]:[Active power TX2-INV-12]])</f>
        <v>0</v>
      </c>
      <c r="AF17" s="70">
        <f>MIN(Tabella01MarzoInverter[[#This Row],[Active power TX2-INV-1]:[Active power TX2-INV-12]])</f>
        <v>0</v>
      </c>
      <c r="AG17" s="71">
        <v>0</v>
      </c>
      <c r="AH17" s="67">
        <v>0</v>
      </c>
      <c r="AI17" s="67">
        <v>0</v>
      </c>
      <c r="AJ17" s="67">
        <v>0</v>
      </c>
      <c r="AK17" s="67">
        <v>0</v>
      </c>
      <c r="AL17" s="67">
        <v>0</v>
      </c>
      <c r="AM17" s="67">
        <v>0</v>
      </c>
      <c r="AN17" s="67">
        <v>0</v>
      </c>
      <c r="AO17" s="67">
        <v>0</v>
      </c>
      <c r="AP17" s="67">
        <v>0</v>
      </c>
      <c r="AQ17" s="67">
        <v>0</v>
      </c>
      <c r="AR17" s="68">
        <v>0</v>
      </c>
      <c r="AS17" s="69">
        <f>IFERROR(AVERAGEIF(Tabella01MarzoInverter[[#This Row],[Active power TX3-INV-1]:[Active power TX3-INV-12]], "&gt;0"), 0)</f>
        <v>0</v>
      </c>
      <c r="AT17" s="67">
        <f>MAX(Tabella01MarzoInverter[[#This Row],[Active power TX3-INV-1]:[Active power TX3-INV-12]])</f>
        <v>0</v>
      </c>
      <c r="AU17" s="70">
        <f>MIN(Tabella01MarzoInverter[[#This Row],[Active power TX3-INV-1]:[Active power TX3-INV-12]])</f>
        <v>0</v>
      </c>
    </row>
    <row r="18" spans="1:47" x14ac:dyDescent="0.25">
      <c r="A18" s="65">
        <v>46147</v>
      </c>
      <c r="B18" s="72" t="s">
        <v>18</v>
      </c>
      <c r="C18" s="67">
        <v>0</v>
      </c>
      <c r="D18" s="67">
        <v>0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8">
        <v>0</v>
      </c>
      <c r="O18" s="69">
        <f>IFERROR(AVERAGEIF(Tabella01MarzoInverter[[#This Row],[Active power TX1-INV-1]:[Active power TX1-INV-12]], "&gt;0"), 0)</f>
        <v>0</v>
      </c>
      <c r="P18" s="67">
        <f>MAX(Tabella01MarzoInverter[[#This Row],[Active power TX1-INV-1]:[Active power TX1-INV-12]])</f>
        <v>0</v>
      </c>
      <c r="Q18" s="70">
        <f>MIN(Tabella01MarzoInverter[[#This Row],[Active power TX1-INV-1]:[Active power TX1-INV-12]])</f>
        <v>0</v>
      </c>
      <c r="R18" s="71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  <c r="Z18" s="67">
        <v>0</v>
      </c>
      <c r="AA18" s="67">
        <v>0</v>
      </c>
      <c r="AB18" s="67">
        <v>0</v>
      </c>
      <c r="AC18" s="68">
        <v>0</v>
      </c>
      <c r="AD18" s="69">
        <f>IFERROR(AVERAGEIF(Tabella01MarzoInverter[[#This Row],[Active power TX2-INV-1]:[Active power TX2-INV-12]], "&gt;0"), 0)</f>
        <v>0</v>
      </c>
      <c r="AE18" s="67">
        <f>MAX(Tabella01MarzoInverter[[#This Row],[Active power TX2-INV-1]:[Active power TX2-INV-12]])</f>
        <v>0</v>
      </c>
      <c r="AF18" s="70">
        <f>MIN(Tabella01MarzoInverter[[#This Row],[Active power TX2-INV-1]:[Active power TX2-INV-12]])</f>
        <v>0</v>
      </c>
      <c r="AG18" s="71">
        <v>0</v>
      </c>
      <c r="AH18" s="67">
        <v>0</v>
      </c>
      <c r="AI18" s="67">
        <v>0</v>
      </c>
      <c r="AJ18" s="67">
        <v>0</v>
      </c>
      <c r="AK18" s="67">
        <v>0</v>
      </c>
      <c r="AL18" s="67">
        <v>0</v>
      </c>
      <c r="AM18" s="67">
        <v>0</v>
      </c>
      <c r="AN18" s="67">
        <v>0</v>
      </c>
      <c r="AO18" s="67">
        <v>0</v>
      </c>
      <c r="AP18" s="67">
        <v>0</v>
      </c>
      <c r="AQ18" s="67">
        <v>0</v>
      </c>
      <c r="AR18" s="68">
        <v>0</v>
      </c>
      <c r="AS18" s="69">
        <f>IFERROR(AVERAGEIF(Tabella01MarzoInverter[[#This Row],[Active power TX3-INV-1]:[Active power TX3-INV-12]], "&gt;0"), 0)</f>
        <v>0</v>
      </c>
      <c r="AT18" s="67">
        <f>MAX(Tabella01MarzoInverter[[#This Row],[Active power TX3-INV-1]:[Active power TX3-INV-12]])</f>
        <v>0</v>
      </c>
      <c r="AU18" s="70">
        <f>MIN(Tabella01MarzoInverter[[#This Row],[Active power TX3-INV-1]:[Active power TX3-INV-12]])</f>
        <v>0</v>
      </c>
    </row>
    <row r="19" spans="1:47" x14ac:dyDescent="0.25">
      <c r="A19" s="65">
        <v>46147</v>
      </c>
      <c r="B19" s="66" t="s">
        <v>19</v>
      </c>
      <c r="C19" s="67">
        <v>0</v>
      </c>
      <c r="D19" s="67">
        <v>0</v>
      </c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8">
        <v>0</v>
      </c>
      <c r="O19" s="69">
        <f>IFERROR(AVERAGEIF(Tabella01MarzoInverter[[#This Row],[Active power TX1-INV-1]:[Active power TX1-INV-12]], "&gt;0"), 0)</f>
        <v>0</v>
      </c>
      <c r="P19" s="67">
        <f>MAX(Tabella01MarzoInverter[[#This Row],[Active power TX1-INV-1]:[Active power TX1-INV-12]])</f>
        <v>0</v>
      </c>
      <c r="Q19" s="70">
        <f>MIN(Tabella01MarzoInverter[[#This Row],[Active power TX1-INV-1]:[Active power TX1-INV-12]])</f>
        <v>0</v>
      </c>
      <c r="R19" s="71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7">
        <v>0</v>
      </c>
      <c r="Z19" s="67">
        <v>0</v>
      </c>
      <c r="AA19" s="67">
        <v>0</v>
      </c>
      <c r="AB19" s="67">
        <v>0</v>
      </c>
      <c r="AC19" s="68">
        <v>0</v>
      </c>
      <c r="AD19" s="69">
        <f>IFERROR(AVERAGEIF(Tabella01MarzoInverter[[#This Row],[Active power TX2-INV-1]:[Active power TX2-INV-12]], "&gt;0"), 0)</f>
        <v>0</v>
      </c>
      <c r="AE19" s="67">
        <f>MAX(Tabella01MarzoInverter[[#This Row],[Active power TX2-INV-1]:[Active power TX2-INV-12]])</f>
        <v>0</v>
      </c>
      <c r="AF19" s="70">
        <f>MIN(Tabella01MarzoInverter[[#This Row],[Active power TX2-INV-1]:[Active power TX2-INV-12]])</f>
        <v>0</v>
      </c>
      <c r="AG19" s="71">
        <v>0</v>
      </c>
      <c r="AH19" s="67">
        <v>0</v>
      </c>
      <c r="AI19" s="67">
        <v>0</v>
      </c>
      <c r="AJ19" s="67">
        <v>0</v>
      </c>
      <c r="AK19" s="67">
        <v>0</v>
      </c>
      <c r="AL19" s="67">
        <v>0</v>
      </c>
      <c r="AM19" s="67">
        <v>0</v>
      </c>
      <c r="AN19" s="67">
        <v>0</v>
      </c>
      <c r="AO19" s="67">
        <v>0</v>
      </c>
      <c r="AP19" s="67">
        <v>0</v>
      </c>
      <c r="AQ19" s="67">
        <v>0</v>
      </c>
      <c r="AR19" s="68">
        <v>0</v>
      </c>
      <c r="AS19" s="69">
        <f>IFERROR(AVERAGEIF(Tabella01MarzoInverter[[#This Row],[Active power TX3-INV-1]:[Active power TX3-INV-12]], "&gt;0"), 0)</f>
        <v>0</v>
      </c>
      <c r="AT19" s="67">
        <f>MAX(Tabella01MarzoInverter[[#This Row],[Active power TX3-INV-1]:[Active power TX3-INV-12]])</f>
        <v>0</v>
      </c>
      <c r="AU19" s="70">
        <f>MIN(Tabella01MarzoInverter[[#This Row],[Active power TX3-INV-1]:[Active power TX3-INV-12]])</f>
        <v>0</v>
      </c>
    </row>
    <row r="20" spans="1:47" x14ac:dyDescent="0.25">
      <c r="A20" s="65">
        <v>46147</v>
      </c>
      <c r="B20" s="72" t="s">
        <v>20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8">
        <v>0</v>
      </c>
      <c r="O20" s="69">
        <f>IFERROR(AVERAGEIF(Tabella01MarzoInverter[[#This Row],[Active power TX1-INV-1]:[Active power TX1-INV-12]], "&gt;0"), 0)</f>
        <v>0</v>
      </c>
      <c r="P20" s="67">
        <f>MAX(Tabella01MarzoInverter[[#This Row],[Active power TX1-INV-1]:[Active power TX1-INV-12]])</f>
        <v>0</v>
      </c>
      <c r="Q20" s="70">
        <f>MIN(Tabella01MarzoInverter[[#This Row],[Active power TX1-INV-1]:[Active power TX1-INV-12]])</f>
        <v>0</v>
      </c>
      <c r="R20" s="71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8">
        <v>0</v>
      </c>
      <c r="AD20" s="69">
        <f>IFERROR(AVERAGEIF(Tabella01MarzoInverter[[#This Row],[Active power TX2-INV-1]:[Active power TX2-INV-12]], "&gt;0"), 0)</f>
        <v>0</v>
      </c>
      <c r="AE20" s="67">
        <f>MAX(Tabella01MarzoInverter[[#This Row],[Active power TX2-INV-1]:[Active power TX2-INV-12]])</f>
        <v>0</v>
      </c>
      <c r="AF20" s="70">
        <f>MIN(Tabella01MarzoInverter[[#This Row],[Active power TX2-INV-1]:[Active power TX2-INV-12]])</f>
        <v>0</v>
      </c>
      <c r="AG20" s="71">
        <v>0</v>
      </c>
      <c r="AH20" s="67">
        <v>0</v>
      </c>
      <c r="AI20" s="67">
        <v>0</v>
      </c>
      <c r="AJ20" s="67">
        <v>0</v>
      </c>
      <c r="AK20" s="67">
        <v>0</v>
      </c>
      <c r="AL20" s="67">
        <v>0</v>
      </c>
      <c r="AM20" s="67">
        <v>0</v>
      </c>
      <c r="AN20" s="67">
        <v>0</v>
      </c>
      <c r="AO20" s="67">
        <v>0</v>
      </c>
      <c r="AP20" s="67">
        <v>0</v>
      </c>
      <c r="AQ20" s="67">
        <v>0</v>
      </c>
      <c r="AR20" s="68">
        <v>0</v>
      </c>
      <c r="AS20" s="69">
        <f>IFERROR(AVERAGEIF(Tabella01MarzoInverter[[#This Row],[Active power TX3-INV-1]:[Active power TX3-INV-12]], "&gt;0"), 0)</f>
        <v>0</v>
      </c>
      <c r="AT20" s="67">
        <f>MAX(Tabella01MarzoInverter[[#This Row],[Active power TX3-INV-1]:[Active power TX3-INV-12]])</f>
        <v>0</v>
      </c>
      <c r="AU20" s="70">
        <f>MIN(Tabella01MarzoInverter[[#This Row],[Active power TX3-INV-1]:[Active power TX3-INV-12]])</f>
        <v>0</v>
      </c>
    </row>
    <row r="21" spans="1:47" x14ac:dyDescent="0.25">
      <c r="A21" s="65">
        <v>46147</v>
      </c>
      <c r="B21" s="66" t="s">
        <v>21</v>
      </c>
      <c r="C21" s="67">
        <v>0</v>
      </c>
      <c r="D21" s="67">
        <v>0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8">
        <v>0</v>
      </c>
      <c r="O21" s="69">
        <f>IFERROR(AVERAGEIF(Tabella01MarzoInverter[[#This Row],[Active power TX1-INV-1]:[Active power TX1-INV-12]], "&gt;0"), 0)</f>
        <v>0</v>
      </c>
      <c r="P21" s="67">
        <f>MAX(Tabella01MarzoInverter[[#This Row],[Active power TX1-INV-1]:[Active power TX1-INV-12]])</f>
        <v>0</v>
      </c>
      <c r="Q21" s="70">
        <f>MIN(Tabella01MarzoInverter[[#This Row],[Active power TX1-INV-1]:[Active power TX1-INV-12]])</f>
        <v>0</v>
      </c>
      <c r="R21" s="71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8">
        <v>0</v>
      </c>
      <c r="AD21" s="69">
        <f>IFERROR(AVERAGEIF(Tabella01MarzoInverter[[#This Row],[Active power TX2-INV-1]:[Active power TX2-INV-12]], "&gt;0"), 0)</f>
        <v>0</v>
      </c>
      <c r="AE21" s="67">
        <f>MAX(Tabella01MarzoInverter[[#This Row],[Active power TX2-INV-1]:[Active power TX2-INV-12]])</f>
        <v>0</v>
      </c>
      <c r="AF21" s="70">
        <f>MIN(Tabella01MarzoInverter[[#This Row],[Active power TX2-INV-1]:[Active power TX2-INV-12]])</f>
        <v>0</v>
      </c>
      <c r="AG21" s="71">
        <v>0</v>
      </c>
      <c r="AH21" s="67">
        <v>0</v>
      </c>
      <c r="AI21" s="67">
        <v>0</v>
      </c>
      <c r="AJ21" s="67">
        <v>0</v>
      </c>
      <c r="AK21" s="67">
        <v>0</v>
      </c>
      <c r="AL21" s="67">
        <v>0</v>
      </c>
      <c r="AM21" s="67">
        <v>0</v>
      </c>
      <c r="AN21" s="67">
        <v>0</v>
      </c>
      <c r="AO21" s="67">
        <v>0</v>
      </c>
      <c r="AP21" s="67">
        <v>0</v>
      </c>
      <c r="AQ21" s="67">
        <v>0</v>
      </c>
      <c r="AR21" s="68">
        <v>0</v>
      </c>
      <c r="AS21" s="69">
        <f>IFERROR(AVERAGEIF(Tabella01MarzoInverter[[#This Row],[Active power TX3-INV-1]:[Active power TX3-INV-12]], "&gt;0"), 0)</f>
        <v>0</v>
      </c>
      <c r="AT21" s="67">
        <f>MAX(Tabella01MarzoInverter[[#This Row],[Active power TX3-INV-1]:[Active power TX3-INV-12]])</f>
        <v>0</v>
      </c>
      <c r="AU21" s="70">
        <f>MIN(Tabella01MarzoInverter[[#This Row],[Active power TX3-INV-1]:[Active power TX3-INV-12]])</f>
        <v>0</v>
      </c>
    </row>
    <row r="22" spans="1:47" x14ac:dyDescent="0.25">
      <c r="A22" s="65">
        <v>46147</v>
      </c>
      <c r="B22" s="72" t="s">
        <v>22</v>
      </c>
      <c r="C22" s="67">
        <v>0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8">
        <v>0</v>
      </c>
      <c r="O22" s="69">
        <f>IFERROR(AVERAGEIF(Tabella01MarzoInverter[[#This Row],[Active power TX1-INV-1]:[Active power TX1-INV-12]], "&gt;0"), 0)</f>
        <v>0</v>
      </c>
      <c r="P22" s="67">
        <f>MAX(Tabella01MarzoInverter[[#This Row],[Active power TX1-INV-1]:[Active power TX1-INV-12]])</f>
        <v>0</v>
      </c>
      <c r="Q22" s="70">
        <f>MIN(Tabella01MarzoInverter[[#This Row],[Active power TX1-INV-1]:[Active power TX1-INV-12]])</f>
        <v>0</v>
      </c>
      <c r="R22" s="71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8">
        <v>0</v>
      </c>
      <c r="AD22" s="69">
        <f>IFERROR(AVERAGEIF(Tabella01MarzoInverter[[#This Row],[Active power TX2-INV-1]:[Active power TX2-INV-12]], "&gt;0"), 0)</f>
        <v>0</v>
      </c>
      <c r="AE22" s="67">
        <f>MAX(Tabella01MarzoInverter[[#This Row],[Active power TX2-INV-1]:[Active power TX2-INV-12]])</f>
        <v>0</v>
      </c>
      <c r="AF22" s="70">
        <f>MIN(Tabella01MarzoInverter[[#This Row],[Active power TX2-INV-1]:[Active power TX2-INV-12]])</f>
        <v>0</v>
      </c>
      <c r="AG22" s="71">
        <v>0</v>
      </c>
      <c r="AH22" s="67">
        <v>0</v>
      </c>
      <c r="AI22" s="67">
        <v>0</v>
      </c>
      <c r="AJ22" s="67">
        <v>0</v>
      </c>
      <c r="AK22" s="67">
        <v>0</v>
      </c>
      <c r="AL22" s="67">
        <v>0</v>
      </c>
      <c r="AM22" s="67">
        <v>0</v>
      </c>
      <c r="AN22" s="67">
        <v>0</v>
      </c>
      <c r="AO22" s="67">
        <v>0</v>
      </c>
      <c r="AP22" s="67">
        <v>0</v>
      </c>
      <c r="AQ22" s="67">
        <v>0</v>
      </c>
      <c r="AR22" s="68">
        <v>0</v>
      </c>
      <c r="AS22" s="69">
        <f>IFERROR(AVERAGEIF(Tabella01MarzoInverter[[#This Row],[Active power TX3-INV-1]:[Active power TX3-INV-12]], "&gt;0"), 0)</f>
        <v>0</v>
      </c>
      <c r="AT22" s="67">
        <f>MAX(Tabella01MarzoInverter[[#This Row],[Active power TX3-INV-1]:[Active power TX3-INV-12]])</f>
        <v>0</v>
      </c>
      <c r="AU22" s="70">
        <f>MIN(Tabella01MarzoInverter[[#This Row],[Active power TX3-INV-1]:[Active power TX3-INV-12]])</f>
        <v>0</v>
      </c>
    </row>
    <row r="23" spans="1:47" x14ac:dyDescent="0.25">
      <c r="A23" s="65">
        <v>46147</v>
      </c>
      <c r="B23" s="66" t="s">
        <v>23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8">
        <v>0</v>
      </c>
      <c r="O23" s="69">
        <f>IFERROR(AVERAGEIF(Tabella01MarzoInverter[[#This Row],[Active power TX1-INV-1]:[Active power TX1-INV-12]], "&gt;0"), 0)</f>
        <v>0</v>
      </c>
      <c r="P23" s="67">
        <f>MAX(Tabella01MarzoInverter[[#This Row],[Active power TX1-INV-1]:[Active power TX1-INV-12]])</f>
        <v>0</v>
      </c>
      <c r="Q23" s="70">
        <f>MIN(Tabella01MarzoInverter[[#This Row],[Active power TX1-INV-1]:[Active power TX1-INV-12]])</f>
        <v>0</v>
      </c>
      <c r="R23" s="71">
        <v>0</v>
      </c>
      <c r="S23" s="67">
        <v>0</v>
      </c>
      <c r="T23" s="67">
        <v>0</v>
      </c>
      <c r="U23" s="67">
        <v>0</v>
      </c>
      <c r="V23" s="67">
        <v>0</v>
      </c>
      <c r="W23" s="67">
        <v>0</v>
      </c>
      <c r="X23" s="67">
        <v>0</v>
      </c>
      <c r="Y23" s="67">
        <v>0</v>
      </c>
      <c r="Z23" s="67">
        <v>0</v>
      </c>
      <c r="AA23" s="67">
        <v>0</v>
      </c>
      <c r="AB23" s="67">
        <v>0</v>
      </c>
      <c r="AC23" s="68">
        <v>0</v>
      </c>
      <c r="AD23" s="69">
        <f>IFERROR(AVERAGEIF(Tabella01MarzoInverter[[#This Row],[Active power TX2-INV-1]:[Active power TX2-INV-12]], "&gt;0"), 0)</f>
        <v>0</v>
      </c>
      <c r="AE23" s="67">
        <f>MAX(Tabella01MarzoInverter[[#This Row],[Active power TX2-INV-1]:[Active power TX2-INV-12]])</f>
        <v>0</v>
      </c>
      <c r="AF23" s="70">
        <f>MIN(Tabella01MarzoInverter[[#This Row],[Active power TX2-INV-1]:[Active power TX2-INV-12]])</f>
        <v>0</v>
      </c>
      <c r="AG23" s="71">
        <v>0</v>
      </c>
      <c r="AH23" s="67">
        <v>0</v>
      </c>
      <c r="AI23" s="67">
        <v>0</v>
      </c>
      <c r="AJ23" s="67">
        <v>0</v>
      </c>
      <c r="AK23" s="67">
        <v>0</v>
      </c>
      <c r="AL23" s="67">
        <v>0</v>
      </c>
      <c r="AM23" s="67">
        <v>0</v>
      </c>
      <c r="AN23" s="67">
        <v>0</v>
      </c>
      <c r="AO23" s="67">
        <v>0</v>
      </c>
      <c r="AP23" s="67">
        <v>0</v>
      </c>
      <c r="AQ23" s="67">
        <v>0</v>
      </c>
      <c r="AR23" s="68">
        <v>0</v>
      </c>
      <c r="AS23" s="69">
        <f>IFERROR(AVERAGEIF(Tabella01MarzoInverter[[#This Row],[Active power TX3-INV-1]:[Active power TX3-INV-12]], "&gt;0"), 0)</f>
        <v>0</v>
      </c>
      <c r="AT23" s="67">
        <f>MAX(Tabella01MarzoInverter[[#This Row],[Active power TX3-INV-1]:[Active power TX3-INV-12]])</f>
        <v>0</v>
      </c>
      <c r="AU23" s="70">
        <f>MIN(Tabella01MarzoInverter[[#This Row],[Active power TX3-INV-1]:[Active power TX3-INV-12]])</f>
        <v>0</v>
      </c>
    </row>
    <row r="24" spans="1:47" x14ac:dyDescent="0.25">
      <c r="A24" s="65">
        <v>46147</v>
      </c>
      <c r="B24" s="72" t="s">
        <v>24</v>
      </c>
      <c r="C24" s="67">
        <v>0</v>
      </c>
      <c r="D24" s="67">
        <v>0</v>
      </c>
      <c r="E24" s="67">
        <v>0</v>
      </c>
      <c r="F24" s="67">
        <v>0</v>
      </c>
      <c r="G24" s="67">
        <v>0</v>
      </c>
      <c r="H24" s="67">
        <v>0</v>
      </c>
      <c r="I24" s="67">
        <v>0</v>
      </c>
      <c r="J24" s="67">
        <v>0</v>
      </c>
      <c r="K24" s="67">
        <v>0</v>
      </c>
      <c r="L24" s="67">
        <v>0</v>
      </c>
      <c r="M24" s="67">
        <v>0</v>
      </c>
      <c r="N24" s="68">
        <v>0</v>
      </c>
      <c r="O24" s="69">
        <f>IFERROR(AVERAGEIF(Tabella01MarzoInverter[[#This Row],[Active power TX1-INV-1]:[Active power TX1-INV-12]], "&gt;0"), 0)</f>
        <v>0</v>
      </c>
      <c r="P24" s="67">
        <f>MAX(Tabella01MarzoInverter[[#This Row],[Active power TX1-INV-1]:[Active power TX1-INV-12]])</f>
        <v>0</v>
      </c>
      <c r="Q24" s="70">
        <f>MIN(Tabella01MarzoInverter[[#This Row],[Active power TX1-INV-1]:[Active power TX1-INV-12]])</f>
        <v>0</v>
      </c>
      <c r="R24" s="71">
        <v>0</v>
      </c>
      <c r="S24" s="67">
        <v>0</v>
      </c>
      <c r="T24" s="67">
        <v>0</v>
      </c>
      <c r="U24" s="67">
        <v>0</v>
      </c>
      <c r="V24" s="67">
        <v>0</v>
      </c>
      <c r="W24" s="67">
        <v>0</v>
      </c>
      <c r="X24" s="67">
        <v>0</v>
      </c>
      <c r="Y24" s="67">
        <v>0</v>
      </c>
      <c r="Z24" s="67">
        <v>0</v>
      </c>
      <c r="AA24" s="67">
        <v>0</v>
      </c>
      <c r="AB24" s="67">
        <v>0</v>
      </c>
      <c r="AC24" s="68">
        <v>0</v>
      </c>
      <c r="AD24" s="69">
        <f>IFERROR(AVERAGEIF(Tabella01MarzoInverter[[#This Row],[Active power TX2-INV-1]:[Active power TX2-INV-12]], "&gt;0"), 0)</f>
        <v>0</v>
      </c>
      <c r="AE24" s="67">
        <f>MAX(Tabella01MarzoInverter[[#This Row],[Active power TX2-INV-1]:[Active power TX2-INV-12]])</f>
        <v>0</v>
      </c>
      <c r="AF24" s="70">
        <f>MIN(Tabella01MarzoInverter[[#This Row],[Active power TX2-INV-1]:[Active power TX2-INV-12]])</f>
        <v>0</v>
      </c>
      <c r="AG24" s="71">
        <v>0</v>
      </c>
      <c r="AH24" s="67">
        <v>0</v>
      </c>
      <c r="AI24" s="67">
        <v>0</v>
      </c>
      <c r="AJ24" s="67">
        <v>0</v>
      </c>
      <c r="AK24" s="67">
        <v>0</v>
      </c>
      <c r="AL24" s="67">
        <v>0</v>
      </c>
      <c r="AM24" s="67">
        <v>0</v>
      </c>
      <c r="AN24" s="67">
        <v>0</v>
      </c>
      <c r="AO24" s="67">
        <v>0</v>
      </c>
      <c r="AP24" s="67">
        <v>0</v>
      </c>
      <c r="AQ24" s="67">
        <v>0</v>
      </c>
      <c r="AR24" s="68">
        <v>0</v>
      </c>
      <c r="AS24" s="69">
        <f>IFERROR(AVERAGEIF(Tabella01MarzoInverter[[#This Row],[Active power TX3-INV-1]:[Active power TX3-INV-12]], "&gt;0"), 0)</f>
        <v>0</v>
      </c>
      <c r="AT24" s="67">
        <f>MAX(Tabella01MarzoInverter[[#This Row],[Active power TX3-INV-1]:[Active power TX3-INV-12]])</f>
        <v>0</v>
      </c>
      <c r="AU24" s="70">
        <f>MIN(Tabella01MarzoInverter[[#This Row],[Active power TX3-INV-1]:[Active power TX3-INV-12]])</f>
        <v>0</v>
      </c>
    </row>
    <row r="25" spans="1:47" x14ac:dyDescent="0.25">
      <c r="A25" s="65">
        <v>46147</v>
      </c>
      <c r="B25" s="66" t="s">
        <v>25</v>
      </c>
      <c r="C25" s="67">
        <v>0</v>
      </c>
      <c r="D25" s="67">
        <v>0</v>
      </c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7">
        <v>0</v>
      </c>
      <c r="N25" s="68">
        <v>0</v>
      </c>
      <c r="O25" s="69">
        <f>IFERROR(AVERAGEIF(Tabella01MarzoInverter[[#This Row],[Active power TX1-INV-1]:[Active power TX1-INV-12]], "&gt;0"), 0)</f>
        <v>0</v>
      </c>
      <c r="P25" s="67">
        <f>MAX(Tabella01MarzoInverter[[#This Row],[Active power TX1-INV-1]:[Active power TX1-INV-12]])</f>
        <v>0</v>
      </c>
      <c r="Q25" s="70">
        <f>MIN(Tabella01MarzoInverter[[#This Row],[Active power TX1-INV-1]:[Active power TX1-INV-12]])</f>
        <v>0</v>
      </c>
      <c r="R25" s="71">
        <v>0</v>
      </c>
      <c r="S25" s="67">
        <v>0</v>
      </c>
      <c r="T25" s="67">
        <v>0</v>
      </c>
      <c r="U25" s="67">
        <v>0</v>
      </c>
      <c r="V25" s="67">
        <v>0</v>
      </c>
      <c r="W25" s="67">
        <v>0</v>
      </c>
      <c r="X25" s="67">
        <v>0</v>
      </c>
      <c r="Y25" s="67">
        <v>0</v>
      </c>
      <c r="Z25" s="67">
        <v>0</v>
      </c>
      <c r="AA25" s="67">
        <v>0</v>
      </c>
      <c r="AB25" s="67">
        <v>0</v>
      </c>
      <c r="AC25" s="68">
        <v>0</v>
      </c>
      <c r="AD25" s="69">
        <f>IFERROR(AVERAGEIF(Tabella01MarzoInverter[[#This Row],[Active power TX2-INV-1]:[Active power TX2-INV-12]], "&gt;0"), 0)</f>
        <v>0</v>
      </c>
      <c r="AE25" s="67">
        <f>MAX(Tabella01MarzoInverter[[#This Row],[Active power TX2-INV-1]:[Active power TX2-INV-12]])</f>
        <v>0</v>
      </c>
      <c r="AF25" s="70">
        <f>MIN(Tabella01MarzoInverter[[#This Row],[Active power TX2-INV-1]:[Active power TX2-INV-12]])</f>
        <v>0</v>
      </c>
      <c r="AG25" s="71">
        <v>0</v>
      </c>
      <c r="AH25" s="67">
        <v>0</v>
      </c>
      <c r="AI25" s="67">
        <v>0</v>
      </c>
      <c r="AJ25" s="67">
        <v>0</v>
      </c>
      <c r="AK25" s="67">
        <v>0</v>
      </c>
      <c r="AL25" s="67">
        <v>0</v>
      </c>
      <c r="AM25" s="67">
        <v>0</v>
      </c>
      <c r="AN25" s="67">
        <v>0</v>
      </c>
      <c r="AO25" s="67">
        <v>0</v>
      </c>
      <c r="AP25" s="67">
        <v>0</v>
      </c>
      <c r="AQ25" s="67">
        <v>0</v>
      </c>
      <c r="AR25" s="68">
        <v>0</v>
      </c>
      <c r="AS25" s="69">
        <f>IFERROR(AVERAGEIF(Tabella01MarzoInverter[[#This Row],[Active power TX3-INV-1]:[Active power TX3-INV-12]], "&gt;0"), 0)</f>
        <v>0</v>
      </c>
      <c r="AT25" s="67">
        <f>MAX(Tabella01MarzoInverter[[#This Row],[Active power TX3-INV-1]:[Active power TX3-INV-12]])</f>
        <v>0</v>
      </c>
      <c r="AU25" s="70">
        <f>MIN(Tabella01MarzoInverter[[#This Row],[Active power TX3-INV-1]:[Active power TX3-INV-12]])</f>
        <v>0</v>
      </c>
    </row>
    <row r="26" spans="1:47" x14ac:dyDescent="0.25">
      <c r="A26" s="65">
        <v>46147</v>
      </c>
      <c r="B26" s="72" t="s">
        <v>26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8">
        <v>0</v>
      </c>
      <c r="O26" s="69">
        <f>IFERROR(AVERAGEIF(Tabella01MarzoInverter[[#This Row],[Active power TX1-INV-1]:[Active power TX1-INV-12]], "&gt;0"), 0)</f>
        <v>0</v>
      </c>
      <c r="P26" s="67">
        <f>MAX(Tabella01MarzoInverter[[#This Row],[Active power TX1-INV-1]:[Active power TX1-INV-12]])</f>
        <v>0</v>
      </c>
      <c r="Q26" s="70">
        <f>MIN(Tabella01MarzoInverter[[#This Row],[Active power TX1-INV-1]:[Active power TX1-INV-12]])</f>
        <v>0</v>
      </c>
      <c r="R26" s="71">
        <v>0</v>
      </c>
      <c r="S26" s="67">
        <v>0</v>
      </c>
      <c r="T26" s="67">
        <v>0</v>
      </c>
      <c r="U26" s="67">
        <v>0</v>
      </c>
      <c r="V26" s="67">
        <v>0</v>
      </c>
      <c r="W26" s="67">
        <v>0</v>
      </c>
      <c r="X26" s="67">
        <v>0</v>
      </c>
      <c r="Y26" s="67">
        <v>0</v>
      </c>
      <c r="Z26" s="67">
        <v>0</v>
      </c>
      <c r="AA26" s="67">
        <v>0</v>
      </c>
      <c r="AB26" s="67">
        <v>0</v>
      </c>
      <c r="AC26" s="68">
        <v>0</v>
      </c>
      <c r="AD26" s="69">
        <f>IFERROR(AVERAGEIF(Tabella01MarzoInverter[[#This Row],[Active power TX2-INV-1]:[Active power TX2-INV-12]], "&gt;0"), 0)</f>
        <v>0</v>
      </c>
      <c r="AE26" s="67">
        <f>MAX(Tabella01MarzoInverter[[#This Row],[Active power TX2-INV-1]:[Active power TX2-INV-12]])</f>
        <v>0</v>
      </c>
      <c r="AF26" s="70">
        <f>MIN(Tabella01MarzoInverter[[#This Row],[Active power TX2-INV-1]:[Active power TX2-INV-12]])</f>
        <v>0</v>
      </c>
      <c r="AG26" s="71">
        <v>0</v>
      </c>
      <c r="AH26" s="67">
        <v>0</v>
      </c>
      <c r="AI26" s="67">
        <v>0</v>
      </c>
      <c r="AJ26" s="67">
        <v>0</v>
      </c>
      <c r="AK26" s="67">
        <v>0</v>
      </c>
      <c r="AL26" s="67">
        <v>0</v>
      </c>
      <c r="AM26" s="67">
        <v>0</v>
      </c>
      <c r="AN26" s="67">
        <v>0</v>
      </c>
      <c r="AO26" s="67">
        <v>0</v>
      </c>
      <c r="AP26" s="67">
        <v>0</v>
      </c>
      <c r="AQ26" s="67">
        <v>0</v>
      </c>
      <c r="AR26" s="68">
        <v>0</v>
      </c>
      <c r="AS26" s="69">
        <f>IFERROR(AVERAGEIF(Tabella01MarzoInverter[[#This Row],[Active power TX3-INV-1]:[Active power TX3-INV-12]], "&gt;0"), 0)</f>
        <v>0</v>
      </c>
      <c r="AT26" s="67">
        <f>MAX(Tabella01MarzoInverter[[#This Row],[Active power TX3-INV-1]:[Active power TX3-INV-12]])</f>
        <v>0</v>
      </c>
      <c r="AU26" s="70">
        <f>MIN(Tabella01MarzoInverter[[#This Row],[Active power TX3-INV-1]:[Active power TX3-INV-12]])</f>
        <v>0</v>
      </c>
    </row>
    <row r="27" spans="1:47" x14ac:dyDescent="0.25">
      <c r="A27" s="65">
        <v>46147</v>
      </c>
      <c r="B27" s="66" t="s">
        <v>27</v>
      </c>
      <c r="C27" s="67">
        <v>0</v>
      </c>
      <c r="D27" s="67">
        <v>0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7">
        <v>0</v>
      </c>
      <c r="M27" s="67">
        <v>0</v>
      </c>
      <c r="N27" s="68">
        <v>0</v>
      </c>
      <c r="O27" s="69">
        <f>IFERROR(AVERAGEIF(Tabella01MarzoInverter[[#This Row],[Active power TX1-INV-1]:[Active power TX1-INV-12]], "&gt;0"), 0)</f>
        <v>0</v>
      </c>
      <c r="P27" s="67">
        <f>MAX(Tabella01MarzoInverter[[#This Row],[Active power TX1-INV-1]:[Active power TX1-INV-12]])</f>
        <v>0</v>
      </c>
      <c r="Q27" s="70">
        <f>MIN(Tabella01MarzoInverter[[#This Row],[Active power TX1-INV-1]:[Active power TX1-INV-12]])</f>
        <v>0</v>
      </c>
      <c r="R27" s="71">
        <v>0</v>
      </c>
      <c r="S27" s="67">
        <v>0</v>
      </c>
      <c r="T27" s="67">
        <v>0</v>
      </c>
      <c r="U27" s="67">
        <v>0</v>
      </c>
      <c r="V27" s="67">
        <v>0</v>
      </c>
      <c r="W27" s="67">
        <v>0</v>
      </c>
      <c r="X27" s="67">
        <v>0</v>
      </c>
      <c r="Y27" s="67">
        <v>0</v>
      </c>
      <c r="Z27" s="67">
        <v>0</v>
      </c>
      <c r="AA27" s="67">
        <v>0</v>
      </c>
      <c r="AB27" s="67">
        <v>0</v>
      </c>
      <c r="AC27" s="68">
        <v>0</v>
      </c>
      <c r="AD27" s="69">
        <f>IFERROR(AVERAGEIF(Tabella01MarzoInverter[[#This Row],[Active power TX2-INV-1]:[Active power TX2-INV-12]], "&gt;0"), 0)</f>
        <v>0</v>
      </c>
      <c r="AE27" s="67">
        <f>MAX(Tabella01MarzoInverter[[#This Row],[Active power TX2-INV-1]:[Active power TX2-INV-12]])</f>
        <v>0</v>
      </c>
      <c r="AF27" s="70">
        <f>MIN(Tabella01MarzoInverter[[#This Row],[Active power TX2-INV-1]:[Active power TX2-INV-12]])</f>
        <v>0</v>
      </c>
      <c r="AG27" s="71">
        <v>0</v>
      </c>
      <c r="AH27" s="67">
        <v>0</v>
      </c>
      <c r="AI27" s="67">
        <v>0</v>
      </c>
      <c r="AJ27" s="67">
        <v>0</v>
      </c>
      <c r="AK27" s="67">
        <v>0</v>
      </c>
      <c r="AL27" s="67">
        <v>0</v>
      </c>
      <c r="AM27" s="67">
        <v>0</v>
      </c>
      <c r="AN27" s="67">
        <v>0</v>
      </c>
      <c r="AO27" s="67">
        <v>0</v>
      </c>
      <c r="AP27" s="67">
        <v>0</v>
      </c>
      <c r="AQ27" s="67">
        <v>0</v>
      </c>
      <c r="AR27" s="68">
        <v>0</v>
      </c>
      <c r="AS27" s="69">
        <f>IFERROR(AVERAGEIF(Tabella01MarzoInverter[[#This Row],[Active power TX3-INV-1]:[Active power TX3-INV-12]], "&gt;0"), 0)</f>
        <v>0</v>
      </c>
      <c r="AT27" s="67">
        <f>MAX(Tabella01MarzoInverter[[#This Row],[Active power TX3-INV-1]:[Active power TX3-INV-12]])</f>
        <v>0</v>
      </c>
      <c r="AU27" s="70">
        <f>MIN(Tabella01MarzoInverter[[#This Row],[Active power TX3-INV-1]:[Active power TX3-INV-12]])</f>
        <v>0</v>
      </c>
    </row>
    <row r="28" spans="1:47" x14ac:dyDescent="0.25">
      <c r="A28" s="65">
        <v>46147</v>
      </c>
      <c r="B28" s="72" t="s">
        <v>28</v>
      </c>
      <c r="C28" s="67">
        <v>0</v>
      </c>
      <c r="D28" s="67">
        <v>0</v>
      </c>
      <c r="E28" s="67">
        <v>0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8">
        <v>0</v>
      </c>
      <c r="O28" s="69">
        <f>IFERROR(AVERAGEIF(Tabella01MarzoInverter[[#This Row],[Active power TX1-INV-1]:[Active power TX1-INV-12]], "&gt;0"), 0)</f>
        <v>0</v>
      </c>
      <c r="P28" s="67">
        <f>MAX(Tabella01MarzoInverter[[#This Row],[Active power TX1-INV-1]:[Active power TX1-INV-12]])</f>
        <v>0</v>
      </c>
      <c r="Q28" s="70">
        <f>MIN(Tabella01MarzoInverter[[#This Row],[Active power TX1-INV-1]:[Active power TX1-INV-12]])</f>
        <v>0</v>
      </c>
      <c r="R28" s="71">
        <v>0</v>
      </c>
      <c r="S28" s="67">
        <v>0</v>
      </c>
      <c r="T28" s="67">
        <v>0</v>
      </c>
      <c r="U28" s="67">
        <v>0</v>
      </c>
      <c r="V28" s="67">
        <v>0</v>
      </c>
      <c r="W28" s="67">
        <v>0</v>
      </c>
      <c r="X28" s="67">
        <v>0</v>
      </c>
      <c r="Y28" s="67">
        <v>0</v>
      </c>
      <c r="Z28" s="67">
        <v>0</v>
      </c>
      <c r="AA28" s="67">
        <v>0</v>
      </c>
      <c r="AB28" s="67">
        <v>0</v>
      </c>
      <c r="AC28" s="68">
        <v>0</v>
      </c>
      <c r="AD28" s="69">
        <f>IFERROR(AVERAGEIF(Tabella01MarzoInverter[[#This Row],[Active power TX2-INV-1]:[Active power TX2-INV-12]], "&gt;0"), 0)</f>
        <v>0</v>
      </c>
      <c r="AE28" s="67">
        <f>MAX(Tabella01MarzoInverter[[#This Row],[Active power TX2-INV-1]:[Active power TX2-INV-12]])</f>
        <v>0</v>
      </c>
      <c r="AF28" s="70">
        <f>MIN(Tabella01MarzoInverter[[#This Row],[Active power TX2-INV-1]:[Active power TX2-INV-12]])</f>
        <v>0</v>
      </c>
      <c r="AG28" s="71">
        <v>0</v>
      </c>
      <c r="AH28" s="67">
        <v>0</v>
      </c>
      <c r="AI28" s="67">
        <v>0</v>
      </c>
      <c r="AJ28" s="67">
        <v>0</v>
      </c>
      <c r="AK28" s="67">
        <v>0</v>
      </c>
      <c r="AL28" s="67">
        <v>0</v>
      </c>
      <c r="AM28" s="67">
        <v>0</v>
      </c>
      <c r="AN28" s="67">
        <v>0</v>
      </c>
      <c r="AO28" s="67">
        <v>0</v>
      </c>
      <c r="AP28" s="67">
        <v>0</v>
      </c>
      <c r="AQ28" s="67">
        <v>0</v>
      </c>
      <c r="AR28" s="68">
        <v>0</v>
      </c>
      <c r="AS28" s="69">
        <f>IFERROR(AVERAGEIF(Tabella01MarzoInverter[[#This Row],[Active power TX3-INV-1]:[Active power TX3-INV-12]], "&gt;0"), 0)</f>
        <v>0</v>
      </c>
      <c r="AT28" s="67">
        <f>MAX(Tabella01MarzoInverter[[#This Row],[Active power TX3-INV-1]:[Active power TX3-INV-12]])</f>
        <v>0</v>
      </c>
      <c r="AU28" s="70">
        <f>MIN(Tabella01MarzoInverter[[#This Row],[Active power TX3-INV-1]:[Active power TX3-INV-12]])</f>
        <v>0</v>
      </c>
    </row>
    <row r="29" spans="1:47" x14ac:dyDescent="0.25">
      <c r="A29" s="65">
        <v>46147</v>
      </c>
      <c r="B29" s="66" t="s">
        <v>29</v>
      </c>
      <c r="C29" s="67">
        <v>0</v>
      </c>
      <c r="D29" s="67">
        <v>0</v>
      </c>
      <c r="E29" s="67">
        <v>0</v>
      </c>
      <c r="F29" s="67">
        <v>0</v>
      </c>
      <c r="G29" s="67">
        <v>0</v>
      </c>
      <c r="H29" s="67">
        <v>0</v>
      </c>
      <c r="I29" s="67">
        <v>0</v>
      </c>
      <c r="J29" s="67">
        <v>0</v>
      </c>
      <c r="K29" s="67">
        <v>0</v>
      </c>
      <c r="L29" s="67">
        <v>0</v>
      </c>
      <c r="M29" s="67">
        <v>0</v>
      </c>
      <c r="N29" s="68">
        <v>0</v>
      </c>
      <c r="O29" s="69">
        <f>IFERROR(AVERAGEIF(Tabella01MarzoInverter[[#This Row],[Active power TX1-INV-1]:[Active power TX1-INV-12]], "&gt;0"), 0)</f>
        <v>0</v>
      </c>
      <c r="P29" s="67">
        <f>MAX(Tabella01MarzoInverter[[#This Row],[Active power TX1-INV-1]:[Active power TX1-INV-12]])</f>
        <v>0</v>
      </c>
      <c r="Q29" s="70">
        <f>MIN(Tabella01MarzoInverter[[#This Row],[Active power TX1-INV-1]:[Active power TX1-INV-12]])</f>
        <v>0</v>
      </c>
      <c r="R29" s="71">
        <v>0</v>
      </c>
      <c r="S29" s="67">
        <v>0</v>
      </c>
      <c r="T29" s="67">
        <v>0</v>
      </c>
      <c r="U29" s="67">
        <v>0</v>
      </c>
      <c r="V29" s="67">
        <v>0</v>
      </c>
      <c r="W29" s="67">
        <v>0</v>
      </c>
      <c r="X29" s="67">
        <v>0</v>
      </c>
      <c r="Y29" s="67">
        <v>0</v>
      </c>
      <c r="Z29" s="67">
        <v>0</v>
      </c>
      <c r="AA29" s="67">
        <v>0</v>
      </c>
      <c r="AB29" s="67">
        <v>0</v>
      </c>
      <c r="AC29" s="68">
        <v>0</v>
      </c>
      <c r="AD29" s="69">
        <f>IFERROR(AVERAGEIF(Tabella01MarzoInverter[[#This Row],[Active power TX2-INV-1]:[Active power TX2-INV-12]], "&gt;0"), 0)</f>
        <v>0</v>
      </c>
      <c r="AE29" s="67">
        <f>MAX(Tabella01MarzoInverter[[#This Row],[Active power TX2-INV-1]:[Active power TX2-INV-12]])</f>
        <v>0</v>
      </c>
      <c r="AF29" s="70">
        <f>MIN(Tabella01MarzoInverter[[#This Row],[Active power TX2-INV-1]:[Active power TX2-INV-12]])</f>
        <v>0</v>
      </c>
      <c r="AG29" s="71">
        <v>0</v>
      </c>
      <c r="AH29" s="67">
        <v>0</v>
      </c>
      <c r="AI29" s="67">
        <v>0</v>
      </c>
      <c r="AJ29" s="67">
        <v>0</v>
      </c>
      <c r="AK29" s="67">
        <v>0</v>
      </c>
      <c r="AL29" s="67">
        <v>0</v>
      </c>
      <c r="AM29" s="67">
        <v>0</v>
      </c>
      <c r="AN29" s="67">
        <v>0</v>
      </c>
      <c r="AO29" s="67">
        <v>0</v>
      </c>
      <c r="AP29" s="67">
        <v>0</v>
      </c>
      <c r="AQ29" s="67">
        <v>0</v>
      </c>
      <c r="AR29" s="68">
        <v>0</v>
      </c>
      <c r="AS29" s="69">
        <f>IFERROR(AVERAGEIF(Tabella01MarzoInverter[[#This Row],[Active power TX3-INV-1]:[Active power TX3-INV-12]], "&gt;0"), 0)</f>
        <v>0</v>
      </c>
      <c r="AT29" s="67">
        <f>MAX(Tabella01MarzoInverter[[#This Row],[Active power TX3-INV-1]:[Active power TX3-INV-12]])</f>
        <v>0</v>
      </c>
      <c r="AU29" s="70">
        <f>MIN(Tabella01MarzoInverter[[#This Row],[Active power TX3-INV-1]:[Active power TX3-INV-12]])</f>
        <v>0</v>
      </c>
    </row>
    <row r="30" spans="1:47" x14ac:dyDescent="0.25">
      <c r="A30" s="65">
        <v>46147</v>
      </c>
      <c r="B30" s="72" t="s">
        <v>30</v>
      </c>
      <c r="C30" s="67">
        <v>0</v>
      </c>
      <c r="D30" s="67">
        <v>0</v>
      </c>
      <c r="E30" s="67">
        <v>0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0</v>
      </c>
      <c r="N30" s="68">
        <v>0</v>
      </c>
      <c r="O30" s="69">
        <f>IFERROR(AVERAGEIF(Tabella01MarzoInverter[[#This Row],[Active power TX1-INV-1]:[Active power TX1-INV-12]], "&gt;0"), 0)</f>
        <v>0</v>
      </c>
      <c r="P30" s="67">
        <f>MAX(Tabella01MarzoInverter[[#This Row],[Active power TX1-INV-1]:[Active power TX1-INV-12]])</f>
        <v>0</v>
      </c>
      <c r="Q30" s="70">
        <f>MIN(Tabella01MarzoInverter[[#This Row],[Active power TX1-INV-1]:[Active power TX1-INV-12]])</f>
        <v>0</v>
      </c>
      <c r="R30" s="71">
        <v>0</v>
      </c>
      <c r="S30" s="67">
        <v>0</v>
      </c>
      <c r="T30" s="67">
        <v>0</v>
      </c>
      <c r="U30" s="67">
        <v>0</v>
      </c>
      <c r="V30" s="67">
        <v>0</v>
      </c>
      <c r="W30" s="67">
        <v>0</v>
      </c>
      <c r="X30" s="67">
        <v>0</v>
      </c>
      <c r="Y30" s="67">
        <v>0</v>
      </c>
      <c r="Z30" s="67">
        <v>0</v>
      </c>
      <c r="AA30" s="67">
        <v>0</v>
      </c>
      <c r="AB30" s="67">
        <v>0</v>
      </c>
      <c r="AC30" s="68">
        <v>0</v>
      </c>
      <c r="AD30" s="69">
        <f>IFERROR(AVERAGEIF(Tabella01MarzoInverter[[#This Row],[Active power TX2-INV-1]:[Active power TX2-INV-12]], "&gt;0"), 0)</f>
        <v>0</v>
      </c>
      <c r="AE30" s="67">
        <f>MAX(Tabella01MarzoInverter[[#This Row],[Active power TX2-INV-1]:[Active power TX2-INV-12]])</f>
        <v>0</v>
      </c>
      <c r="AF30" s="70">
        <f>MIN(Tabella01MarzoInverter[[#This Row],[Active power TX2-INV-1]:[Active power TX2-INV-12]])</f>
        <v>0</v>
      </c>
      <c r="AG30" s="71">
        <v>0</v>
      </c>
      <c r="AH30" s="67">
        <v>0</v>
      </c>
      <c r="AI30" s="67">
        <v>0</v>
      </c>
      <c r="AJ30" s="67">
        <v>0</v>
      </c>
      <c r="AK30" s="67">
        <v>0</v>
      </c>
      <c r="AL30" s="67">
        <v>0</v>
      </c>
      <c r="AM30" s="67">
        <v>0</v>
      </c>
      <c r="AN30" s="67">
        <v>0</v>
      </c>
      <c r="AO30" s="67">
        <v>0</v>
      </c>
      <c r="AP30" s="67">
        <v>0</v>
      </c>
      <c r="AQ30" s="67">
        <v>0</v>
      </c>
      <c r="AR30" s="68">
        <v>0</v>
      </c>
      <c r="AS30" s="69">
        <f>IFERROR(AVERAGEIF(Tabella01MarzoInverter[[#This Row],[Active power TX3-INV-1]:[Active power TX3-INV-12]], "&gt;0"), 0)</f>
        <v>0</v>
      </c>
      <c r="AT30" s="67">
        <f>MAX(Tabella01MarzoInverter[[#This Row],[Active power TX3-INV-1]:[Active power TX3-INV-12]])</f>
        <v>0</v>
      </c>
      <c r="AU30" s="70">
        <f>MIN(Tabella01MarzoInverter[[#This Row],[Active power TX3-INV-1]:[Active power TX3-INV-12]])</f>
        <v>0</v>
      </c>
    </row>
    <row r="31" spans="1:47" x14ac:dyDescent="0.25">
      <c r="A31" s="65">
        <v>46147</v>
      </c>
      <c r="B31" s="66" t="s">
        <v>31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8">
        <v>0</v>
      </c>
      <c r="O31" s="69">
        <f>IFERROR(AVERAGEIF(Tabella01MarzoInverter[[#This Row],[Active power TX1-INV-1]:[Active power TX1-INV-12]], "&gt;0"), 0)</f>
        <v>0</v>
      </c>
      <c r="P31" s="67">
        <f>MAX(Tabella01MarzoInverter[[#This Row],[Active power TX1-INV-1]:[Active power TX1-INV-12]])</f>
        <v>0</v>
      </c>
      <c r="Q31" s="70">
        <f>MIN(Tabella01MarzoInverter[[#This Row],[Active power TX1-INV-1]:[Active power TX1-INV-12]])</f>
        <v>0</v>
      </c>
      <c r="R31" s="71">
        <v>0</v>
      </c>
      <c r="S31" s="67">
        <v>0</v>
      </c>
      <c r="T31" s="67">
        <v>0</v>
      </c>
      <c r="U31" s="67">
        <v>0</v>
      </c>
      <c r="V31" s="67">
        <v>0</v>
      </c>
      <c r="W31" s="67">
        <v>0</v>
      </c>
      <c r="X31" s="67">
        <v>0</v>
      </c>
      <c r="Y31" s="67">
        <v>0</v>
      </c>
      <c r="Z31" s="67">
        <v>0</v>
      </c>
      <c r="AA31" s="67">
        <v>0</v>
      </c>
      <c r="AB31" s="67">
        <v>0</v>
      </c>
      <c r="AC31" s="68">
        <v>0</v>
      </c>
      <c r="AD31" s="69">
        <f>IFERROR(AVERAGEIF(Tabella01MarzoInverter[[#This Row],[Active power TX2-INV-1]:[Active power TX2-INV-12]], "&gt;0"), 0)</f>
        <v>0</v>
      </c>
      <c r="AE31" s="67">
        <f>MAX(Tabella01MarzoInverter[[#This Row],[Active power TX2-INV-1]:[Active power TX2-INV-12]])</f>
        <v>0</v>
      </c>
      <c r="AF31" s="70">
        <f>MIN(Tabella01MarzoInverter[[#This Row],[Active power TX2-INV-1]:[Active power TX2-INV-12]])</f>
        <v>0</v>
      </c>
      <c r="AG31" s="71">
        <v>0</v>
      </c>
      <c r="AH31" s="67">
        <v>0</v>
      </c>
      <c r="AI31" s="67">
        <v>0</v>
      </c>
      <c r="AJ31" s="67">
        <v>0</v>
      </c>
      <c r="AK31" s="67">
        <v>0</v>
      </c>
      <c r="AL31" s="67">
        <v>0</v>
      </c>
      <c r="AM31" s="67">
        <v>0</v>
      </c>
      <c r="AN31" s="67">
        <v>0</v>
      </c>
      <c r="AO31" s="67">
        <v>0</v>
      </c>
      <c r="AP31" s="67">
        <v>0</v>
      </c>
      <c r="AQ31" s="67">
        <v>0</v>
      </c>
      <c r="AR31" s="68">
        <v>0</v>
      </c>
      <c r="AS31" s="69">
        <f>IFERROR(AVERAGEIF(Tabella01MarzoInverter[[#This Row],[Active power TX3-INV-1]:[Active power TX3-INV-12]], "&gt;0"), 0)</f>
        <v>0</v>
      </c>
      <c r="AT31" s="67">
        <f>MAX(Tabella01MarzoInverter[[#This Row],[Active power TX3-INV-1]:[Active power TX3-INV-12]])</f>
        <v>0</v>
      </c>
      <c r="AU31" s="70">
        <f>MIN(Tabella01MarzoInverter[[#This Row],[Active power TX3-INV-1]:[Active power TX3-INV-12]])</f>
        <v>0</v>
      </c>
    </row>
    <row r="32" spans="1:47" x14ac:dyDescent="0.25">
      <c r="A32" s="65">
        <v>46147</v>
      </c>
      <c r="B32" s="72" t="s">
        <v>32</v>
      </c>
      <c r="C32" s="67">
        <v>0</v>
      </c>
      <c r="D32" s="67">
        <v>0</v>
      </c>
      <c r="E32" s="67">
        <v>0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8">
        <v>0</v>
      </c>
      <c r="O32" s="69">
        <f>IFERROR(AVERAGEIF(Tabella01MarzoInverter[[#This Row],[Active power TX1-INV-1]:[Active power TX1-INV-12]], "&gt;0"), 0)</f>
        <v>0</v>
      </c>
      <c r="P32" s="67">
        <f>MAX(Tabella01MarzoInverter[[#This Row],[Active power TX1-INV-1]:[Active power TX1-INV-12]])</f>
        <v>0</v>
      </c>
      <c r="Q32" s="70">
        <f>MIN(Tabella01MarzoInverter[[#This Row],[Active power TX1-INV-1]:[Active power TX1-INV-12]])</f>
        <v>0</v>
      </c>
      <c r="R32" s="71">
        <v>0</v>
      </c>
      <c r="S32" s="67">
        <v>0</v>
      </c>
      <c r="T32" s="67">
        <v>0</v>
      </c>
      <c r="U32" s="67">
        <v>0</v>
      </c>
      <c r="V32" s="67">
        <v>0</v>
      </c>
      <c r="W32" s="67">
        <v>0</v>
      </c>
      <c r="X32" s="67">
        <v>0</v>
      </c>
      <c r="Y32" s="67">
        <v>0</v>
      </c>
      <c r="Z32" s="67">
        <v>0</v>
      </c>
      <c r="AA32" s="67">
        <v>0</v>
      </c>
      <c r="AB32" s="67">
        <v>0</v>
      </c>
      <c r="AC32" s="68">
        <v>0</v>
      </c>
      <c r="AD32" s="69">
        <f>IFERROR(AVERAGEIF(Tabella01MarzoInverter[[#This Row],[Active power TX2-INV-1]:[Active power TX2-INV-12]], "&gt;0"), 0)</f>
        <v>0</v>
      </c>
      <c r="AE32" s="67">
        <f>MAX(Tabella01MarzoInverter[[#This Row],[Active power TX2-INV-1]:[Active power TX2-INV-12]])</f>
        <v>0</v>
      </c>
      <c r="AF32" s="70">
        <f>MIN(Tabella01MarzoInverter[[#This Row],[Active power TX2-INV-1]:[Active power TX2-INV-12]])</f>
        <v>0</v>
      </c>
      <c r="AG32" s="71">
        <v>0</v>
      </c>
      <c r="AH32" s="67">
        <v>0</v>
      </c>
      <c r="AI32" s="67">
        <v>0</v>
      </c>
      <c r="AJ32" s="67">
        <v>0</v>
      </c>
      <c r="AK32" s="67">
        <v>0</v>
      </c>
      <c r="AL32" s="67">
        <v>0</v>
      </c>
      <c r="AM32" s="67">
        <v>0</v>
      </c>
      <c r="AN32" s="67">
        <v>0</v>
      </c>
      <c r="AO32" s="67">
        <v>0</v>
      </c>
      <c r="AP32" s="67">
        <v>0</v>
      </c>
      <c r="AQ32" s="67">
        <v>0</v>
      </c>
      <c r="AR32" s="68">
        <v>0</v>
      </c>
      <c r="AS32" s="69">
        <f>IFERROR(AVERAGEIF(Tabella01MarzoInverter[[#This Row],[Active power TX3-INV-1]:[Active power TX3-INV-12]], "&gt;0"), 0)</f>
        <v>0</v>
      </c>
      <c r="AT32" s="67">
        <f>MAX(Tabella01MarzoInverter[[#This Row],[Active power TX3-INV-1]:[Active power TX3-INV-12]])</f>
        <v>0</v>
      </c>
      <c r="AU32" s="70">
        <f>MIN(Tabella01MarzoInverter[[#This Row],[Active power TX3-INV-1]:[Active power TX3-INV-12]])</f>
        <v>0</v>
      </c>
    </row>
    <row r="33" spans="1:47" x14ac:dyDescent="0.25">
      <c r="A33" s="65">
        <v>46147</v>
      </c>
      <c r="B33" s="66" t="s">
        <v>33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7">
        <v>0</v>
      </c>
      <c r="M33" s="67">
        <v>0</v>
      </c>
      <c r="N33" s="68">
        <v>0</v>
      </c>
      <c r="O33" s="69">
        <f>IFERROR(AVERAGEIF(Tabella01MarzoInverter[[#This Row],[Active power TX1-INV-1]:[Active power TX1-INV-12]], "&gt;0"), 0)</f>
        <v>0</v>
      </c>
      <c r="P33" s="67">
        <f>MAX(Tabella01MarzoInverter[[#This Row],[Active power TX1-INV-1]:[Active power TX1-INV-12]])</f>
        <v>0</v>
      </c>
      <c r="Q33" s="70">
        <f>MIN(Tabella01MarzoInverter[[#This Row],[Active power TX1-INV-1]:[Active power TX1-INV-12]])</f>
        <v>0</v>
      </c>
      <c r="R33" s="71">
        <v>0</v>
      </c>
      <c r="S33" s="67">
        <v>0</v>
      </c>
      <c r="T33" s="67">
        <v>0</v>
      </c>
      <c r="U33" s="67">
        <v>0</v>
      </c>
      <c r="V33" s="67">
        <v>0</v>
      </c>
      <c r="W33" s="67">
        <v>0</v>
      </c>
      <c r="X33" s="67">
        <v>0</v>
      </c>
      <c r="Y33" s="67">
        <v>0</v>
      </c>
      <c r="Z33" s="67">
        <v>0</v>
      </c>
      <c r="AA33" s="67">
        <v>0</v>
      </c>
      <c r="AB33" s="67">
        <v>0</v>
      </c>
      <c r="AC33" s="68">
        <v>0</v>
      </c>
      <c r="AD33" s="69">
        <f>IFERROR(AVERAGEIF(Tabella01MarzoInverter[[#This Row],[Active power TX2-INV-1]:[Active power TX2-INV-12]], "&gt;0"), 0)</f>
        <v>0</v>
      </c>
      <c r="AE33" s="67">
        <f>MAX(Tabella01MarzoInverter[[#This Row],[Active power TX2-INV-1]:[Active power TX2-INV-12]])</f>
        <v>0</v>
      </c>
      <c r="AF33" s="70">
        <f>MIN(Tabella01MarzoInverter[[#This Row],[Active power TX2-INV-1]:[Active power TX2-INV-12]])</f>
        <v>0</v>
      </c>
      <c r="AG33" s="71">
        <v>0</v>
      </c>
      <c r="AH33" s="67">
        <v>0</v>
      </c>
      <c r="AI33" s="67">
        <v>0</v>
      </c>
      <c r="AJ33" s="67">
        <v>0</v>
      </c>
      <c r="AK33" s="67">
        <v>0</v>
      </c>
      <c r="AL33" s="67">
        <v>0</v>
      </c>
      <c r="AM33" s="67">
        <v>0</v>
      </c>
      <c r="AN33" s="67">
        <v>0</v>
      </c>
      <c r="AO33" s="67">
        <v>0</v>
      </c>
      <c r="AP33" s="67">
        <v>0</v>
      </c>
      <c r="AQ33" s="67">
        <v>0</v>
      </c>
      <c r="AR33" s="68">
        <v>0</v>
      </c>
      <c r="AS33" s="69">
        <f>IFERROR(AVERAGEIF(Tabella01MarzoInverter[[#This Row],[Active power TX3-INV-1]:[Active power TX3-INV-12]], "&gt;0"), 0)</f>
        <v>0</v>
      </c>
      <c r="AT33" s="67">
        <f>MAX(Tabella01MarzoInverter[[#This Row],[Active power TX3-INV-1]:[Active power TX3-INV-12]])</f>
        <v>0</v>
      </c>
      <c r="AU33" s="70">
        <f>MIN(Tabella01MarzoInverter[[#This Row],[Active power TX3-INV-1]:[Active power TX3-INV-12]])</f>
        <v>0</v>
      </c>
    </row>
    <row r="34" spans="1:47" x14ac:dyDescent="0.25">
      <c r="A34" s="65">
        <v>46147</v>
      </c>
      <c r="B34" s="72" t="s">
        <v>34</v>
      </c>
      <c r="C34" s="67">
        <v>0</v>
      </c>
      <c r="D34" s="67">
        <v>0</v>
      </c>
      <c r="E34" s="67">
        <v>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8">
        <v>0</v>
      </c>
      <c r="O34" s="69">
        <f>IFERROR(AVERAGEIF(Tabella01MarzoInverter[[#This Row],[Active power TX1-INV-1]:[Active power TX1-INV-12]], "&gt;0"), 0)</f>
        <v>0</v>
      </c>
      <c r="P34" s="67">
        <f>MAX(Tabella01MarzoInverter[[#This Row],[Active power TX1-INV-1]:[Active power TX1-INV-12]])</f>
        <v>0</v>
      </c>
      <c r="Q34" s="70">
        <f>MIN(Tabella01MarzoInverter[[#This Row],[Active power TX1-INV-1]:[Active power TX1-INV-12]])</f>
        <v>0</v>
      </c>
      <c r="R34" s="71">
        <v>0</v>
      </c>
      <c r="S34" s="67">
        <v>0</v>
      </c>
      <c r="T34" s="67">
        <v>0</v>
      </c>
      <c r="U34" s="67">
        <v>0</v>
      </c>
      <c r="V34" s="67">
        <v>0</v>
      </c>
      <c r="W34" s="67">
        <v>0</v>
      </c>
      <c r="X34" s="67">
        <v>0</v>
      </c>
      <c r="Y34" s="67">
        <v>0</v>
      </c>
      <c r="Z34" s="67">
        <v>0</v>
      </c>
      <c r="AA34" s="67">
        <v>0</v>
      </c>
      <c r="AB34" s="67">
        <v>0</v>
      </c>
      <c r="AC34" s="68">
        <v>0</v>
      </c>
      <c r="AD34" s="69">
        <f>IFERROR(AVERAGEIF(Tabella01MarzoInverter[[#This Row],[Active power TX2-INV-1]:[Active power TX2-INV-12]], "&gt;0"), 0)</f>
        <v>0</v>
      </c>
      <c r="AE34" s="67">
        <f>MAX(Tabella01MarzoInverter[[#This Row],[Active power TX2-INV-1]:[Active power TX2-INV-12]])</f>
        <v>0</v>
      </c>
      <c r="AF34" s="70">
        <f>MIN(Tabella01MarzoInverter[[#This Row],[Active power TX2-INV-1]:[Active power TX2-INV-12]])</f>
        <v>0</v>
      </c>
      <c r="AG34" s="71">
        <v>0</v>
      </c>
      <c r="AH34" s="67">
        <v>0</v>
      </c>
      <c r="AI34" s="67">
        <v>0</v>
      </c>
      <c r="AJ34" s="67">
        <v>0</v>
      </c>
      <c r="AK34" s="67">
        <v>0</v>
      </c>
      <c r="AL34" s="67">
        <v>0</v>
      </c>
      <c r="AM34" s="67">
        <v>0</v>
      </c>
      <c r="AN34" s="67">
        <v>0</v>
      </c>
      <c r="AO34" s="67">
        <v>0</v>
      </c>
      <c r="AP34" s="67">
        <v>0</v>
      </c>
      <c r="AQ34" s="67">
        <v>0</v>
      </c>
      <c r="AR34" s="68">
        <v>0</v>
      </c>
      <c r="AS34" s="69">
        <f>IFERROR(AVERAGEIF(Tabella01MarzoInverter[[#This Row],[Active power TX3-INV-1]:[Active power TX3-INV-12]], "&gt;0"), 0)</f>
        <v>0</v>
      </c>
      <c r="AT34" s="67">
        <f>MAX(Tabella01MarzoInverter[[#This Row],[Active power TX3-INV-1]:[Active power TX3-INV-12]])</f>
        <v>0</v>
      </c>
      <c r="AU34" s="70">
        <f>MIN(Tabella01MarzoInverter[[#This Row],[Active power TX3-INV-1]:[Active power TX3-INV-12]])</f>
        <v>0</v>
      </c>
    </row>
    <row r="35" spans="1:47" x14ac:dyDescent="0.25">
      <c r="A35" s="65">
        <v>46147</v>
      </c>
      <c r="B35" s="66" t="s">
        <v>35</v>
      </c>
      <c r="C35" s="67">
        <v>0</v>
      </c>
      <c r="D35" s="67">
        <v>0</v>
      </c>
      <c r="E35" s="67">
        <v>0</v>
      </c>
      <c r="F35" s="67">
        <v>0</v>
      </c>
      <c r="G35" s="67">
        <v>0</v>
      </c>
      <c r="H35" s="67">
        <v>0</v>
      </c>
      <c r="I35" s="67">
        <v>0</v>
      </c>
      <c r="J35" s="67">
        <v>0</v>
      </c>
      <c r="K35" s="67">
        <v>0</v>
      </c>
      <c r="L35" s="67">
        <v>0</v>
      </c>
      <c r="M35" s="67">
        <v>0</v>
      </c>
      <c r="N35" s="68">
        <v>0</v>
      </c>
      <c r="O35" s="69">
        <f>IFERROR(AVERAGEIF(Tabella01MarzoInverter[[#This Row],[Active power TX1-INV-1]:[Active power TX1-INV-12]], "&gt;0"), 0)</f>
        <v>0</v>
      </c>
      <c r="P35" s="67">
        <f>MAX(Tabella01MarzoInverter[[#This Row],[Active power TX1-INV-1]:[Active power TX1-INV-12]])</f>
        <v>0</v>
      </c>
      <c r="Q35" s="70">
        <f>MIN(Tabella01MarzoInverter[[#This Row],[Active power TX1-INV-1]:[Active power TX1-INV-12]])</f>
        <v>0</v>
      </c>
      <c r="R35" s="71">
        <v>0</v>
      </c>
      <c r="S35" s="67">
        <v>0</v>
      </c>
      <c r="T35" s="67">
        <v>0</v>
      </c>
      <c r="U35" s="67">
        <v>0</v>
      </c>
      <c r="V35" s="67">
        <v>0</v>
      </c>
      <c r="W35" s="67">
        <v>0</v>
      </c>
      <c r="X35" s="67">
        <v>0</v>
      </c>
      <c r="Y35" s="67">
        <v>0</v>
      </c>
      <c r="Z35" s="67">
        <v>0</v>
      </c>
      <c r="AA35" s="67">
        <v>0</v>
      </c>
      <c r="AB35" s="67">
        <v>0</v>
      </c>
      <c r="AC35" s="68">
        <v>0</v>
      </c>
      <c r="AD35" s="69">
        <f>IFERROR(AVERAGEIF(Tabella01MarzoInverter[[#This Row],[Active power TX2-INV-1]:[Active power TX2-INV-12]], "&gt;0"), 0)</f>
        <v>0</v>
      </c>
      <c r="AE35" s="67">
        <f>MAX(Tabella01MarzoInverter[[#This Row],[Active power TX2-INV-1]:[Active power TX2-INV-12]])</f>
        <v>0</v>
      </c>
      <c r="AF35" s="70">
        <f>MIN(Tabella01MarzoInverter[[#This Row],[Active power TX2-INV-1]:[Active power TX2-INV-12]])</f>
        <v>0</v>
      </c>
      <c r="AG35" s="71">
        <v>0</v>
      </c>
      <c r="AH35" s="67">
        <v>0</v>
      </c>
      <c r="AI35" s="67">
        <v>0</v>
      </c>
      <c r="AJ35" s="67">
        <v>0</v>
      </c>
      <c r="AK35" s="67">
        <v>0</v>
      </c>
      <c r="AL35" s="67">
        <v>0</v>
      </c>
      <c r="AM35" s="67">
        <v>0</v>
      </c>
      <c r="AN35" s="67">
        <v>0</v>
      </c>
      <c r="AO35" s="67">
        <v>0</v>
      </c>
      <c r="AP35" s="67">
        <v>0</v>
      </c>
      <c r="AQ35" s="67">
        <v>0</v>
      </c>
      <c r="AR35" s="68">
        <v>0</v>
      </c>
      <c r="AS35" s="69">
        <f>IFERROR(AVERAGEIF(Tabella01MarzoInverter[[#This Row],[Active power TX3-INV-1]:[Active power TX3-INV-12]], "&gt;0"), 0)</f>
        <v>0</v>
      </c>
      <c r="AT35" s="67">
        <f>MAX(Tabella01MarzoInverter[[#This Row],[Active power TX3-INV-1]:[Active power TX3-INV-12]])</f>
        <v>0</v>
      </c>
      <c r="AU35" s="70">
        <f>MIN(Tabella01MarzoInverter[[#This Row],[Active power TX3-INV-1]:[Active power TX3-INV-12]])</f>
        <v>0</v>
      </c>
    </row>
    <row r="36" spans="1:47" x14ac:dyDescent="0.25">
      <c r="A36" s="65">
        <v>46147</v>
      </c>
      <c r="B36" s="72" t="s">
        <v>36</v>
      </c>
      <c r="C36" s="67">
        <v>0</v>
      </c>
      <c r="D36" s="67">
        <v>0</v>
      </c>
      <c r="E36" s="67">
        <v>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8">
        <v>0</v>
      </c>
      <c r="O36" s="69">
        <f>IFERROR(AVERAGEIF(Tabella01MarzoInverter[[#This Row],[Active power TX1-INV-1]:[Active power TX1-INV-12]], "&gt;0"), 0)</f>
        <v>0</v>
      </c>
      <c r="P36" s="67">
        <f>MAX(Tabella01MarzoInverter[[#This Row],[Active power TX1-INV-1]:[Active power TX1-INV-12]])</f>
        <v>0</v>
      </c>
      <c r="Q36" s="70">
        <f>MIN(Tabella01MarzoInverter[[#This Row],[Active power TX1-INV-1]:[Active power TX1-INV-12]])</f>
        <v>0</v>
      </c>
      <c r="R36" s="71">
        <v>0</v>
      </c>
      <c r="S36" s="67">
        <v>0</v>
      </c>
      <c r="T36" s="67">
        <v>0</v>
      </c>
      <c r="U36" s="67">
        <v>0</v>
      </c>
      <c r="V36" s="67">
        <v>0</v>
      </c>
      <c r="W36" s="67">
        <v>0</v>
      </c>
      <c r="X36" s="67">
        <v>0</v>
      </c>
      <c r="Y36" s="67">
        <v>0</v>
      </c>
      <c r="Z36" s="67">
        <v>0</v>
      </c>
      <c r="AA36" s="67">
        <v>0</v>
      </c>
      <c r="AB36" s="67">
        <v>0</v>
      </c>
      <c r="AC36" s="68">
        <v>0</v>
      </c>
      <c r="AD36" s="69">
        <f>IFERROR(AVERAGEIF(Tabella01MarzoInverter[[#This Row],[Active power TX2-INV-1]:[Active power TX2-INV-12]], "&gt;0"), 0)</f>
        <v>0</v>
      </c>
      <c r="AE36" s="67">
        <f>MAX(Tabella01MarzoInverter[[#This Row],[Active power TX2-INV-1]:[Active power TX2-INV-12]])</f>
        <v>0</v>
      </c>
      <c r="AF36" s="70">
        <f>MIN(Tabella01MarzoInverter[[#This Row],[Active power TX2-INV-1]:[Active power TX2-INV-12]])</f>
        <v>0</v>
      </c>
      <c r="AG36" s="71">
        <v>0</v>
      </c>
      <c r="AH36" s="67">
        <v>0</v>
      </c>
      <c r="AI36" s="67">
        <v>0</v>
      </c>
      <c r="AJ36" s="67">
        <v>0</v>
      </c>
      <c r="AK36" s="67">
        <v>0</v>
      </c>
      <c r="AL36" s="67">
        <v>0</v>
      </c>
      <c r="AM36" s="67">
        <v>0</v>
      </c>
      <c r="AN36" s="67">
        <v>0</v>
      </c>
      <c r="AO36" s="67">
        <v>0</v>
      </c>
      <c r="AP36" s="67">
        <v>0</v>
      </c>
      <c r="AQ36" s="67">
        <v>0</v>
      </c>
      <c r="AR36" s="68">
        <v>0</v>
      </c>
      <c r="AS36" s="69">
        <f>IFERROR(AVERAGEIF(Tabella01MarzoInverter[[#This Row],[Active power TX3-INV-1]:[Active power TX3-INV-12]], "&gt;0"), 0)</f>
        <v>0</v>
      </c>
      <c r="AT36" s="67">
        <f>MAX(Tabella01MarzoInverter[[#This Row],[Active power TX3-INV-1]:[Active power TX3-INV-12]])</f>
        <v>0</v>
      </c>
      <c r="AU36" s="70">
        <f>MIN(Tabella01MarzoInverter[[#This Row],[Active power TX3-INV-1]:[Active power TX3-INV-12]])</f>
        <v>0</v>
      </c>
    </row>
    <row r="37" spans="1:47" x14ac:dyDescent="0.25">
      <c r="A37" s="65">
        <v>46147</v>
      </c>
      <c r="B37" s="66" t="s">
        <v>37</v>
      </c>
      <c r="C37" s="67">
        <v>0</v>
      </c>
      <c r="D37" s="67">
        <v>0</v>
      </c>
      <c r="E37" s="67">
        <v>0</v>
      </c>
      <c r="F37" s="67">
        <v>0</v>
      </c>
      <c r="G37" s="67">
        <v>0</v>
      </c>
      <c r="H37" s="67">
        <v>0</v>
      </c>
      <c r="I37" s="67">
        <v>0</v>
      </c>
      <c r="J37" s="67">
        <v>0</v>
      </c>
      <c r="K37" s="67">
        <v>0</v>
      </c>
      <c r="L37" s="67">
        <v>0</v>
      </c>
      <c r="M37" s="67">
        <v>0</v>
      </c>
      <c r="N37" s="68">
        <v>0</v>
      </c>
      <c r="O37" s="69">
        <f>IFERROR(AVERAGEIF(Tabella01MarzoInverter[[#This Row],[Active power TX1-INV-1]:[Active power TX1-INV-12]], "&gt;0"), 0)</f>
        <v>0</v>
      </c>
      <c r="P37" s="67">
        <f>MAX(Tabella01MarzoInverter[[#This Row],[Active power TX1-INV-1]:[Active power TX1-INV-12]])</f>
        <v>0</v>
      </c>
      <c r="Q37" s="70">
        <f>MIN(Tabella01MarzoInverter[[#This Row],[Active power TX1-INV-1]:[Active power TX1-INV-12]])</f>
        <v>0</v>
      </c>
      <c r="R37" s="71">
        <v>0</v>
      </c>
      <c r="S37" s="67">
        <v>0</v>
      </c>
      <c r="T37" s="67">
        <v>0</v>
      </c>
      <c r="U37" s="67">
        <v>0</v>
      </c>
      <c r="V37" s="67">
        <v>0</v>
      </c>
      <c r="W37" s="67">
        <v>0</v>
      </c>
      <c r="X37" s="67">
        <v>0</v>
      </c>
      <c r="Y37" s="67">
        <v>0</v>
      </c>
      <c r="Z37" s="67">
        <v>0</v>
      </c>
      <c r="AA37" s="67">
        <v>0</v>
      </c>
      <c r="AB37" s="67">
        <v>0</v>
      </c>
      <c r="AC37" s="68">
        <v>0</v>
      </c>
      <c r="AD37" s="69">
        <f>IFERROR(AVERAGEIF(Tabella01MarzoInverter[[#This Row],[Active power TX2-INV-1]:[Active power TX2-INV-12]], "&gt;0"), 0)</f>
        <v>0</v>
      </c>
      <c r="AE37" s="67">
        <f>MAX(Tabella01MarzoInverter[[#This Row],[Active power TX2-INV-1]:[Active power TX2-INV-12]])</f>
        <v>0</v>
      </c>
      <c r="AF37" s="70">
        <f>MIN(Tabella01MarzoInverter[[#This Row],[Active power TX2-INV-1]:[Active power TX2-INV-12]])</f>
        <v>0</v>
      </c>
      <c r="AG37" s="71">
        <v>0</v>
      </c>
      <c r="AH37" s="67">
        <v>0</v>
      </c>
      <c r="AI37" s="67">
        <v>0</v>
      </c>
      <c r="AJ37" s="67">
        <v>0</v>
      </c>
      <c r="AK37" s="67">
        <v>0</v>
      </c>
      <c r="AL37" s="67">
        <v>0</v>
      </c>
      <c r="AM37" s="67">
        <v>0</v>
      </c>
      <c r="AN37" s="67">
        <v>0</v>
      </c>
      <c r="AO37" s="67">
        <v>0</v>
      </c>
      <c r="AP37" s="67">
        <v>0</v>
      </c>
      <c r="AQ37" s="67">
        <v>0</v>
      </c>
      <c r="AR37" s="68">
        <v>0</v>
      </c>
      <c r="AS37" s="69">
        <f>IFERROR(AVERAGEIF(Tabella01MarzoInverter[[#This Row],[Active power TX3-INV-1]:[Active power TX3-INV-12]], "&gt;0"), 0)</f>
        <v>0</v>
      </c>
      <c r="AT37" s="67">
        <f>MAX(Tabella01MarzoInverter[[#This Row],[Active power TX3-INV-1]:[Active power TX3-INV-12]])</f>
        <v>0</v>
      </c>
      <c r="AU37" s="70">
        <f>MIN(Tabella01MarzoInverter[[#This Row],[Active power TX3-INV-1]:[Active power TX3-INV-12]])</f>
        <v>0</v>
      </c>
    </row>
    <row r="38" spans="1:47" x14ac:dyDescent="0.25">
      <c r="A38" s="65">
        <v>46147</v>
      </c>
      <c r="B38" s="72" t="s">
        <v>38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8">
        <v>0</v>
      </c>
      <c r="O38" s="69">
        <f>IFERROR(AVERAGEIF(Tabella01MarzoInverter[[#This Row],[Active power TX1-INV-1]:[Active power TX1-INV-12]], "&gt;0"), 0)</f>
        <v>0</v>
      </c>
      <c r="P38" s="67">
        <f>MAX(Tabella01MarzoInverter[[#This Row],[Active power TX1-INV-1]:[Active power TX1-INV-12]])</f>
        <v>0</v>
      </c>
      <c r="Q38" s="70">
        <f>MIN(Tabella01MarzoInverter[[#This Row],[Active power TX1-INV-1]:[Active power TX1-INV-12]])</f>
        <v>0</v>
      </c>
      <c r="R38" s="71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  <c r="Z38" s="67">
        <v>0</v>
      </c>
      <c r="AA38" s="67">
        <v>0</v>
      </c>
      <c r="AB38" s="67">
        <v>0</v>
      </c>
      <c r="AC38" s="68">
        <v>0</v>
      </c>
      <c r="AD38" s="69">
        <f>IFERROR(AVERAGEIF(Tabella01MarzoInverter[[#This Row],[Active power TX2-INV-1]:[Active power TX2-INV-12]], "&gt;0"), 0)</f>
        <v>0</v>
      </c>
      <c r="AE38" s="67">
        <f>MAX(Tabella01MarzoInverter[[#This Row],[Active power TX2-INV-1]:[Active power TX2-INV-12]])</f>
        <v>0</v>
      </c>
      <c r="AF38" s="70">
        <f>MIN(Tabella01MarzoInverter[[#This Row],[Active power TX2-INV-1]:[Active power TX2-INV-12]])</f>
        <v>0</v>
      </c>
      <c r="AG38" s="71">
        <v>0</v>
      </c>
      <c r="AH38" s="67">
        <v>0</v>
      </c>
      <c r="AI38" s="67">
        <v>0</v>
      </c>
      <c r="AJ38" s="67">
        <v>0</v>
      </c>
      <c r="AK38" s="67">
        <v>0</v>
      </c>
      <c r="AL38" s="67">
        <v>0</v>
      </c>
      <c r="AM38" s="67">
        <v>0</v>
      </c>
      <c r="AN38" s="67">
        <v>0</v>
      </c>
      <c r="AO38" s="67">
        <v>0</v>
      </c>
      <c r="AP38" s="67">
        <v>0</v>
      </c>
      <c r="AQ38" s="67">
        <v>0</v>
      </c>
      <c r="AR38" s="68">
        <v>0</v>
      </c>
      <c r="AS38" s="69">
        <f>IFERROR(AVERAGEIF(Tabella01MarzoInverter[[#This Row],[Active power TX3-INV-1]:[Active power TX3-INV-12]], "&gt;0"), 0)</f>
        <v>0</v>
      </c>
      <c r="AT38" s="67">
        <f>MAX(Tabella01MarzoInverter[[#This Row],[Active power TX3-INV-1]:[Active power TX3-INV-12]])</f>
        <v>0</v>
      </c>
      <c r="AU38" s="70">
        <f>MIN(Tabella01MarzoInverter[[#This Row],[Active power TX3-INV-1]:[Active power TX3-INV-12]])</f>
        <v>0</v>
      </c>
    </row>
    <row r="39" spans="1:47" x14ac:dyDescent="0.25">
      <c r="A39" s="65">
        <v>46147</v>
      </c>
      <c r="B39" s="66" t="s">
        <v>39</v>
      </c>
      <c r="C39" s="67">
        <v>0</v>
      </c>
      <c r="D39" s="67">
        <v>0</v>
      </c>
      <c r="E39" s="67">
        <v>0</v>
      </c>
      <c r="F39" s="67">
        <v>0</v>
      </c>
      <c r="G39" s="67">
        <v>0</v>
      </c>
      <c r="H39" s="67">
        <v>0</v>
      </c>
      <c r="I39" s="67">
        <v>0</v>
      </c>
      <c r="J39" s="67">
        <v>0</v>
      </c>
      <c r="K39" s="67">
        <v>0</v>
      </c>
      <c r="L39" s="67">
        <v>0</v>
      </c>
      <c r="M39" s="67">
        <v>0</v>
      </c>
      <c r="N39" s="68">
        <v>0</v>
      </c>
      <c r="O39" s="69">
        <f>IFERROR(AVERAGEIF(Tabella01MarzoInverter[[#This Row],[Active power TX1-INV-1]:[Active power TX1-INV-12]], "&gt;0"), 0)</f>
        <v>0</v>
      </c>
      <c r="P39" s="67">
        <f>MAX(Tabella01MarzoInverter[[#This Row],[Active power TX1-INV-1]:[Active power TX1-INV-12]])</f>
        <v>0</v>
      </c>
      <c r="Q39" s="70">
        <f>MIN(Tabella01MarzoInverter[[#This Row],[Active power TX1-INV-1]:[Active power TX1-INV-12]])</f>
        <v>0</v>
      </c>
      <c r="R39" s="71">
        <v>0</v>
      </c>
      <c r="S39" s="67">
        <v>0</v>
      </c>
      <c r="T39" s="67">
        <v>0</v>
      </c>
      <c r="U39" s="67">
        <v>0</v>
      </c>
      <c r="V39" s="67">
        <v>0</v>
      </c>
      <c r="W39" s="67">
        <v>0</v>
      </c>
      <c r="X39" s="67">
        <v>0</v>
      </c>
      <c r="Y39" s="67">
        <v>0</v>
      </c>
      <c r="Z39" s="67">
        <v>0</v>
      </c>
      <c r="AA39" s="67">
        <v>0</v>
      </c>
      <c r="AB39" s="67">
        <v>0</v>
      </c>
      <c r="AC39" s="68">
        <v>0</v>
      </c>
      <c r="AD39" s="69">
        <f>IFERROR(AVERAGEIF(Tabella01MarzoInverter[[#This Row],[Active power TX2-INV-1]:[Active power TX2-INV-12]], "&gt;0"), 0)</f>
        <v>0</v>
      </c>
      <c r="AE39" s="67">
        <f>MAX(Tabella01MarzoInverter[[#This Row],[Active power TX2-INV-1]:[Active power TX2-INV-12]])</f>
        <v>0</v>
      </c>
      <c r="AF39" s="70">
        <f>MIN(Tabella01MarzoInverter[[#This Row],[Active power TX2-INV-1]:[Active power TX2-INV-12]])</f>
        <v>0</v>
      </c>
      <c r="AG39" s="71">
        <v>0</v>
      </c>
      <c r="AH39" s="67">
        <v>0</v>
      </c>
      <c r="AI39" s="67">
        <v>0</v>
      </c>
      <c r="AJ39" s="67">
        <v>0</v>
      </c>
      <c r="AK39" s="67">
        <v>0</v>
      </c>
      <c r="AL39" s="67">
        <v>0</v>
      </c>
      <c r="AM39" s="67">
        <v>0</v>
      </c>
      <c r="AN39" s="67">
        <v>0</v>
      </c>
      <c r="AO39" s="67">
        <v>0</v>
      </c>
      <c r="AP39" s="67">
        <v>0</v>
      </c>
      <c r="AQ39" s="67">
        <v>0</v>
      </c>
      <c r="AR39" s="68">
        <v>0</v>
      </c>
      <c r="AS39" s="69">
        <f>IFERROR(AVERAGEIF(Tabella01MarzoInverter[[#This Row],[Active power TX3-INV-1]:[Active power TX3-INV-12]], "&gt;0"), 0)</f>
        <v>0</v>
      </c>
      <c r="AT39" s="67">
        <f>MAX(Tabella01MarzoInverter[[#This Row],[Active power TX3-INV-1]:[Active power TX3-INV-12]])</f>
        <v>0</v>
      </c>
      <c r="AU39" s="70">
        <f>MIN(Tabella01MarzoInverter[[#This Row],[Active power TX3-INV-1]:[Active power TX3-INV-12]])</f>
        <v>0</v>
      </c>
    </row>
    <row r="40" spans="1:47" x14ac:dyDescent="0.25">
      <c r="A40" s="65">
        <v>46147</v>
      </c>
      <c r="B40" s="72" t="s">
        <v>40</v>
      </c>
      <c r="C40" s="67">
        <v>0</v>
      </c>
      <c r="D40" s="67">
        <v>0</v>
      </c>
      <c r="E40" s="67">
        <v>0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8">
        <v>0</v>
      </c>
      <c r="O40" s="69">
        <f>IFERROR(AVERAGEIF(Tabella01MarzoInverter[[#This Row],[Active power TX1-INV-1]:[Active power TX1-INV-12]], "&gt;0"), 0)</f>
        <v>0</v>
      </c>
      <c r="P40" s="67">
        <f>MAX(Tabella01MarzoInverter[[#This Row],[Active power TX1-INV-1]:[Active power TX1-INV-12]])</f>
        <v>0</v>
      </c>
      <c r="Q40" s="70">
        <f>MIN(Tabella01MarzoInverter[[#This Row],[Active power TX1-INV-1]:[Active power TX1-INV-12]])</f>
        <v>0</v>
      </c>
      <c r="R40" s="71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8">
        <v>0</v>
      </c>
      <c r="AD40" s="69">
        <f>IFERROR(AVERAGEIF(Tabella01MarzoInverter[[#This Row],[Active power TX2-INV-1]:[Active power TX2-INV-12]], "&gt;0"), 0)</f>
        <v>0</v>
      </c>
      <c r="AE40" s="67">
        <f>MAX(Tabella01MarzoInverter[[#This Row],[Active power TX2-INV-1]:[Active power TX2-INV-12]])</f>
        <v>0</v>
      </c>
      <c r="AF40" s="70">
        <f>MIN(Tabella01MarzoInverter[[#This Row],[Active power TX2-INV-1]:[Active power TX2-INV-12]])</f>
        <v>0</v>
      </c>
      <c r="AG40" s="71">
        <v>0</v>
      </c>
      <c r="AH40" s="67">
        <v>0</v>
      </c>
      <c r="AI40" s="67">
        <v>0</v>
      </c>
      <c r="AJ40" s="67">
        <v>0</v>
      </c>
      <c r="AK40" s="67">
        <v>0</v>
      </c>
      <c r="AL40" s="67">
        <v>0</v>
      </c>
      <c r="AM40" s="67">
        <v>0</v>
      </c>
      <c r="AN40" s="67">
        <v>0</v>
      </c>
      <c r="AO40" s="67">
        <v>0</v>
      </c>
      <c r="AP40" s="67">
        <v>0</v>
      </c>
      <c r="AQ40" s="67">
        <v>0</v>
      </c>
      <c r="AR40" s="68">
        <v>0</v>
      </c>
      <c r="AS40" s="69">
        <f>IFERROR(AVERAGEIF(Tabella01MarzoInverter[[#This Row],[Active power TX3-INV-1]:[Active power TX3-INV-12]], "&gt;0"), 0)</f>
        <v>0</v>
      </c>
      <c r="AT40" s="67">
        <f>MAX(Tabella01MarzoInverter[[#This Row],[Active power TX3-INV-1]:[Active power TX3-INV-12]])</f>
        <v>0</v>
      </c>
      <c r="AU40" s="70">
        <f>MIN(Tabella01MarzoInverter[[#This Row],[Active power TX3-INV-1]:[Active power TX3-INV-12]])</f>
        <v>0</v>
      </c>
    </row>
    <row r="41" spans="1:47" x14ac:dyDescent="0.25">
      <c r="A41" s="65">
        <v>46147</v>
      </c>
      <c r="B41" s="66" t="s">
        <v>41</v>
      </c>
      <c r="C41" s="67">
        <v>0.2</v>
      </c>
      <c r="D41" s="67">
        <v>0.4</v>
      </c>
      <c r="E41" s="67">
        <v>0.7</v>
      </c>
      <c r="F41" s="67">
        <v>0.4</v>
      </c>
      <c r="G41" s="67">
        <v>2.6</v>
      </c>
      <c r="H41" s="67">
        <v>0.3</v>
      </c>
      <c r="I41" s="67">
        <v>0.4</v>
      </c>
      <c r="J41" s="67">
        <v>0.5</v>
      </c>
      <c r="K41" s="67">
        <v>0.5</v>
      </c>
      <c r="L41" s="67">
        <v>0.4</v>
      </c>
      <c r="M41" s="67">
        <v>0.3</v>
      </c>
      <c r="N41" s="68">
        <v>1</v>
      </c>
      <c r="O41" s="69">
        <f>IFERROR(AVERAGEIF(Tabella01MarzoInverter[[#This Row],[Active power TX1-INV-1]:[Active power TX1-INV-12]], "&gt;0"), 0)</f>
        <v>0.64166666666666672</v>
      </c>
      <c r="P41" s="67">
        <f>MAX(Tabella01MarzoInverter[[#This Row],[Active power TX1-INV-1]:[Active power TX1-INV-12]])</f>
        <v>2.6</v>
      </c>
      <c r="Q41" s="70">
        <f>MIN(Tabella01MarzoInverter[[#This Row],[Active power TX1-INV-1]:[Active power TX1-INV-12]])</f>
        <v>0.2</v>
      </c>
      <c r="R41" s="71">
        <v>0.5</v>
      </c>
      <c r="S41" s="67">
        <v>0.4</v>
      </c>
      <c r="T41" s="67">
        <v>2.2000000000000002</v>
      </c>
      <c r="U41" s="67">
        <v>0.4</v>
      </c>
      <c r="V41" s="67">
        <v>2.1</v>
      </c>
      <c r="W41" s="67">
        <v>0.6</v>
      </c>
      <c r="X41" s="67">
        <v>0.5</v>
      </c>
      <c r="Y41" s="67">
        <v>3.5</v>
      </c>
      <c r="Z41" s="67">
        <v>0.6</v>
      </c>
      <c r="AA41" s="67">
        <v>0.3</v>
      </c>
      <c r="AB41" s="67">
        <v>0.1</v>
      </c>
      <c r="AC41" s="68">
        <v>2.1</v>
      </c>
      <c r="AD41" s="69">
        <f>IFERROR(AVERAGEIF(Tabella01MarzoInverter[[#This Row],[Active power TX2-INV-1]:[Active power TX2-INV-12]], "&gt;0"), 0)</f>
        <v>1.1083333333333332</v>
      </c>
      <c r="AE41" s="67">
        <f>MAX(Tabella01MarzoInverter[[#This Row],[Active power TX2-INV-1]:[Active power TX2-INV-12]])</f>
        <v>3.5</v>
      </c>
      <c r="AF41" s="70">
        <f>MIN(Tabella01MarzoInverter[[#This Row],[Active power TX2-INV-1]:[Active power TX2-INV-12]])</f>
        <v>0.1</v>
      </c>
      <c r="AG41" s="71">
        <v>2.9</v>
      </c>
      <c r="AH41" s="67">
        <v>0.4</v>
      </c>
      <c r="AI41" s="67">
        <v>1.1000000000000001</v>
      </c>
      <c r="AJ41" s="67">
        <v>0.6</v>
      </c>
      <c r="AK41" s="67">
        <v>0.6</v>
      </c>
      <c r="AL41" s="67">
        <v>0.3</v>
      </c>
      <c r="AM41" s="67">
        <v>0.4</v>
      </c>
      <c r="AN41" s="67">
        <v>0.2</v>
      </c>
      <c r="AO41" s="67">
        <v>0.5</v>
      </c>
      <c r="AP41" s="67">
        <v>0.3</v>
      </c>
      <c r="AQ41" s="67">
        <v>0.4</v>
      </c>
      <c r="AR41" s="68">
        <v>0.6</v>
      </c>
      <c r="AS41" s="69">
        <f>IFERROR(AVERAGEIF(Tabella01MarzoInverter[[#This Row],[Active power TX3-INV-1]:[Active power TX3-INV-12]], "&gt;0"), 0)</f>
        <v>0.69166666666666676</v>
      </c>
      <c r="AT41" s="67">
        <f>MAX(Tabella01MarzoInverter[[#This Row],[Active power TX3-INV-1]:[Active power TX3-INV-12]])</f>
        <v>2.9</v>
      </c>
      <c r="AU41" s="70">
        <f>MIN(Tabella01MarzoInverter[[#This Row],[Active power TX3-INV-1]:[Active power TX3-INV-12]])</f>
        <v>0.2</v>
      </c>
    </row>
    <row r="42" spans="1:47" x14ac:dyDescent="0.25">
      <c r="A42" s="65">
        <v>46147</v>
      </c>
      <c r="B42" s="72" t="s">
        <v>42</v>
      </c>
      <c r="C42" s="67">
        <v>8.4</v>
      </c>
      <c r="D42" s="67">
        <v>8.1999999999999993</v>
      </c>
      <c r="E42" s="67">
        <v>8.4</v>
      </c>
      <c r="F42" s="67">
        <v>8.6999999999999993</v>
      </c>
      <c r="G42" s="67">
        <v>8.4</v>
      </c>
      <c r="H42" s="67">
        <v>8.4</v>
      </c>
      <c r="I42" s="67">
        <v>8.4</v>
      </c>
      <c r="J42" s="67">
        <v>8.8000000000000007</v>
      </c>
      <c r="K42" s="67">
        <v>8.8000000000000007</v>
      </c>
      <c r="L42" s="67">
        <v>8.6999999999999993</v>
      </c>
      <c r="M42" s="67">
        <v>8.6</v>
      </c>
      <c r="N42" s="68">
        <v>8.5</v>
      </c>
      <c r="O42" s="69">
        <f>IFERROR(AVERAGEIF(Tabella01MarzoInverter[[#This Row],[Active power TX1-INV-1]:[Active power TX1-INV-12]], "&gt;0"), 0)</f>
        <v>8.5250000000000004</v>
      </c>
      <c r="P42" s="67">
        <f>MAX(Tabella01MarzoInverter[[#This Row],[Active power TX1-INV-1]:[Active power TX1-INV-12]])</f>
        <v>8.8000000000000007</v>
      </c>
      <c r="Q42" s="70">
        <f>MIN(Tabella01MarzoInverter[[#This Row],[Active power TX1-INV-1]:[Active power TX1-INV-12]])</f>
        <v>8.1999999999999993</v>
      </c>
      <c r="R42" s="71">
        <v>7.9</v>
      </c>
      <c r="S42" s="67">
        <v>8.3000000000000007</v>
      </c>
      <c r="T42" s="67">
        <v>8.1999999999999993</v>
      </c>
      <c r="U42" s="67">
        <v>7.9</v>
      </c>
      <c r="V42" s="67">
        <v>8</v>
      </c>
      <c r="W42" s="67">
        <v>8.6</v>
      </c>
      <c r="X42" s="67">
        <v>8.5</v>
      </c>
      <c r="Y42" s="67">
        <v>9</v>
      </c>
      <c r="Z42" s="67">
        <v>8.8000000000000007</v>
      </c>
      <c r="AA42" s="67">
        <v>8</v>
      </c>
      <c r="AB42" s="67">
        <v>8.8000000000000007</v>
      </c>
      <c r="AC42" s="68">
        <v>8.9</v>
      </c>
      <c r="AD42" s="69">
        <f>IFERROR(AVERAGEIF(Tabella01MarzoInverter[[#This Row],[Active power TX2-INV-1]:[Active power TX2-INV-12]], "&gt;0"), 0)</f>
        <v>8.4083333333333332</v>
      </c>
      <c r="AE42" s="67">
        <f>MAX(Tabella01MarzoInverter[[#This Row],[Active power TX2-INV-1]:[Active power TX2-INV-12]])</f>
        <v>9</v>
      </c>
      <c r="AF42" s="70">
        <f>MIN(Tabella01MarzoInverter[[#This Row],[Active power TX2-INV-1]:[Active power TX2-INV-12]])</f>
        <v>7.9</v>
      </c>
      <c r="AG42" s="71">
        <v>9.1</v>
      </c>
      <c r="AH42" s="67">
        <v>8.6999999999999993</v>
      </c>
      <c r="AI42" s="67">
        <v>8.8000000000000007</v>
      </c>
      <c r="AJ42" s="67">
        <v>8.1</v>
      </c>
      <c r="AK42" s="67">
        <v>8.6999999999999993</v>
      </c>
      <c r="AL42" s="67">
        <v>8.8000000000000007</v>
      </c>
      <c r="AM42" s="67">
        <v>8.9</v>
      </c>
      <c r="AN42" s="67">
        <v>8.6999999999999993</v>
      </c>
      <c r="AO42" s="67">
        <v>8.6</v>
      </c>
      <c r="AP42" s="67">
        <v>8.8000000000000007</v>
      </c>
      <c r="AQ42" s="67">
        <v>8.8000000000000007</v>
      </c>
      <c r="AR42" s="68">
        <v>8</v>
      </c>
      <c r="AS42" s="69">
        <f>IFERROR(AVERAGEIF(Tabella01MarzoInverter[[#This Row],[Active power TX3-INV-1]:[Active power TX3-INV-12]], "&gt;0"), 0)</f>
        <v>8.6666666666666643</v>
      </c>
      <c r="AT42" s="67">
        <f>MAX(Tabella01MarzoInverter[[#This Row],[Active power TX3-INV-1]:[Active power TX3-INV-12]])</f>
        <v>9.1</v>
      </c>
      <c r="AU42" s="70">
        <f>MIN(Tabella01MarzoInverter[[#This Row],[Active power TX3-INV-1]:[Active power TX3-INV-12]])</f>
        <v>8</v>
      </c>
    </row>
    <row r="43" spans="1:47" x14ac:dyDescent="0.25">
      <c r="A43" s="65">
        <v>46147</v>
      </c>
      <c r="B43" s="66" t="s">
        <v>43</v>
      </c>
      <c r="C43" s="67">
        <v>19.5</v>
      </c>
      <c r="D43" s="67">
        <v>19.3</v>
      </c>
      <c r="E43" s="67">
        <v>19.600000000000001</v>
      </c>
      <c r="F43" s="67">
        <v>19.899999999999999</v>
      </c>
      <c r="G43" s="67">
        <v>19.7</v>
      </c>
      <c r="H43" s="67">
        <v>19.600000000000001</v>
      </c>
      <c r="I43" s="67">
        <v>18.899999999999999</v>
      </c>
      <c r="J43" s="67">
        <v>20.7</v>
      </c>
      <c r="K43" s="67">
        <v>20.6</v>
      </c>
      <c r="L43" s="67">
        <v>20.399999999999999</v>
      </c>
      <c r="M43" s="67">
        <v>20.399999999999999</v>
      </c>
      <c r="N43" s="68">
        <v>20.100000000000001</v>
      </c>
      <c r="O43" s="69">
        <f>IFERROR(AVERAGEIF(Tabella01MarzoInverter[[#This Row],[Active power TX1-INV-1]:[Active power TX1-INV-12]], "&gt;0"), 0)</f>
        <v>19.891666666666666</v>
      </c>
      <c r="P43" s="67">
        <f>MAX(Tabella01MarzoInverter[[#This Row],[Active power TX1-INV-1]:[Active power TX1-INV-12]])</f>
        <v>20.7</v>
      </c>
      <c r="Q43" s="70">
        <f>MIN(Tabella01MarzoInverter[[#This Row],[Active power TX1-INV-1]:[Active power TX1-INV-12]])</f>
        <v>18.899999999999999</v>
      </c>
      <c r="R43" s="71">
        <v>18.7</v>
      </c>
      <c r="S43" s="67">
        <v>19.600000000000001</v>
      </c>
      <c r="T43" s="67">
        <v>19.399999999999999</v>
      </c>
      <c r="U43" s="67">
        <v>17.899999999999999</v>
      </c>
      <c r="V43" s="67">
        <v>18.8</v>
      </c>
      <c r="W43" s="67">
        <v>20.9</v>
      </c>
      <c r="X43" s="67">
        <v>20.100000000000001</v>
      </c>
      <c r="Y43" s="67">
        <v>20.7</v>
      </c>
      <c r="Z43" s="67">
        <v>20.8</v>
      </c>
      <c r="AA43" s="67">
        <v>19.899999999999999</v>
      </c>
      <c r="AB43" s="67">
        <v>20.9</v>
      </c>
      <c r="AC43" s="68">
        <v>21.1</v>
      </c>
      <c r="AD43" s="69">
        <f>IFERROR(AVERAGEIF(Tabella01MarzoInverter[[#This Row],[Active power TX2-INV-1]:[Active power TX2-INV-12]], "&gt;0"), 0)</f>
        <v>19.899999999999999</v>
      </c>
      <c r="AE43" s="67">
        <f>MAX(Tabella01MarzoInverter[[#This Row],[Active power TX2-INV-1]:[Active power TX2-INV-12]])</f>
        <v>21.1</v>
      </c>
      <c r="AF43" s="70">
        <f>MIN(Tabella01MarzoInverter[[#This Row],[Active power TX2-INV-1]:[Active power TX2-INV-12]])</f>
        <v>17.899999999999999</v>
      </c>
      <c r="AG43" s="71">
        <v>20.8</v>
      </c>
      <c r="AH43" s="67">
        <v>20.5</v>
      </c>
      <c r="AI43" s="67">
        <v>20.7</v>
      </c>
      <c r="AJ43" s="67">
        <v>20.100000000000001</v>
      </c>
      <c r="AK43" s="67">
        <v>20.7</v>
      </c>
      <c r="AL43" s="67">
        <v>19.7</v>
      </c>
      <c r="AM43" s="67">
        <v>20.8</v>
      </c>
      <c r="AN43" s="67">
        <v>20.399999999999999</v>
      </c>
      <c r="AO43" s="67">
        <v>20.5</v>
      </c>
      <c r="AP43" s="67">
        <v>20.399999999999999</v>
      </c>
      <c r="AQ43" s="67">
        <v>20.9</v>
      </c>
      <c r="AR43" s="68">
        <v>18.8</v>
      </c>
      <c r="AS43" s="69">
        <f>IFERROR(AVERAGEIF(Tabella01MarzoInverter[[#This Row],[Active power TX3-INV-1]:[Active power TX3-INV-12]], "&gt;0"), 0)</f>
        <v>20.358333333333338</v>
      </c>
      <c r="AT43" s="67">
        <f>MAX(Tabella01MarzoInverter[[#This Row],[Active power TX3-INV-1]:[Active power TX3-INV-12]])</f>
        <v>20.9</v>
      </c>
      <c r="AU43" s="70">
        <f>MIN(Tabella01MarzoInverter[[#This Row],[Active power TX3-INV-1]:[Active power TX3-INV-12]])</f>
        <v>18.8</v>
      </c>
    </row>
    <row r="44" spans="1:47" x14ac:dyDescent="0.25">
      <c r="A44" s="65">
        <v>46147</v>
      </c>
      <c r="B44" s="72" t="s">
        <v>44</v>
      </c>
      <c r="C44" s="67">
        <v>38.5</v>
      </c>
      <c r="D44" s="67">
        <v>38.200000000000003</v>
      </c>
      <c r="E44" s="67">
        <v>38.799999999999997</v>
      </c>
      <c r="F44" s="67">
        <v>39.200000000000003</v>
      </c>
      <c r="G44" s="67">
        <v>38.9</v>
      </c>
      <c r="H44" s="67">
        <v>38.6</v>
      </c>
      <c r="I44" s="67">
        <v>38.700000000000003</v>
      </c>
      <c r="J44" s="67">
        <v>40.5</v>
      </c>
      <c r="K44" s="67">
        <v>40.200000000000003</v>
      </c>
      <c r="L44" s="67">
        <v>40</v>
      </c>
      <c r="M44" s="67">
        <v>40.200000000000003</v>
      </c>
      <c r="N44" s="68">
        <v>38</v>
      </c>
      <c r="O44" s="69">
        <f>IFERROR(AVERAGEIF(Tabella01MarzoInverter[[#This Row],[Active power TX1-INV-1]:[Active power TX1-INV-12]], "&gt;0"), 0)</f>
        <v>39.15</v>
      </c>
      <c r="P44" s="67">
        <f>MAX(Tabella01MarzoInverter[[#This Row],[Active power TX1-INV-1]:[Active power TX1-INV-12]])</f>
        <v>40.5</v>
      </c>
      <c r="Q44" s="70">
        <f>MIN(Tabella01MarzoInverter[[#This Row],[Active power TX1-INV-1]:[Active power TX1-INV-12]])</f>
        <v>38</v>
      </c>
      <c r="R44" s="71">
        <v>36.9</v>
      </c>
      <c r="S44" s="67">
        <v>38.299999999999997</v>
      </c>
      <c r="T44" s="67">
        <v>38.1</v>
      </c>
      <c r="U44" s="67">
        <v>37.200000000000003</v>
      </c>
      <c r="V44" s="67">
        <v>37.200000000000003</v>
      </c>
      <c r="W44" s="67">
        <v>40.700000000000003</v>
      </c>
      <c r="X44" s="67">
        <v>39.200000000000003</v>
      </c>
      <c r="Y44" s="67">
        <v>40.5</v>
      </c>
      <c r="Z44" s="67">
        <v>40.6</v>
      </c>
      <c r="AA44" s="67">
        <v>38.799999999999997</v>
      </c>
      <c r="AB44" s="67">
        <v>40.799999999999997</v>
      </c>
      <c r="AC44" s="68">
        <v>41.1</v>
      </c>
      <c r="AD44" s="69">
        <f>IFERROR(AVERAGEIF(Tabella01MarzoInverter[[#This Row],[Active power TX2-INV-1]:[Active power TX2-INV-12]], "&gt;0"), 0)</f>
        <v>39.116666666666667</v>
      </c>
      <c r="AE44" s="67">
        <f>MAX(Tabella01MarzoInverter[[#This Row],[Active power TX2-INV-1]:[Active power TX2-INV-12]])</f>
        <v>41.1</v>
      </c>
      <c r="AF44" s="70">
        <f>MIN(Tabella01MarzoInverter[[#This Row],[Active power TX2-INV-1]:[Active power TX2-INV-12]])</f>
        <v>36.9</v>
      </c>
      <c r="AG44" s="71">
        <v>40.700000000000003</v>
      </c>
      <c r="AH44" s="67">
        <v>39.9</v>
      </c>
      <c r="AI44" s="67">
        <v>40.299999999999997</v>
      </c>
      <c r="AJ44" s="67">
        <v>40.6</v>
      </c>
      <c r="AK44" s="67">
        <v>40.4</v>
      </c>
      <c r="AL44" s="67">
        <v>40.700000000000003</v>
      </c>
      <c r="AM44" s="67">
        <v>40.9</v>
      </c>
      <c r="AN44" s="67">
        <v>40</v>
      </c>
      <c r="AO44" s="67">
        <v>40.1</v>
      </c>
      <c r="AP44" s="67">
        <v>39.700000000000003</v>
      </c>
      <c r="AQ44" s="67">
        <v>40.9</v>
      </c>
      <c r="AR44" s="68">
        <v>37.200000000000003</v>
      </c>
      <c r="AS44" s="69">
        <f>IFERROR(AVERAGEIF(Tabella01MarzoInverter[[#This Row],[Active power TX3-INV-1]:[Active power TX3-INV-12]], "&gt;0"), 0)</f>
        <v>40.116666666666667</v>
      </c>
      <c r="AT44" s="67">
        <f>MAX(Tabella01MarzoInverter[[#This Row],[Active power TX3-INV-1]:[Active power TX3-INV-12]])</f>
        <v>40.9</v>
      </c>
      <c r="AU44" s="70">
        <f>MIN(Tabella01MarzoInverter[[#This Row],[Active power TX3-INV-1]:[Active power TX3-INV-12]])</f>
        <v>37.200000000000003</v>
      </c>
    </row>
    <row r="45" spans="1:47" x14ac:dyDescent="0.25">
      <c r="A45" s="65">
        <v>46147</v>
      </c>
      <c r="B45" s="66" t="s">
        <v>45</v>
      </c>
      <c r="C45" s="67">
        <v>24.9</v>
      </c>
      <c r="D45" s="67">
        <v>24.6</v>
      </c>
      <c r="E45" s="67">
        <v>24.1</v>
      </c>
      <c r="F45" s="67">
        <v>25</v>
      </c>
      <c r="G45" s="67">
        <v>24.8</v>
      </c>
      <c r="H45" s="67">
        <v>24.6</v>
      </c>
      <c r="I45" s="67">
        <v>24.6</v>
      </c>
      <c r="J45" s="67">
        <v>25.8</v>
      </c>
      <c r="K45" s="67">
        <v>25.4</v>
      </c>
      <c r="L45" s="67">
        <v>25.2</v>
      </c>
      <c r="M45" s="67">
        <v>25.2</v>
      </c>
      <c r="N45" s="68">
        <v>24.7</v>
      </c>
      <c r="O45" s="69">
        <f>IFERROR(AVERAGEIF(Tabella01MarzoInverter[[#This Row],[Active power TX1-INV-1]:[Active power TX1-INV-12]], "&gt;0"), 0)</f>
        <v>24.908333333333331</v>
      </c>
      <c r="P45" s="67">
        <f>MAX(Tabella01MarzoInverter[[#This Row],[Active power TX1-INV-1]:[Active power TX1-INV-12]])</f>
        <v>25.8</v>
      </c>
      <c r="Q45" s="70">
        <f>MIN(Tabella01MarzoInverter[[#This Row],[Active power TX1-INV-1]:[Active power TX1-INV-12]])</f>
        <v>24.1</v>
      </c>
      <c r="R45" s="71">
        <v>23.2</v>
      </c>
      <c r="S45" s="67">
        <v>24.1</v>
      </c>
      <c r="T45" s="67">
        <v>23.9</v>
      </c>
      <c r="U45" s="67">
        <v>23.3</v>
      </c>
      <c r="V45" s="67">
        <v>23.2</v>
      </c>
      <c r="W45" s="67">
        <v>25.3</v>
      </c>
      <c r="X45" s="67">
        <v>24.3</v>
      </c>
      <c r="Y45" s="67">
        <v>24.9</v>
      </c>
      <c r="Z45" s="67">
        <v>25</v>
      </c>
      <c r="AA45" s="67">
        <v>23.8</v>
      </c>
      <c r="AB45" s="67">
        <v>24.9</v>
      </c>
      <c r="AC45" s="68">
        <v>25</v>
      </c>
      <c r="AD45" s="69">
        <f>IFERROR(AVERAGEIF(Tabella01MarzoInverter[[#This Row],[Active power TX2-INV-1]:[Active power TX2-INV-12]], "&gt;0"), 0)</f>
        <v>24.241666666666671</v>
      </c>
      <c r="AE45" s="67">
        <f>MAX(Tabella01MarzoInverter[[#This Row],[Active power TX2-INV-1]:[Active power TX2-INV-12]])</f>
        <v>25.3</v>
      </c>
      <c r="AF45" s="70">
        <f>MIN(Tabella01MarzoInverter[[#This Row],[Active power TX2-INV-1]:[Active power TX2-INV-12]])</f>
        <v>23.2</v>
      </c>
      <c r="AG45" s="71">
        <v>25.7</v>
      </c>
      <c r="AH45" s="67">
        <v>25.3</v>
      </c>
      <c r="AI45" s="67">
        <v>25.6</v>
      </c>
      <c r="AJ45" s="67">
        <v>25.7</v>
      </c>
      <c r="AK45" s="67">
        <v>25.6</v>
      </c>
      <c r="AL45" s="67">
        <v>25.6</v>
      </c>
      <c r="AM45" s="67">
        <v>26</v>
      </c>
      <c r="AN45" s="67">
        <v>25.5</v>
      </c>
      <c r="AO45" s="67">
        <v>25.6</v>
      </c>
      <c r="AP45" s="67">
        <v>25.4</v>
      </c>
      <c r="AQ45" s="67">
        <v>25.9</v>
      </c>
      <c r="AR45" s="68">
        <v>24</v>
      </c>
      <c r="AS45" s="69">
        <f>IFERROR(AVERAGEIF(Tabella01MarzoInverter[[#This Row],[Active power TX3-INV-1]:[Active power TX3-INV-12]], "&gt;0"), 0)</f>
        <v>25.491666666666664</v>
      </c>
      <c r="AT45" s="67">
        <f>MAX(Tabella01MarzoInverter[[#This Row],[Active power TX3-INV-1]:[Active power TX3-INV-12]])</f>
        <v>26</v>
      </c>
      <c r="AU45" s="70">
        <f>MIN(Tabella01MarzoInverter[[#This Row],[Active power TX3-INV-1]:[Active power TX3-INV-12]])</f>
        <v>24</v>
      </c>
    </row>
    <row r="46" spans="1:47" x14ac:dyDescent="0.25">
      <c r="A46" s="65">
        <v>46147</v>
      </c>
      <c r="B46" s="72" t="s">
        <v>46</v>
      </c>
      <c r="C46" s="67">
        <v>9.8000000000000007</v>
      </c>
      <c r="D46" s="67">
        <v>9.6</v>
      </c>
      <c r="E46" s="67">
        <v>9.6999999999999993</v>
      </c>
      <c r="F46" s="67">
        <v>9.8000000000000007</v>
      </c>
      <c r="G46" s="67">
        <v>9.6999999999999993</v>
      </c>
      <c r="H46" s="67">
        <v>9.6999999999999993</v>
      </c>
      <c r="I46" s="67">
        <v>9.6999999999999993</v>
      </c>
      <c r="J46" s="67">
        <v>10.1</v>
      </c>
      <c r="K46" s="67">
        <v>10</v>
      </c>
      <c r="L46" s="67">
        <v>9.9</v>
      </c>
      <c r="M46" s="67">
        <v>9.9</v>
      </c>
      <c r="N46" s="68">
        <v>9.6999999999999993</v>
      </c>
      <c r="O46" s="69">
        <f>IFERROR(AVERAGEIF(Tabella01MarzoInverter[[#This Row],[Active power TX1-INV-1]:[Active power TX1-INV-12]], "&gt;0"), 0)</f>
        <v>9.8000000000000007</v>
      </c>
      <c r="P46" s="67">
        <f>MAX(Tabella01MarzoInverter[[#This Row],[Active power TX1-INV-1]:[Active power TX1-INV-12]])</f>
        <v>10.1</v>
      </c>
      <c r="Q46" s="70">
        <f>MIN(Tabella01MarzoInverter[[#This Row],[Active power TX1-INV-1]:[Active power TX1-INV-12]])</f>
        <v>9.6</v>
      </c>
      <c r="R46" s="71">
        <v>9.1</v>
      </c>
      <c r="S46" s="67">
        <v>9.5</v>
      </c>
      <c r="T46" s="67">
        <v>9.5</v>
      </c>
      <c r="U46" s="67">
        <v>9.1</v>
      </c>
      <c r="V46" s="67">
        <v>8.8000000000000007</v>
      </c>
      <c r="W46" s="67">
        <v>9.9</v>
      </c>
      <c r="X46" s="67">
        <v>9.6</v>
      </c>
      <c r="Y46" s="67">
        <v>9.8000000000000007</v>
      </c>
      <c r="Z46" s="67">
        <v>9.8000000000000007</v>
      </c>
      <c r="AA46" s="67">
        <v>9.3000000000000007</v>
      </c>
      <c r="AB46" s="67">
        <v>9.6999999999999993</v>
      </c>
      <c r="AC46" s="68">
        <v>9.8000000000000007</v>
      </c>
      <c r="AD46" s="69">
        <f>IFERROR(AVERAGEIF(Tabella01MarzoInverter[[#This Row],[Active power TX2-INV-1]:[Active power TX2-INV-12]], "&gt;0"), 0)</f>
        <v>9.4916666666666654</v>
      </c>
      <c r="AE46" s="67">
        <f>MAX(Tabella01MarzoInverter[[#This Row],[Active power TX2-INV-1]:[Active power TX2-INV-12]])</f>
        <v>9.9</v>
      </c>
      <c r="AF46" s="70">
        <f>MIN(Tabella01MarzoInverter[[#This Row],[Active power TX2-INV-1]:[Active power TX2-INV-12]])</f>
        <v>8.8000000000000007</v>
      </c>
      <c r="AG46" s="71">
        <v>9.6</v>
      </c>
      <c r="AH46" s="67">
        <v>9.9</v>
      </c>
      <c r="AI46" s="67">
        <v>10</v>
      </c>
      <c r="AJ46" s="67">
        <v>10</v>
      </c>
      <c r="AK46" s="67">
        <v>10</v>
      </c>
      <c r="AL46" s="67">
        <v>9.9</v>
      </c>
      <c r="AM46" s="67">
        <v>10.1</v>
      </c>
      <c r="AN46" s="67">
        <v>9.9</v>
      </c>
      <c r="AO46" s="67">
        <v>10</v>
      </c>
      <c r="AP46" s="67">
        <v>9.9</v>
      </c>
      <c r="AQ46" s="67">
        <v>10.1</v>
      </c>
      <c r="AR46" s="68">
        <v>9.3000000000000007</v>
      </c>
      <c r="AS46" s="69">
        <f>IFERROR(AVERAGEIF(Tabella01MarzoInverter[[#This Row],[Active power TX3-INV-1]:[Active power TX3-INV-12]], "&gt;0"), 0)</f>
        <v>9.8916666666666675</v>
      </c>
      <c r="AT46" s="67">
        <f>MAX(Tabella01MarzoInverter[[#This Row],[Active power TX3-INV-1]:[Active power TX3-INV-12]])</f>
        <v>10.1</v>
      </c>
      <c r="AU46" s="70">
        <f>MIN(Tabella01MarzoInverter[[#This Row],[Active power TX3-INV-1]:[Active power TX3-INV-12]])</f>
        <v>9.3000000000000007</v>
      </c>
    </row>
    <row r="47" spans="1:47" x14ac:dyDescent="0.25">
      <c r="A47" s="65">
        <v>46147</v>
      </c>
      <c r="B47" s="66" t="s">
        <v>47</v>
      </c>
      <c r="C47" s="67">
        <v>9.9</v>
      </c>
      <c r="D47" s="67">
        <v>9.6999999999999993</v>
      </c>
      <c r="E47" s="67">
        <v>9.9</v>
      </c>
      <c r="F47" s="67">
        <v>10.1</v>
      </c>
      <c r="G47" s="67">
        <v>10</v>
      </c>
      <c r="H47" s="67">
        <v>10</v>
      </c>
      <c r="I47" s="67">
        <v>10.1</v>
      </c>
      <c r="J47" s="67">
        <v>10.4</v>
      </c>
      <c r="K47" s="67">
        <v>10.3</v>
      </c>
      <c r="L47" s="67">
        <v>10</v>
      </c>
      <c r="M47" s="67">
        <v>10.199999999999999</v>
      </c>
      <c r="N47" s="68">
        <v>10.1</v>
      </c>
      <c r="O47" s="69">
        <f>IFERROR(AVERAGEIF(Tabella01MarzoInverter[[#This Row],[Active power TX1-INV-1]:[Active power TX1-INV-12]], "&gt;0"), 0)</f>
        <v>10.058333333333334</v>
      </c>
      <c r="P47" s="67">
        <f>MAX(Tabella01MarzoInverter[[#This Row],[Active power TX1-INV-1]:[Active power TX1-INV-12]])</f>
        <v>10.4</v>
      </c>
      <c r="Q47" s="70">
        <f>MIN(Tabella01MarzoInverter[[#This Row],[Active power TX1-INV-1]:[Active power TX1-INV-12]])</f>
        <v>9.6999999999999993</v>
      </c>
      <c r="R47" s="71">
        <v>9.5</v>
      </c>
      <c r="S47" s="67">
        <v>10.1</v>
      </c>
      <c r="T47" s="67">
        <v>10</v>
      </c>
      <c r="U47" s="67">
        <v>9.5</v>
      </c>
      <c r="V47" s="67">
        <v>9.5</v>
      </c>
      <c r="W47" s="67">
        <v>10.4</v>
      </c>
      <c r="X47" s="67">
        <v>10.1</v>
      </c>
      <c r="Y47" s="67">
        <v>10.3</v>
      </c>
      <c r="Z47" s="67">
        <v>10.3</v>
      </c>
      <c r="AA47" s="67">
        <v>9.8000000000000007</v>
      </c>
      <c r="AB47" s="67">
        <v>10.199999999999999</v>
      </c>
      <c r="AC47" s="68">
        <v>10.4</v>
      </c>
      <c r="AD47" s="69">
        <f>IFERROR(AVERAGEIF(Tabella01MarzoInverter[[#This Row],[Active power TX2-INV-1]:[Active power TX2-INV-12]], "&gt;0"), 0)</f>
        <v>10.008333333333333</v>
      </c>
      <c r="AE47" s="67">
        <f>MAX(Tabella01MarzoInverter[[#This Row],[Active power TX2-INV-1]:[Active power TX2-INV-12]])</f>
        <v>10.4</v>
      </c>
      <c r="AF47" s="70">
        <f>MIN(Tabella01MarzoInverter[[#This Row],[Active power TX2-INV-1]:[Active power TX2-INV-12]])</f>
        <v>9.5</v>
      </c>
      <c r="AG47" s="71">
        <v>10.1</v>
      </c>
      <c r="AH47" s="67">
        <v>10.3</v>
      </c>
      <c r="AI47" s="67">
        <v>10.3</v>
      </c>
      <c r="AJ47" s="67">
        <v>10.199999999999999</v>
      </c>
      <c r="AK47" s="67">
        <v>10.199999999999999</v>
      </c>
      <c r="AL47" s="67">
        <v>10</v>
      </c>
      <c r="AM47" s="67">
        <v>10.1</v>
      </c>
      <c r="AN47" s="67">
        <v>10</v>
      </c>
      <c r="AO47" s="67">
        <v>10.1</v>
      </c>
      <c r="AP47" s="67">
        <v>10.199999999999999</v>
      </c>
      <c r="AQ47" s="67">
        <v>10.3</v>
      </c>
      <c r="AR47" s="68">
        <v>9.1999999999999993</v>
      </c>
      <c r="AS47" s="69">
        <f>IFERROR(AVERAGEIF(Tabella01MarzoInverter[[#This Row],[Active power TX3-INV-1]:[Active power TX3-INV-12]], "&gt;0"), 0)</f>
        <v>10.083333333333332</v>
      </c>
      <c r="AT47" s="67">
        <f>MAX(Tabella01MarzoInverter[[#This Row],[Active power TX3-INV-1]:[Active power TX3-INV-12]])</f>
        <v>10.3</v>
      </c>
      <c r="AU47" s="70">
        <f>MIN(Tabella01MarzoInverter[[#This Row],[Active power TX3-INV-1]:[Active power TX3-INV-12]])</f>
        <v>9.1999999999999993</v>
      </c>
    </row>
    <row r="48" spans="1:47" x14ac:dyDescent="0.25">
      <c r="A48" s="65">
        <v>46147</v>
      </c>
      <c r="B48" s="72" t="s">
        <v>48</v>
      </c>
      <c r="C48" s="67">
        <v>19.7</v>
      </c>
      <c r="D48" s="67">
        <v>19.5</v>
      </c>
      <c r="E48" s="67">
        <v>19.7</v>
      </c>
      <c r="F48" s="67">
        <v>20.2</v>
      </c>
      <c r="G48" s="67">
        <v>20</v>
      </c>
      <c r="H48" s="67">
        <v>20</v>
      </c>
      <c r="I48" s="67">
        <v>20.3</v>
      </c>
      <c r="J48" s="67">
        <v>21.1</v>
      </c>
      <c r="K48" s="67">
        <v>20.8</v>
      </c>
      <c r="L48" s="67">
        <v>20.7</v>
      </c>
      <c r="M48" s="67">
        <v>20.7</v>
      </c>
      <c r="N48" s="68">
        <v>20.5</v>
      </c>
      <c r="O48" s="69">
        <f>IFERROR(AVERAGEIF(Tabella01MarzoInverter[[#This Row],[Active power TX1-INV-1]:[Active power TX1-INV-12]], "&gt;0"), 0)</f>
        <v>20.266666666666666</v>
      </c>
      <c r="P48" s="67">
        <f>MAX(Tabella01MarzoInverter[[#This Row],[Active power TX1-INV-1]:[Active power TX1-INV-12]])</f>
        <v>21.1</v>
      </c>
      <c r="Q48" s="70">
        <f>MIN(Tabella01MarzoInverter[[#This Row],[Active power TX1-INV-1]:[Active power TX1-INV-12]])</f>
        <v>19.5</v>
      </c>
      <c r="R48" s="71">
        <v>19.2</v>
      </c>
      <c r="S48" s="67">
        <v>20.399999999999999</v>
      </c>
      <c r="T48" s="67">
        <v>20.100000000000001</v>
      </c>
      <c r="U48" s="67">
        <v>19.2</v>
      </c>
      <c r="V48" s="67">
        <v>19.399999999999999</v>
      </c>
      <c r="W48" s="67">
        <v>21.1</v>
      </c>
      <c r="X48" s="67">
        <v>20.3</v>
      </c>
      <c r="Y48" s="67">
        <v>21</v>
      </c>
      <c r="Z48" s="67">
        <v>20.9</v>
      </c>
      <c r="AA48" s="67">
        <v>20</v>
      </c>
      <c r="AB48" s="67">
        <v>20.9</v>
      </c>
      <c r="AC48" s="68">
        <v>21.3</v>
      </c>
      <c r="AD48" s="69">
        <f>IFERROR(AVERAGEIF(Tabella01MarzoInverter[[#This Row],[Active power TX2-INV-1]:[Active power TX2-INV-12]], "&gt;0"), 0)</f>
        <v>20.316666666666666</v>
      </c>
      <c r="AE48" s="67">
        <f>MAX(Tabella01MarzoInverter[[#This Row],[Active power TX2-INV-1]:[Active power TX2-INV-12]])</f>
        <v>21.3</v>
      </c>
      <c r="AF48" s="70">
        <f>MIN(Tabella01MarzoInverter[[#This Row],[Active power TX2-INV-1]:[Active power TX2-INV-12]])</f>
        <v>19.2</v>
      </c>
      <c r="AG48" s="71">
        <v>20.8</v>
      </c>
      <c r="AH48" s="67">
        <v>20.8</v>
      </c>
      <c r="AI48" s="67">
        <v>20.6</v>
      </c>
      <c r="AJ48" s="67">
        <v>20.399999999999999</v>
      </c>
      <c r="AK48" s="67">
        <v>20.3</v>
      </c>
      <c r="AL48" s="67">
        <v>19.899999999999999</v>
      </c>
      <c r="AM48" s="67">
        <v>20.100000000000001</v>
      </c>
      <c r="AN48" s="67">
        <v>19.8</v>
      </c>
      <c r="AO48" s="67">
        <v>20.2</v>
      </c>
      <c r="AP48" s="67">
        <v>20.399999999999999</v>
      </c>
      <c r="AQ48" s="67">
        <v>20.5</v>
      </c>
      <c r="AR48" s="68">
        <v>18.100000000000001</v>
      </c>
      <c r="AS48" s="69">
        <f>IFERROR(AVERAGEIF(Tabella01MarzoInverter[[#This Row],[Active power TX3-INV-1]:[Active power TX3-INV-12]], "&gt;0"), 0)</f>
        <v>20.158333333333331</v>
      </c>
      <c r="AT48" s="67">
        <f>MAX(Tabella01MarzoInverter[[#This Row],[Active power TX3-INV-1]:[Active power TX3-INV-12]])</f>
        <v>20.8</v>
      </c>
      <c r="AU48" s="70">
        <f>MIN(Tabella01MarzoInverter[[#This Row],[Active power TX3-INV-1]:[Active power TX3-INV-12]])</f>
        <v>18.100000000000001</v>
      </c>
    </row>
    <row r="49" spans="1:47" x14ac:dyDescent="0.25">
      <c r="A49" s="65">
        <v>46147</v>
      </c>
      <c r="B49" s="66" t="s">
        <v>49</v>
      </c>
      <c r="C49" s="67">
        <v>33.799999999999997</v>
      </c>
      <c r="D49" s="67">
        <v>33.4</v>
      </c>
      <c r="E49" s="67">
        <v>33.700000000000003</v>
      </c>
      <c r="F49" s="67">
        <v>34.4</v>
      </c>
      <c r="G49" s="67">
        <v>34</v>
      </c>
      <c r="H49" s="67">
        <v>33.9</v>
      </c>
      <c r="I49" s="67">
        <v>34.5</v>
      </c>
      <c r="J49" s="67">
        <v>35.9</v>
      </c>
      <c r="K49" s="67">
        <v>35.5</v>
      </c>
      <c r="L49" s="67">
        <v>35.1</v>
      </c>
      <c r="M49" s="67">
        <v>35</v>
      </c>
      <c r="N49" s="68">
        <v>34.6</v>
      </c>
      <c r="O49" s="69">
        <f>IFERROR(AVERAGEIF(Tabella01MarzoInverter[[#This Row],[Active power TX1-INV-1]:[Active power TX1-INV-12]], "&gt;0"), 0)</f>
        <v>34.483333333333334</v>
      </c>
      <c r="P49" s="67">
        <f>MAX(Tabella01MarzoInverter[[#This Row],[Active power TX1-INV-1]:[Active power TX1-INV-12]])</f>
        <v>35.9</v>
      </c>
      <c r="Q49" s="70">
        <f>MIN(Tabella01MarzoInverter[[#This Row],[Active power TX1-INV-1]:[Active power TX1-INV-12]])</f>
        <v>33.4</v>
      </c>
      <c r="R49" s="71">
        <v>32.6</v>
      </c>
      <c r="S49" s="67">
        <v>34.5</v>
      </c>
      <c r="T49" s="67">
        <v>33.9</v>
      </c>
      <c r="U49" s="67">
        <v>32.5</v>
      </c>
      <c r="V49" s="67">
        <v>32.6</v>
      </c>
      <c r="W49" s="67">
        <v>35.6</v>
      </c>
      <c r="X49" s="67">
        <v>34.200000000000003</v>
      </c>
      <c r="Y49" s="67">
        <v>35.4</v>
      </c>
      <c r="Z49" s="67">
        <v>35.200000000000003</v>
      </c>
      <c r="AA49" s="67">
        <v>33.700000000000003</v>
      </c>
      <c r="AB49" s="67">
        <v>33.9</v>
      </c>
      <c r="AC49" s="68">
        <v>35.6</v>
      </c>
      <c r="AD49" s="69">
        <f>IFERROR(AVERAGEIF(Tabella01MarzoInverter[[#This Row],[Active power TX2-INV-1]:[Active power TX2-INV-12]], "&gt;0"), 0)</f>
        <v>34.141666666666659</v>
      </c>
      <c r="AE49" s="67">
        <f>MAX(Tabella01MarzoInverter[[#This Row],[Active power TX2-INV-1]:[Active power TX2-INV-12]])</f>
        <v>35.6</v>
      </c>
      <c r="AF49" s="70">
        <f>MIN(Tabella01MarzoInverter[[#This Row],[Active power TX2-INV-1]:[Active power TX2-INV-12]])</f>
        <v>32.5</v>
      </c>
      <c r="AG49" s="71">
        <v>35.299999999999997</v>
      </c>
      <c r="AH49" s="67">
        <v>35.4</v>
      </c>
      <c r="AI49" s="67">
        <v>35.1</v>
      </c>
      <c r="AJ49" s="67">
        <v>34.9</v>
      </c>
      <c r="AK49" s="67">
        <v>34.799999999999997</v>
      </c>
      <c r="AL49" s="67">
        <v>34.299999999999997</v>
      </c>
      <c r="AM49" s="67">
        <v>34.799999999999997</v>
      </c>
      <c r="AN49" s="67">
        <v>34.1</v>
      </c>
      <c r="AO49" s="67">
        <v>34.6</v>
      </c>
      <c r="AP49" s="67">
        <v>33.5</v>
      </c>
      <c r="AQ49" s="67">
        <v>35.1</v>
      </c>
      <c r="AR49" s="68">
        <v>31.6</v>
      </c>
      <c r="AS49" s="69">
        <f>IFERROR(AVERAGEIF(Tabella01MarzoInverter[[#This Row],[Active power TX3-INV-1]:[Active power TX3-INV-12]], "&gt;0"), 0)</f>
        <v>34.458333333333343</v>
      </c>
      <c r="AT49" s="67">
        <f>MAX(Tabella01MarzoInverter[[#This Row],[Active power TX3-INV-1]:[Active power TX3-INV-12]])</f>
        <v>35.4</v>
      </c>
      <c r="AU49" s="70">
        <f>MIN(Tabella01MarzoInverter[[#This Row],[Active power TX3-INV-1]:[Active power TX3-INV-12]])</f>
        <v>31.6</v>
      </c>
    </row>
    <row r="50" spans="1:47" x14ac:dyDescent="0.25">
      <c r="A50" s="65">
        <v>46147</v>
      </c>
      <c r="B50" s="72" t="s">
        <v>50</v>
      </c>
      <c r="C50" s="67">
        <v>41.2</v>
      </c>
      <c r="D50" s="67">
        <v>40.5</v>
      </c>
      <c r="E50" s="67">
        <v>40.9</v>
      </c>
      <c r="F50" s="67">
        <v>41.6</v>
      </c>
      <c r="G50" s="67">
        <v>41.1</v>
      </c>
      <c r="H50" s="67">
        <v>40.9</v>
      </c>
      <c r="I50" s="67">
        <v>41.6</v>
      </c>
      <c r="J50" s="67">
        <v>43.7</v>
      </c>
      <c r="K50" s="67">
        <v>42.9</v>
      </c>
      <c r="L50" s="67">
        <v>42.4</v>
      </c>
      <c r="M50" s="67">
        <v>42.3</v>
      </c>
      <c r="N50" s="68">
        <v>41.8</v>
      </c>
      <c r="O50" s="69">
        <f>IFERROR(AVERAGEIF(Tabella01MarzoInverter[[#This Row],[Active power TX1-INV-1]:[Active power TX1-INV-12]], "&gt;0"), 0)</f>
        <v>41.741666666666667</v>
      </c>
      <c r="P50" s="67">
        <f>MAX(Tabella01MarzoInverter[[#This Row],[Active power TX1-INV-1]:[Active power TX1-INV-12]])</f>
        <v>43.7</v>
      </c>
      <c r="Q50" s="70">
        <f>MIN(Tabella01MarzoInverter[[#This Row],[Active power TX1-INV-1]:[Active power TX1-INV-12]])</f>
        <v>40.5</v>
      </c>
      <c r="R50" s="71">
        <v>39.299999999999997</v>
      </c>
      <c r="S50" s="67">
        <v>41.4</v>
      </c>
      <c r="T50" s="67">
        <v>39.299999999999997</v>
      </c>
      <c r="U50" s="67">
        <v>39</v>
      </c>
      <c r="V50" s="67">
        <v>39.1</v>
      </c>
      <c r="W50" s="67">
        <v>43</v>
      </c>
      <c r="X50" s="67">
        <v>41.2</v>
      </c>
      <c r="Y50" s="67">
        <v>42.6</v>
      </c>
      <c r="Z50" s="67">
        <v>42.2</v>
      </c>
      <c r="AA50" s="67">
        <v>40.299999999999997</v>
      </c>
      <c r="AB50" s="67">
        <v>42.1</v>
      </c>
      <c r="AC50" s="68">
        <v>42.6</v>
      </c>
      <c r="AD50" s="69">
        <f>IFERROR(AVERAGEIF(Tabella01MarzoInverter[[#This Row],[Active power TX2-INV-1]:[Active power TX2-INV-12]], "&gt;0"), 0)</f>
        <v>41.00833333333334</v>
      </c>
      <c r="AE50" s="67">
        <f>MAX(Tabella01MarzoInverter[[#This Row],[Active power TX2-INV-1]:[Active power TX2-INV-12]])</f>
        <v>43</v>
      </c>
      <c r="AF50" s="70">
        <f>MIN(Tabella01MarzoInverter[[#This Row],[Active power TX2-INV-1]:[Active power TX2-INV-12]])</f>
        <v>39</v>
      </c>
      <c r="AG50" s="71">
        <v>42.4</v>
      </c>
      <c r="AH50" s="67">
        <v>42.7</v>
      </c>
      <c r="AI50" s="67">
        <v>42.4</v>
      </c>
      <c r="AJ50" s="67">
        <v>40.9</v>
      </c>
      <c r="AK50" s="67">
        <v>42.2</v>
      </c>
      <c r="AL50" s="67">
        <v>41.8</v>
      </c>
      <c r="AM50" s="67">
        <v>42.6</v>
      </c>
      <c r="AN50" s="67">
        <v>41.5</v>
      </c>
      <c r="AO50" s="67">
        <v>42</v>
      </c>
      <c r="AP50" s="67">
        <v>42.2</v>
      </c>
      <c r="AQ50" s="67">
        <v>42.4</v>
      </c>
      <c r="AR50" s="68">
        <v>38.9</v>
      </c>
      <c r="AS50" s="69">
        <f>IFERROR(AVERAGEIF(Tabella01MarzoInverter[[#This Row],[Active power TX3-INV-1]:[Active power TX3-INV-12]], "&gt;0"), 0)</f>
        <v>41.833333333333336</v>
      </c>
      <c r="AT50" s="67">
        <f>MAX(Tabella01MarzoInverter[[#This Row],[Active power TX3-INV-1]:[Active power TX3-INV-12]])</f>
        <v>42.7</v>
      </c>
      <c r="AU50" s="70">
        <f>MIN(Tabella01MarzoInverter[[#This Row],[Active power TX3-INV-1]:[Active power TX3-INV-12]])</f>
        <v>38.9</v>
      </c>
    </row>
    <row r="51" spans="1:47" x14ac:dyDescent="0.25">
      <c r="A51" s="65">
        <v>46147</v>
      </c>
      <c r="B51" s="66" t="s">
        <v>51</v>
      </c>
      <c r="C51" s="67">
        <v>43.1</v>
      </c>
      <c r="D51" s="67">
        <v>42.4</v>
      </c>
      <c r="E51" s="67">
        <v>42.8</v>
      </c>
      <c r="F51" s="67">
        <v>43.7</v>
      </c>
      <c r="G51" s="67">
        <v>43.4</v>
      </c>
      <c r="H51" s="67">
        <v>43.2</v>
      </c>
      <c r="I51" s="67">
        <v>44.1</v>
      </c>
      <c r="J51" s="67">
        <v>45.9</v>
      </c>
      <c r="K51" s="67">
        <v>45</v>
      </c>
      <c r="L51" s="67">
        <v>44.5</v>
      </c>
      <c r="M51" s="67">
        <v>44.4</v>
      </c>
      <c r="N51" s="68">
        <v>44</v>
      </c>
      <c r="O51" s="69">
        <f>IFERROR(AVERAGEIF(Tabella01MarzoInverter[[#This Row],[Active power TX1-INV-1]:[Active power TX1-INV-12]], "&gt;0"), 0)</f>
        <v>43.875</v>
      </c>
      <c r="P51" s="67">
        <f>MAX(Tabella01MarzoInverter[[#This Row],[Active power TX1-INV-1]:[Active power TX1-INV-12]])</f>
        <v>45.9</v>
      </c>
      <c r="Q51" s="70">
        <f>MIN(Tabella01MarzoInverter[[#This Row],[Active power TX1-INV-1]:[Active power TX1-INV-12]])</f>
        <v>42.4</v>
      </c>
      <c r="R51" s="71">
        <v>42.1</v>
      </c>
      <c r="S51" s="67">
        <v>43.9</v>
      </c>
      <c r="T51" s="67">
        <v>43.3</v>
      </c>
      <c r="U51" s="67">
        <v>41.4</v>
      </c>
      <c r="V51" s="67">
        <v>41.7</v>
      </c>
      <c r="W51" s="67">
        <v>45.5</v>
      </c>
      <c r="X51" s="67">
        <v>43.4</v>
      </c>
      <c r="Y51" s="67">
        <v>44.9</v>
      </c>
      <c r="Z51" s="67">
        <v>44.5</v>
      </c>
      <c r="AA51" s="67">
        <v>42.6</v>
      </c>
      <c r="AB51" s="67">
        <v>44.4</v>
      </c>
      <c r="AC51" s="68">
        <v>45</v>
      </c>
      <c r="AD51" s="69">
        <f>IFERROR(AVERAGEIF(Tabella01MarzoInverter[[#This Row],[Active power TX2-INV-1]:[Active power TX2-INV-12]], "&gt;0"), 0)</f>
        <v>43.558333333333337</v>
      </c>
      <c r="AE51" s="67">
        <f>MAX(Tabella01MarzoInverter[[#This Row],[Active power TX2-INV-1]:[Active power TX2-INV-12]])</f>
        <v>45.5</v>
      </c>
      <c r="AF51" s="70">
        <f>MIN(Tabella01MarzoInverter[[#This Row],[Active power TX2-INV-1]:[Active power TX2-INV-12]])</f>
        <v>41.4</v>
      </c>
      <c r="AG51" s="71">
        <v>44.4</v>
      </c>
      <c r="AH51" s="67">
        <v>44.4</v>
      </c>
      <c r="AI51" s="67">
        <v>44</v>
      </c>
      <c r="AJ51" s="67">
        <v>43.9</v>
      </c>
      <c r="AK51" s="67">
        <v>43.7</v>
      </c>
      <c r="AL51" s="67">
        <v>43.1</v>
      </c>
      <c r="AM51" s="67">
        <v>44.1</v>
      </c>
      <c r="AN51" s="67">
        <v>41.4</v>
      </c>
      <c r="AO51" s="67">
        <v>43.4</v>
      </c>
      <c r="AP51" s="67">
        <v>43.7</v>
      </c>
      <c r="AQ51" s="67">
        <v>44.1</v>
      </c>
      <c r="AR51" s="68">
        <v>40.200000000000003</v>
      </c>
      <c r="AS51" s="69">
        <f>IFERROR(AVERAGEIF(Tabella01MarzoInverter[[#This Row],[Active power TX3-INV-1]:[Active power TX3-INV-12]], "&gt;0"), 0)</f>
        <v>43.366666666666674</v>
      </c>
      <c r="AT51" s="67">
        <f>MAX(Tabella01MarzoInverter[[#This Row],[Active power TX3-INV-1]:[Active power TX3-INV-12]])</f>
        <v>44.4</v>
      </c>
      <c r="AU51" s="70">
        <f>MIN(Tabella01MarzoInverter[[#This Row],[Active power TX3-INV-1]:[Active power TX3-INV-12]])</f>
        <v>40.200000000000003</v>
      </c>
    </row>
    <row r="52" spans="1:47" x14ac:dyDescent="0.25">
      <c r="A52" s="65">
        <v>46147</v>
      </c>
      <c r="B52" s="72" t="s">
        <v>52</v>
      </c>
      <c r="C52" s="67">
        <v>93.1</v>
      </c>
      <c r="D52" s="67">
        <v>91.8</v>
      </c>
      <c r="E52" s="67">
        <v>95.6</v>
      </c>
      <c r="F52" s="67">
        <v>96.7</v>
      </c>
      <c r="G52" s="67">
        <v>98</v>
      </c>
      <c r="H52" s="67">
        <v>97.1</v>
      </c>
      <c r="I52" s="67">
        <v>100</v>
      </c>
      <c r="J52" s="67">
        <v>107.3</v>
      </c>
      <c r="K52" s="67">
        <v>102.7</v>
      </c>
      <c r="L52" s="67">
        <v>104.3</v>
      </c>
      <c r="M52" s="67">
        <v>104.4</v>
      </c>
      <c r="N52" s="68">
        <v>100.1</v>
      </c>
      <c r="O52" s="69">
        <f>IFERROR(AVERAGEIF(Tabella01MarzoInverter[[#This Row],[Active power TX1-INV-1]:[Active power TX1-INV-12]], "&gt;0"), 0)</f>
        <v>99.258333333333326</v>
      </c>
      <c r="P52" s="67">
        <f>MAX(Tabella01MarzoInverter[[#This Row],[Active power TX1-INV-1]:[Active power TX1-INV-12]])</f>
        <v>107.3</v>
      </c>
      <c r="Q52" s="70">
        <f>MIN(Tabella01MarzoInverter[[#This Row],[Active power TX1-INV-1]:[Active power TX1-INV-12]])</f>
        <v>91.8</v>
      </c>
      <c r="R52" s="71">
        <v>95</v>
      </c>
      <c r="S52" s="67">
        <v>99</v>
      </c>
      <c r="T52" s="67">
        <v>97.4</v>
      </c>
      <c r="U52" s="67">
        <v>93.6</v>
      </c>
      <c r="V52" s="67">
        <v>93.6</v>
      </c>
      <c r="W52" s="67">
        <v>103.7</v>
      </c>
      <c r="X52" s="67">
        <v>100.9</v>
      </c>
      <c r="Y52" s="67">
        <v>101.7</v>
      </c>
      <c r="Z52" s="67">
        <v>103.2</v>
      </c>
      <c r="AA52" s="67">
        <v>99.3</v>
      </c>
      <c r="AB52" s="67">
        <v>102.4</v>
      </c>
      <c r="AC52" s="68">
        <v>103.2</v>
      </c>
      <c r="AD52" s="69">
        <f>IFERROR(AVERAGEIF(Tabella01MarzoInverter[[#This Row],[Active power TX2-INV-1]:[Active power TX2-INV-12]], "&gt;0"), 0)</f>
        <v>99.416666666666686</v>
      </c>
      <c r="AE52" s="67">
        <f>MAX(Tabella01MarzoInverter[[#This Row],[Active power TX2-INV-1]:[Active power TX2-INV-12]])</f>
        <v>103.7</v>
      </c>
      <c r="AF52" s="70">
        <f>MIN(Tabella01MarzoInverter[[#This Row],[Active power TX2-INV-1]:[Active power TX2-INV-12]])</f>
        <v>93.6</v>
      </c>
      <c r="AG52" s="71">
        <v>103</v>
      </c>
      <c r="AH52" s="67">
        <v>96.7</v>
      </c>
      <c r="AI52" s="67">
        <v>100.8</v>
      </c>
      <c r="AJ52" s="67">
        <v>101.2</v>
      </c>
      <c r="AK52" s="67">
        <v>93.7</v>
      </c>
      <c r="AL52" s="67">
        <v>101.4</v>
      </c>
      <c r="AM52" s="67">
        <v>102.2</v>
      </c>
      <c r="AN52" s="67">
        <v>101.3</v>
      </c>
      <c r="AO52" s="67">
        <v>103</v>
      </c>
      <c r="AP52" s="67">
        <v>102.6</v>
      </c>
      <c r="AQ52" s="67">
        <v>103.7</v>
      </c>
      <c r="AR52" s="68">
        <v>87.2</v>
      </c>
      <c r="AS52" s="69">
        <f>IFERROR(AVERAGEIF(Tabella01MarzoInverter[[#This Row],[Active power TX3-INV-1]:[Active power TX3-INV-12]], "&gt;0"), 0)</f>
        <v>99.733333333333334</v>
      </c>
      <c r="AT52" s="67">
        <f>MAX(Tabella01MarzoInverter[[#This Row],[Active power TX3-INV-1]:[Active power TX3-INV-12]])</f>
        <v>103.7</v>
      </c>
      <c r="AU52" s="70">
        <f>MIN(Tabella01MarzoInverter[[#This Row],[Active power TX3-INV-1]:[Active power TX3-INV-12]])</f>
        <v>87.2</v>
      </c>
    </row>
    <row r="53" spans="1:47" x14ac:dyDescent="0.25">
      <c r="A53" s="65">
        <v>46147</v>
      </c>
      <c r="B53" s="66" t="s">
        <v>53</v>
      </c>
      <c r="C53" s="67">
        <v>270.60000000000002</v>
      </c>
      <c r="D53" s="67">
        <v>268.5</v>
      </c>
      <c r="E53" s="67">
        <v>269.89999999999998</v>
      </c>
      <c r="F53" s="67">
        <v>274.3</v>
      </c>
      <c r="G53" s="67">
        <v>271.8</v>
      </c>
      <c r="H53" s="67">
        <v>273.89999999999998</v>
      </c>
      <c r="I53" s="67">
        <v>273.2</v>
      </c>
      <c r="J53" s="67">
        <v>277.7</v>
      </c>
      <c r="K53" s="67">
        <v>275.39999999999998</v>
      </c>
      <c r="L53" s="67">
        <v>274.10000000000002</v>
      </c>
      <c r="M53" s="67">
        <v>275.60000000000002</v>
      </c>
      <c r="N53" s="68">
        <v>273</v>
      </c>
      <c r="O53" s="69">
        <f>IFERROR(AVERAGEIF(Tabella01MarzoInverter[[#This Row],[Active power TX1-INV-1]:[Active power TX1-INV-12]], "&gt;0"), 0)</f>
        <v>273.16666666666669</v>
      </c>
      <c r="P53" s="67">
        <f>MAX(Tabella01MarzoInverter[[#This Row],[Active power TX1-INV-1]:[Active power TX1-INV-12]])</f>
        <v>277.7</v>
      </c>
      <c r="Q53" s="70">
        <f>MIN(Tabella01MarzoInverter[[#This Row],[Active power TX1-INV-1]:[Active power TX1-INV-12]])</f>
        <v>268.5</v>
      </c>
      <c r="R53" s="71">
        <v>267.7</v>
      </c>
      <c r="S53" s="67">
        <v>274</v>
      </c>
      <c r="T53" s="67">
        <v>273.5</v>
      </c>
      <c r="U53" s="67">
        <v>267</v>
      </c>
      <c r="V53" s="67">
        <v>268.7</v>
      </c>
      <c r="W53" s="67">
        <v>263.10000000000002</v>
      </c>
      <c r="X53" s="67">
        <v>233.8</v>
      </c>
      <c r="Y53" s="67">
        <v>273.8</v>
      </c>
      <c r="Z53" s="67">
        <v>274</v>
      </c>
      <c r="AA53" s="67">
        <v>271.10000000000002</v>
      </c>
      <c r="AB53" s="67">
        <v>274.39999999999998</v>
      </c>
      <c r="AC53" s="68">
        <v>272.8</v>
      </c>
      <c r="AD53" s="69">
        <f>IFERROR(AVERAGEIF(Tabella01MarzoInverter[[#This Row],[Active power TX2-INV-1]:[Active power TX2-INV-12]], "&gt;0"), 0)</f>
        <v>267.82499999999999</v>
      </c>
      <c r="AE53" s="67">
        <f>MAX(Tabella01MarzoInverter[[#This Row],[Active power TX2-INV-1]:[Active power TX2-INV-12]])</f>
        <v>274.39999999999998</v>
      </c>
      <c r="AF53" s="70">
        <f>MIN(Tabella01MarzoInverter[[#This Row],[Active power TX2-INV-1]:[Active power TX2-INV-12]])</f>
        <v>233.8</v>
      </c>
      <c r="AG53" s="71">
        <v>262.60000000000002</v>
      </c>
      <c r="AH53" s="67">
        <v>274.10000000000002</v>
      </c>
      <c r="AI53" s="67">
        <v>271.89999999999998</v>
      </c>
      <c r="AJ53" s="67">
        <v>274.5</v>
      </c>
      <c r="AK53" s="67">
        <v>270.7</v>
      </c>
      <c r="AL53" s="67">
        <v>271.5</v>
      </c>
      <c r="AM53" s="67">
        <v>275.60000000000002</v>
      </c>
      <c r="AN53" s="67">
        <v>272.5</v>
      </c>
      <c r="AO53" s="67">
        <v>274.8</v>
      </c>
      <c r="AP53" s="67">
        <v>272.8</v>
      </c>
      <c r="AQ53" s="67">
        <v>275.89999999999998</v>
      </c>
      <c r="AR53" s="68">
        <v>243</v>
      </c>
      <c r="AS53" s="69">
        <f>IFERROR(AVERAGEIF(Tabella01MarzoInverter[[#This Row],[Active power TX3-INV-1]:[Active power TX3-INV-12]], "&gt;0"), 0)</f>
        <v>269.99166666666673</v>
      </c>
      <c r="AT53" s="67">
        <f>MAX(Tabella01MarzoInverter[[#This Row],[Active power TX3-INV-1]:[Active power TX3-INV-12]])</f>
        <v>275.89999999999998</v>
      </c>
      <c r="AU53" s="70">
        <f>MIN(Tabella01MarzoInverter[[#This Row],[Active power TX3-INV-1]:[Active power TX3-INV-12]])</f>
        <v>243</v>
      </c>
    </row>
    <row r="54" spans="1:47" x14ac:dyDescent="0.25">
      <c r="A54" s="65">
        <v>46147</v>
      </c>
      <c r="B54" s="72" t="s">
        <v>54</v>
      </c>
      <c r="C54" s="67">
        <v>139.1</v>
      </c>
      <c r="D54" s="67">
        <v>137.6</v>
      </c>
      <c r="E54" s="67">
        <v>139.9</v>
      </c>
      <c r="F54" s="67">
        <v>138.30000000000001</v>
      </c>
      <c r="G54" s="67">
        <v>138.30000000000001</v>
      </c>
      <c r="H54" s="67">
        <v>139.19999999999999</v>
      </c>
      <c r="I54" s="67">
        <v>125.5</v>
      </c>
      <c r="J54" s="67">
        <v>147.9</v>
      </c>
      <c r="K54" s="67">
        <v>142.80000000000001</v>
      </c>
      <c r="L54" s="67">
        <v>140.80000000000001</v>
      </c>
      <c r="M54" s="67">
        <v>142.5</v>
      </c>
      <c r="N54" s="68">
        <v>133.5</v>
      </c>
      <c r="O54" s="69">
        <f>IFERROR(AVERAGEIF(Tabella01MarzoInverter[[#This Row],[Active power TX1-INV-1]:[Active power TX1-INV-12]], "&gt;0"), 0)</f>
        <v>138.78333333333333</v>
      </c>
      <c r="P54" s="67">
        <f>MAX(Tabella01MarzoInverter[[#This Row],[Active power TX1-INV-1]:[Active power TX1-INV-12]])</f>
        <v>147.9</v>
      </c>
      <c r="Q54" s="70">
        <f>MIN(Tabella01MarzoInverter[[#This Row],[Active power TX1-INV-1]:[Active power TX1-INV-12]])</f>
        <v>125.5</v>
      </c>
      <c r="R54" s="71">
        <v>134.9</v>
      </c>
      <c r="S54" s="67">
        <v>140.1</v>
      </c>
      <c r="T54" s="67">
        <v>134.1</v>
      </c>
      <c r="U54" s="67">
        <v>132.5</v>
      </c>
      <c r="V54" s="67">
        <v>131.9</v>
      </c>
      <c r="W54" s="67">
        <v>115.4</v>
      </c>
      <c r="X54" s="67">
        <v>120.1</v>
      </c>
      <c r="Y54" s="67">
        <v>134</v>
      </c>
      <c r="Z54" s="67">
        <v>134.4</v>
      </c>
      <c r="AA54" s="67">
        <v>130.5</v>
      </c>
      <c r="AB54" s="67">
        <v>132.80000000000001</v>
      </c>
      <c r="AC54" s="68">
        <v>125.9</v>
      </c>
      <c r="AD54" s="69">
        <f>IFERROR(AVERAGEIF(Tabella01MarzoInverter[[#This Row],[Active power TX2-INV-1]:[Active power TX2-INV-12]], "&gt;0"), 0)</f>
        <v>130.55000000000001</v>
      </c>
      <c r="AE54" s="67">
        <f>MAX(Tabella01MarzoInverter[[#This Row],[Active power TX2-INV-1]:[Active power TX2-INV-12]])</f>
        <v>140.1</v>
      </c>
      <c r="AF54" s="70">
        <f>MIN(Tabella01MarzoInverter[[#This Row],[Active power TX2-INV-1]:[Active power TX2-INV-12]])</f>
        <v>115.4</v>
      </c>
      <c r="AG54" s="71">
        <v>138.80000000000001</v>
      </c>
      <c r="AH54" s="67">
        <v>140.6</v>
      </c>
      <c r="AI54" s="67">
        <v>139.30000000000001</v>
      </c>
      <c r="AJ54" s="67">
        <v>140.9</v>
      </c>
      <c r="AK54" s="67">
        <v>141.80000000000001</v>
      </c>
      <c r="AL54" s="67">
        <v>132.69999999999999</v>
      </c>
      <c r="AM54" s="67">
        <v>146.19999999999999</v>
      </c>
      <c r="AN54" s="67">
        <v>136.5</v>
      </c>
      <c r="AO54" s="67">
        <v>137</v>
      </c>
      <c r="AP54" s="67">
        <v>140.5</v>
      </c>
      <c r="AQ54" s="67">
        <v>139</v>
      </c>
      <c r="AR54" s="68">
        <v>138</v>
      </c>
      <c r="AS54" s="69">
        <f>IFERROR(AVERAGEIF(Tabella01MarzoInverter[[#This Row],[Active power TX3-INV-1]:[Active power TX3-INV-12]], "&gt;0"), 0)</f>
        <v>139.27500000000001</v>
      </c>
      <c r="AT54" s="67">
        <f>MAX(Tabella01MarzoInverter[[#This Row],[Active power TX3-INV-1]:[Active power TX3-INV-12]])</f>
        <v>146.19999999999999</v>
      </c>
      <c r="AU54" s="70">
        <f>MIN(Tabella01MarzoInverter[[#This Row],[Active power TX3-INV-1]:[Active power TX3-INV-12]])</f>
        <v>132.69999999999999</v>
      </c>
    </row>
    <row r="55" spans="1:47" x14ac:dyDescent="0.25">
      <c r="A55" s="65">
        <v>46147</v>
      </c>
      <c r="B55" s="66" t="s">
        <v>55</v>
      </c>
      <c r="C55" s="67">
        <v>218.9</v>
      </c>
      <c r="D55" s="67">
        <v>219.2</v>
      </c>
      <c r="E55" s="67">
        <v>218.6</v>
      </c>
      <c r="F55" s="67">
        <v>226.8</v>
      </c>
      <c r="G55" s="67">
        <v>220.5</v>
      </c>
      <c r="H55" s="67">
        <v>222.7</v>
      </c>
      <c r="I55" s="67">
        <v>231.2</v>
      </c>
      <c r="J55" s="67">
        <v>223.4</v>
      </c>
      <c r="K55" s="67">
        <v>221.6</v>
      </c>
      <c r="L55" s="67">
        <v>222.1</v>
      </c>
      <c r="M55" s="67">
        <v>222.8</v>
      </c>
      <c r="N55" s="68">
        <v>219.8</v>
      </c>
      <c r="O55" s="69">
        <f>IFERROR(AVERAGEIF(Tabella01MarzoInverter[[#This Row],[Active power TX1-INV-1]:[Active power TX1-INV-12]], "&gt;0"), 0)</f>
        <v>222.30000000000004</v>
      </c>
      <c r="P55" s="67">
        <f>MAX(Tabella01MarzoInverter[[#This Row],[Active power TX1-INV-1]:[Active power TX1-INV-12]])</f>
        <v>231.2</v>
      </c>
      <c r="Q55" s="70">
        <f>MIN(Tabella01MarzoInverter[[#This Row],[Active power TX1-INV-1]:[Active power TX1-INV-12]])</f>
        <v>218.6</v>
      </c>
      <c r="R55" s="71">
        <v>220.8</v>
      </c>
      <c r="S55" s="67">
        <v>224.4</v>
      </c>
      <c r="T55" s="67">
        <v>227.3</v>
      </c>
      <c r="U55" s="67">
        <v>223.2</v>
      </c>
      <c r="V55" s="67">
        <v>222.1</v>
      </c>
      <c r="W55" s="67">
        <v>199.3</v>
      </c>
      <c r="X55" s="67">
        <v>202</v>
      </c>
      <c r="Y55" s="67">
        <v>224.7</v>
      </c>
      <c r="Z55" s="67">
        <v>213.5</v>
      </c>
      <c r="AA55" s="67">
        <v>218.2</v>
      </c>
      <c r="AB55" s="67">
        <v>221.9</v>
      </c>
      <c r="AC55" s="68">
        <v>223.7</v>
      </c>
      <c r="AD55" s="69">
        <f>IFERROR(AVERAGEIF(Tabella01MarzoInverter[[#This Row],[Active power TX2-INV-1]:[Active power TX2-INV-12]], "&gt;0"), 0)</f>
        <v>218.42499999999998</v>
      </c>
      <c r="AE55" s="67">
        <f>MAX(Tabella01MarzoInverter[[#This Row],[Active power TX2-INV-1]:[Active power TX2-INV-12]])</f>
        <v>227.3</v>
      </c>
      <c r="AF55" s="70">
        <f>MIN(Tabella01MarzoInverter[[#This Row],[Active power TX2-INV-1]:[Active power TX2-INV-12]])</f>
        <v>199.3</v>
      </c>
      <c r="AG55" s="71">
        <v>217.7</v>
      </c>
      <c r="AH55" s="67">
        <v>218.8</v>
      </c>
      <c r="AI55" s="67">
        <v>212.7</v>
      </c>
      <c r="AJ55" s="67">
        <v>216.1</v>
      </c>
      <c r="AK55" s="67">
        <v>214.5</v>
      </c>
      <c r="AL55" s="67">
        <v>212.9</v>
      </c>
      <c r="AM55" s="67">
        <v>216.7</v>
      </c>
      <c r="AN55" s="67">
        <v>212.9</v>
      </c>
      <c r="AO55" s="67">
        <v>217</v>
      </c>
      <c r="AP55" s="67">
        <v>207.1</v>
      </c>
      <c r="AQ55" s="67">
        <v>210.4</v>
      </c>
      <c r="AR55" s="68">
        <v>209.9</v>
      </c>
      <c r="AS55" s="69">
        <f>IFERROR(AVERAGEIF(Tabella01MarzoInverter[[#This Row],[Active power TX3-INV-1]:[Active power TX3-INV-12]], "&gt;0"), 0)</f>
        <v>213.89166666666674</v>
      </c>
      <c r="AT55" s="67">
        <f>MAX(Tabella01MarzoInverter[[#This Row],[Active power TX3-INV-1]:[Active power TX3-INV-12]])</f>
        <v>218.8</v>
      </c>
      <c r="AU55" s="70">
        <f>MIN(Tabella01MarzoInverter[[#This Row],[Active power TX3-INV-1]:[Active power TX3-INV-12]])</f>
        <v>207.1</v>
      </c>
    </row>
    <row r="56" spans="1:47" x14ac:dyDescent="0.25">
      <c r="A56" s="65">
        <v>46147</v>
      </c>
      <c r="B56" s="72" t="s">
        <v>56</v>
      </c>
      <c r="C56" s="67">
        <v>273.5</v>
      </c>
      <c r="D56" s="67">
        <v>270.89999999999998</v>
      </c>
      <c r="E56" s="67">
        <v>276.39999999999998</v>
      </c>
      <c r="F56" s="67">
        <v>268.8</v>
      </c>
      <c r="G56" s="67">
        <v>273.39999999999998</v>
      </c>
      <c r="H56" s="67">
        <v>272.2</v>
      </c>
      <c r="I56" s="67">
        <v>273.39999999999998</v>
      </c>
      <c r="J56" s="67">
        <v>276.7</v>
      </c>
      <c r="K56" s="67">
        <v>275.60000000000002</v>
      </c>
      <c r="L56" s="67">
        <v>279.39999999999998</v>
      </c>
      <c r="M56" s="67">
        <v>275.5</v>
      </c>
      <c r="N56" s="68">
        <v>281.60000000000002</v>
      </c>
      <c r="O56" s="69">
        <f>IFERROR(AVERAGEIF(Tabella01MarzoInverter[[#This Row],[Active power TX1-INV-1]:[Active power TX1-INV-12]], "&gt;0"), 0)</f>
        <v>274.7833333333333</v>
      </c>
      <c r="P56" s="67">
        <f>MAX(Tabella01MarzoInverter[[#This Row],[Active power TX1-INV-1]:[Active power TX1-INV-12]])</f>
        <v>281.60000000000002</v>
      </c>
      <c r="Q56" s="70">
        <f>MIN(Tabella01MarzoInverter[[#This Row],[Active power TX1-INV-1]:[Active power TX1-INV-12]])</f>
        <v>268.8</v>
      </c>
      <c r="R56" s="71">
        <v>275.89999999999998</v>
      </c>
      <c r="S56" s="67">
        <v>276.10000000000002</v>
      </c>
      <c r="T56" s="67">
        <v>274.89999999999998</v>
      </c>
      <c r="U56" s="67">
        <v>274.5</v>
      </c>
      <c r="V56" s="67">
        <v>276.7</v>
      </c>
      <c r="W56" s="67">
        <v>251.6</v>
      </c>
      <c r="X56" s="67">
        <v>263.8</v>
      </c>
      <c r="Y56" s="67">
        <v>279.8</v>
      </c>
      <c r="Z56" s="67">
        <v>280.3</v>
      </c>
      <c r="AA56" s="67">
        <v>280.89999999999998</v>
      </c>
      <c r="AB56" s="67">
        <v>280.89999999999998</v>
      </c>
      <c r="AC56" s="68">
        <v>281.7</v>
      </c>
      <c r="AD56" s="69">
        <f>IFERROR(AVERAGEIF(Tabella01MarzoInverter[[#This Row],[Active power TX2-INV-1]:[Active power TX2-INV-12]], "&gt;0"), 0)</f>
        <v>274.75833333333338</v>
      </c>
      <c r="AE56" s="67">
        <f>MAX(Tabella01MarzoInverter[[#This Row],[Active power TX2-INV-1]:[Active power TX2-INV-12]])</f>
        <v>281.7</v>
      </c>
      <c r="AF56" s="70">
        <f>MIN(Tabella01MarzoInverter[[#This Row],[Active power TX2-INV-1]:[Active power TX2-INV-12]])</f>
        <v>251.6</v>
      </c>
      <c r="AG56" s="71">
        <v>281.5</v>
      </c>
      <c r="AH56" s="67">
        <v>281.2</v>
      </c>
      <c r="AI56" s="67">
        <v>281.3</v>
      </c>
      <c r="AJ56" s="67">
        <v>281</v>
      </c>
      <c r="AK56" s="67">
        <v>281.5</v>
      </c>
      <c r="AL56" s="67">
        <v>281.5</v>
      </c>
      <c r="AM56" s="67">
        <v>281.39999999999998</v>
      </c>
      <c r="AN56" s="67">
        <v>271.7</v>
      </c>
      <c r="AO56" s="67">
        <v>281.5</v>
      </c>
      <c r="AP56" s="67">
        <v>281.7</v>
      </c>
      <c r="AQ56" s="67">
        <v>279.5</v>
      </c>
      <c r="AR56" s="68">
        <v>274.39999999999998</v>
      </c>
      <c r="AS56" s="69">
        <f>IFERROR(AVERAGEIF(Tabella01MarzoInverter[[#This Row],[Active power TX3-INV-1]:[Active power TX3-INV-12]], "&gt;0"), 0)</f>
        <v>279.84999999999997</v>
      </c>
      <c r="AT56" s="67">
        <f>MAX(Tabella01MarzoInverter[[#This Row],[Active power TX3-INV-1]:[Active power TX3-INV-12]])</f>
        <v>281.7</v>
      </c>
      <c r="AU56" s="70">
        <f>MIN(Tabella01MarzoInverter[[#This Row],[Active power TX3-INV-1]:[Active power TX3-INV-12]])</f>
        <v>271.7</v>
      </c>
    </row>
    <row r="57" spans="1:47" x14ac:dyDescent="0.25">
      <c r="A57" s="65">
        <v>46147</v>
      </c>
      <c r="B57" s="66" t="s">
        <v>57</v>
      </c>
      <c r="C57" s="67">
        <v>281.2</v>
      </c>
      <c r="D57" s="67">
        <v>281.3</v>
      </c>
      <c r="E57" s="67">
        <v>281</v>
      </c>
      <c r="F57" s="67">
        <v>281.10000000000002</v>
      </c>
      <c r="G57" s="67">
        <v>281.2</v>
      </c>
      <c r="H57" s="67">
        <v>280.89999999999998</v>
      </c>
      <c r="I57" s="67">
        <v>281.5</v>
      </c>
      <c r="J57" s="67">
        <v>281.89999999999998</v>
      </c>
      <c r="K57" s="67">
        <v>281.5</v>
      </c>
      <c r="L57" s="67">
        <v>281.39999999999998</v>
      </c>
      <c r="M57" s="67">
        <v>281.39999999999998</v>
      </c>
      <c r="N57" s="68">
        <v>281.10000000000002</v>
      </c>
      <c r="O57" s="69">
        <f>IFERROR(AVERAGEIF(Tabella01MarzoInverter[[#This Row],[Active power TX1-INV-1]:[Active power TX1-INV-12]], "&gt;0"), 0)</f>
        <v>281.29166666666669</v>
      </c>
      <c r="P57" s="67">
        <f>MAX(Tabella01MarzoInverter[[#This Row],[Active power TX1-INV-1]:[Active power TX1-INV-12]])</f>
        <v>281.89999999999998</v>
      </c>
      <c r="Q57" s="70">
        <f>MIN(Tabella01MarzoInverter[[#This Row],[Active power TX1-INV-1]:[Active power TX1-INV-12]])</f>
        <v>280.89999999999998</v>
      </c>
      <c r="R57" s="71">
        <v>279.60000000000002</v>
      </c>
      <c r="S57" s="67">
        <v>281.39999999999998</v>
      </c>
      <c r="T57" s="67">
        <v>281.39999999999998</v>
      </c>
      <c r="U57" s="67">
        <v>278.3</v>
      </c>
      <c r="V57" s="67">
        <v>257.3</v>
      </c>
      <c r="W57" s="67">
        <v>280.7</v>
      </c>
      <c r="X57" s="67">
        <v>281.10000000000002</v>
      </c>
      <c r="Y57" s="67">
        <v>271.89999999999998</v>
      </c>
      <c r="Z57" s="67">
        <v>281.39999999999998</v>
      </c>
      <c r="AA57" s="67">
        <v>281.10000000000002</v>
      </c>
      <c r="AB57" s="67">
        <v>281.2</v>
      </c>
      <c r="AC57" s="68">
        <v>281.89999999999998</v>
      </c>
      <c r="AD57" s="69">
        <f>IFERROR(AVERAGEIF(Tabella01MarzoInverter[[#This Row],[Active power TX2-INV-1]:[Active power TX2-INV-12]], "&gt;0"), 0)</f>
        <v>278.10833333333335</v>
      </c>
      <c r="AE57" s="67">
        <f>MAX(Tabella01MarzoInverter[[#This Row],[Active power TX2-INV-1]:[Active power TX2-INV-12]])</f>
        <v>281.89999999999998</v>
      </c>
      <c r="AF57" s="70">
        <f>MIN(Tabella01MarzoInverter[[#This Row],[Active power TX2-INV-1]:[Active power TX2-INV-12]])</f>
        <v>257.3</v>
      </c>
      <c r="AG57" s="71">
        <v>281.7</v>
      </c>
      <c r="AH57" s="67">
        <v>281.39999999999998</v>
      </c>
      <c r="AI57" s="67">
        <v>281.5</v>
      </c>
      <c r="AJ57" s="67">
        <v>281.7</v>
      </c>
      <c r="AK57" s="67">
        <v>281.39999999999998</v>
      </c>
      <c r="AL57" s="67">
        <v>280.89999999999998</v>
      </c>
      <c r="AM57" s="67">
        <v>281.60000000000002</v>
      </c>
      <c r="AN57" s="67">
        <v>281.10000000000002</v>
      </c>
      <c r="AO57" s="67">
        <v>281.3</v>
      </c>
      <c r="AP57" s="67">
        <v>281.60000000000002</v>
      </c>
      <c r="AQ57" s="67">
        <v>281.5</v>
      </c>
      <c r="AR57" s="68">
        <v>280.39999999999998</v>
      </c>
      <c r="AS57" s="69">
        <f>IFERROR(AVERAGEIF(Tabella01MarzoInverter[[#This Row],[Active power TX3-INV-1]:[Active power TX3-INV-12]], "&gt;0"), 0)</f>
        <v>281.34166666666664</v>
      </c>
      <c r="AT57" s="67">
        <f>MAX(Tabella01MarzoInverter[[#This Row],[Active power TX3-INV-1]:[Active power TX3-INV-12]])</f>
        <v>281.7</v>
      </c>
      <c r="AU57" s="70">
        <f>MIN(Tabella01MarzoInverter[[#This Row],[Active power TX3-INV-1]:[Active power TX3-INV-12]])</f>
        <v>280.39999999999998</v>
      </c>
    </row>
    <row r="58" spans="1:47" x14ac:dyDescent="0.25">
      <c r="A58" s="65">
        <v>46147</v>
      </c>
      <c r="B58" s="72" t="s">
        <v>58</v>
      </c>
      <c r="C58" s="67">
        <v>280.60000000000002</v>
      </c>
      <c r="D58" s="67">
        <v>281.2</v>
      </c>
      <c r="E58" s="67">
        <v>280.3</v>
      </c>
      <c r="F58" s="67">
        <v>280.60000000000002</v>
      </c>
      <c r="G58" s="67">
        <v>281.10000000000002</v>
      </c>
      <c r="H58" s="67">
        <v>280.7</v>
      </c>
      <c r="I58" s="67">
        <v>281.3</v>
      </c>
      <c r="J58" s="67">
        <v>281.89999999999998</v>
      </c>
      <c r="K58" s="67">
        <v>281.5</v>
      </c>
      <c r="L58" s="67">
        <v>281.60000000000002</v>
      </c>
      <c r="M58" s="67">
        <v>281.2</v>
      </c>
      <c r="N58" s="68">
        <v>280.89999999999998</v>
      </c>
      <c r="O58" s="69">
        <f>IFERROR(AVERAGEIF(Tabella01MarzoInverter[[#This Row],[Active power TX1-INV-1]:[Active power TX1-INV-12]], "&gt;0"), 0)</f>
        <v>281.07499999999999</v>
      </c>
      <c r="P58" s="67">
        <f>MAX(Tabella01MarzoInverter[[#This Row],[Active power TX1-INV-1]:[Active power TX1-INV-12]])</f>
        <v>281.89999999999998</v>
      </c>
      <c r="Q58" s="70">
        <f>MIN(Tabella01MarzoInverter[[#This Row],[Active power TX1-INV-1]:[Active power TX1-INV-12]])</f>
        <v>280.3</v>
      </c>
      <c r="R58" s="71">
        <v>278.7</v>
      </c>
      <c r="S58" s="67">
        <v>281.2</v>
      </c>
      <c r="T58" s="67">
        <v>281.2</v>
      </c>
      <c r="U58" s="67">
        <v>256.8</v>
      </c>
      <c r="V58" s="67">
        <v>247.3</v>
      </c>
      <c r="W58" s="67">
        <v>281.5</v>
      </c>
      <c r="X58" s="67">
        <v>281.8</v>
      </c>
      <c r="Y58" s="67">
        <v>281.10000000000002</v>
      </c>
      <c r="Z58" s="67">
        <v>281.2</v>
      </c>
      <c r="AA58" s="67">
        <v>281.2</v>
      </c>
      <c r="AB58" s="67">
        <v>281.2</v>
      </c>
      <c r="AC58" s="68">
        <v>272.5</v>
      </c>
      <c r="AD58" s="69">
        <f>IFERROR(AVERAGEIF(Tabella01MarzoInverter[[#This Row],[Active power TX2-INV-1]:[Active power TX2-INV-12]], "&gt;0"), 0)</f>
        <v>275.47499999999997</v>
      </c>
      <c r="AE58" s="67">
        <f>MAX(Tabella01MarzoInverter[[#This Row],[Active power TX2-INV-1]:[Active power TX2-INV-12]])</f>
        <v>281.8</v>
      </c>
      <c r="AF58" s="70">
        <f>MIN(Tabella01MarzoInverter[[#This Row],[Active power TX2-INV-1]:[Active power TX2-INV-12]])</f>
        <v>247.3</v>
      </c>
      <c r="AG58" s="71">
        <v>281.60000000000002</v>
      </c>
      <c r="AH58" s="67">
        <v>281.3</v>
      </c>
      <c r="AI58" s="67">
        <v>281.3</v>
      </c>
      <c r="AJ58" s="67">
        <v>281.39999999999998</v>
      </c>
      <c r="AK58" s="67">
        <v>281</v>
      </c>
      <c r="AL58" s="67">
        <v>261.39999999999998</v>
      </c>
      <c r="AM58" s="67">
        <v>281.60000000000002</v>
      </c>
      <c r="AN58" s="67">
        <v>280.60000000000002</v>
      </c>
      <c r="AO58" s="67">
        <v>281.39999999999998</v>
      </c>
      <c r="AP58" s="67">
        <v>281.5</v>
      </c>
      <c r="AQ58" s="67">
        <v>271.7</v>
      </c>
      <c r="AR58" s="68">
        <v>280.39999999999998</v>
      </c>
      <c r="AS58" s="69">
        <f>IFERROR(AVERAGEIF(Tabella01MarzoInverter[[#This Row],[Active power TX3-INV-1]:[Active power TX3-INV-12]], "&gt;0"), 0)</f>
        <v>278.76666666666665</v>
      </c>
      <c r="AT58" s="67">
        <f>MAX(Tabella01MarzoInverter[[#This Row],[Active power TX3-INV-1]:[Active power TX3-INV-12]])</f>
        <v>281.60000000000002</v>
      </c>
      <c r="AU58" s="70">
        <f>MIN(Tabella01MarzoInverter[[#This Row],[Active power TX3-INV-1]:[Active power TX3-INV-12]])</f>
        <v>261.39999999999998</v>
      </c>
    </row>
    <row r="59" spans="1:47" x14ac:dyDescent="0.25">
      <c r="A59" s="65">
        <v>46147</v>
      </c>
      <c r="B59" s="66" t="s">
        <v>59</v>
      </c>
      <c r="C59" s="67">
        <v>245.1</v>
      </c>
      <c r="D59" s="67">
        <v>244.6</v>
      </c>
      <c r="E59" s="67">
        <v>240.2</v>
      </c>
      <c r="F59" s="67">
        <v>251.2</v>
      </c>
      <c r="G59" s="67">
        <v>250.8</v>
      </c>
      <c r="H59" s="67">
        <v>248.4</v>
      </c>
      <c r="I59" s="67">
        <v>253.7</v>
      </c>
      <c r="J59" s="67">
        <v>263.60000000000002</v>
      </c>
      <c r="K59" s="67">
        <v>247.8</v>
      </c>
      <c r="L59" s="67">
        <v>244.1</v>
      </c>
      <c r="M59" s="67">
        <v>264.2</v>
      </c>
      <c r="N59" s="68">
        <v>254.2</v>
      </c>
      <c r="O59" s="69">
        <f>IFERROR(AVERAGEIF(Tabella01MarzoInverter[[#This Row],[Active power TX1-INV-1]:[Active power TX1-INV-12]], "&gt;0"), 0)</f>
        <v>250.6583333333333</v>
      </c>
      <c r="P59" s="67">
        <f>MAX(Tabella01MarzoInverter[[#This Row],[Active power TX1-INV-1]:[Active power TX1-INV-12]])</f>
        <v>264.2</v>
      </c>
      <c r="Q59" s="70">
        <f>MIN(Tabella01MarzoInverter[[#This Row],[Active power TX1-INV-1]:[Active power TX1-INV-12]])</f>
        <v>240.2</v>
      </c>
      <c r="R59" s="71">
        <v>239.7</v>
      </c>
      <c r="S59" s="67">
        <v>249.3</v>
      </c>
      <c r="T59" s="67">
        <v>248.3</v>
      </c>
      <c r="U59" s="67">
        <v>216.3</v>
      </c>
      <c r="V59" s="67">
        <v>213.8</v>
      </c>
      <c r="W59" s="67">
        <v>256.89999999999998</v>
      </c>
      <c r="X59" s="67">
        <v>250.2</v>
      </c>
      <c r="Y59" s="67">
        <v>248.1</v>
      </c>
      <c r="Z59" s="67">
        <v>256.8</v>
      </c>
      <c r="AA59" s="67">
        <v>251.6</v>
      </c>
      <c r="AB59" s="67">
        <v>256.7</v>
      </c>
      <c r="AC59" s="68">
        <v>256.89999999999998</v>
      </c>
      <c r="AD59" s="69">
        <f>IFERROR(AVERAGEIF(Tabella01MarzoInverter[[#This Row],[Active power TX2-INV-1]:[Active power TX2-INV-12]], "&gt;0"), 0)</f>
        <v>245.3833333333333</v>
      </c>
      <c r="AE59" s="67">
        <f>MAX(Tabella01MarzoInverter[[#This Row],[Active power TX2-INV-1]:[Active power TX2-INV-12]])</f>
        <v>256.89999999999998</v>
      </c>
      <c r="AF59" s="70">
        <f>MIN(Tabella01MarzoInverter[[#This Row],[Active power TX2-INV-1]:[Active power TX2-INV-12]])</f>
        <v>213.8</v>
      </c>
      <c r="AG59" s="71">
        <v>249.4</v>
      </c>
      <c r="AH59" s="67">
        <v>264.3</v>
      </c>
      <c r="AI59" s="67">
        <v>251.5</v>
      </c>
      <c r="AJ59" s="67">
        <v>264</v>
      </c>
      <c r="AK59" s="67">
        <v>269.89999999999998</v>
      </c>
      <c r="AL59" s="67">
        <v>256.60000000000002</v>
      </c>
      <c r="AM59" s="67">
        <v>260.5</v>
      </c>
      <c r="AN59" s="67">
        <v>251.9</v>
      </c>
      <c r="AO59" s="67">
        <v>253.5</v>
      </c>
      <c r="AP59" s="67">
        <v>263.39999999999998</v>
      </c>
      <c r="AQ59" s="67">
        <v>262.60000000000002</v>
      </c>
      <c r="AR59" s="68">
        <v>253.7</v>
      </c>
      <c r="AS59" s="69">
        <f>IFERROR(AVERAGEIF(Tabella01MarzoInverter[[#This Row],[Active power TX3-INV-1]:[Active power TX3-INV-12]], "&gt;0"), 0)</f>
        <v>258.44166666666666</v>
      </c>
      <c r="AT59" s="67">
        <f>MAX(Tabella01MarzoInverter[[#This Row],[Active power TX3-INV-1]:[Active power TX3-INV-12]])</f>
        <v>269.89999999999998</v>
      </c>
      <c r="AU59" s="70">
        <f>MIN(Tabella01MarzoInverter[[#This Row],[Active power TX3-INV-1]:[Active power TX3-INV-12]])</f>
        <v>249.4</v>
      </c>
    </row>
    <row r="60" spans="1:47" x14ac:dyDescent="0.25">
      <c r="A60" s="65">
        <v>46147</v>
      </c>
      <c r="B60" s="72" t="s">
        <v>60</v>
      </c>
      <c r="C60" s="67">
        <v>281</v>
      </c>
      <c r="D60" s="67">
        <v>281.60000000000002</v>
      </c>
      <c r="E60" s="67">
        <v>281</v>
      </c>
      <c r="F60" s="67">
        <v>281.5</v>
      </c>
      <c r="G60" s="67">
        <v>281.89999999999998</v>
      </c>
      <c r="H60" s="67">
        <v>281.60000000000002</v>
      </c>
      <c r="I60" s="67">
        <v>281.39999999999998</v>
      </c>
      <c r="J60" s="67">
        <v>281.89999999999998</v>
      </c>
      <c r="K60" s="67">
        <v>281.2</v>
      </c>
      <c r="L60" s="67">
        <v>281.7</v>
      </c>
      <c r="M60" s="67">
        <v>281.39999999999998</v>
      </c>
      <c r="N60" s="68">
        <v>281.2</v>
      </c>
      <c r="O60" s="69">
        <f>IFERROR(AVERAGEIF(Tabella01MarzoInverter[[#This Row],[Active power TX1-INV-1]:[Active power TX1-INV-12]], "&gt;0"), 0)</f>
        <v>281.45</v>
      </c>
      <c r="P60" s="67">
        <f>MAX(Tabella01MarzoInverter[[#This Row],[Active power TX1-INV-1]:[Active power TX1-INV-12]])</f>
        <v>281.89999999999998</v>
      </c>
      <c r="Q60" s="70">
        <f>MIN(Tabella01MarzoInverter[[#This Row],[Active power TX1-INV-1]:[Active power TX1-INV-12]])</f>
        <v>281</v>
      </c>
      <c r="R60" s="71">
        <v>279.7</v>
      </c>
      <c r="S60" s="67">
        <v>281.5</v>
      </c>
      <c r="T60" s="67">
        <v>281.2</v>
      </c>
      <c r="U60" s="67">
        <v>254.2</v>
      </c>
      <c r="V60" s="67">
        <v>254.6</v>
      </c>
      <c r="W60" s="67">
        <v>280.8</v>
      </c>
      <c r="X60" s="67">
        <v>282.10000000000002</v>
      </c>
      <c r="Y60" s="67">
        <v>281</v>
      </c>
      <c r="Z60" s="67">
        <v>282</v>
      </c>
      <c r="AA60" s="67">
        <v>281.39999999999998</v>
      </c>
      <c r="AB60" s="67">
        <v>281.89999999999998</v>
      </c>
      <c r="AC60" s="68">
        <v>281.39999999999998</v>
      </c>
      <c r="AD60" s="69">
        <f>IFERROR(AVERAGEIF(Tabella01MarzoInverter[[#This Row],[Active power TX2-INV-1]:[Active power TX2-INV-12]], "&gt;0"), 0)</f>
        <v>276.81666666666666</v>
      </c>
      <c r="AE60" s="67">
        <f>MAX(Tabella01MarzoInverter[[#This Row],[Active power TX2-INV-1]:[Active power TX2-INV-12]])</f>
        <v>282.10000000000002</v>
      </c>
      <c r="AF60" s="70">
        <f>MIN(Tabella01MarzoInverter[[#This Row],[Active power TX2-INV-1]:[Active power TX2-INV-12]])</f>
        <v>254.2</v>
      </c>
      <c r="AG60" s="71">
        <v>271.8</v>
      </c>
      <c r="AH60" s="67">
        <v>281.7</v>
      </c>
      <c r="AI60" s="67">
        <v>281.2</v>
      </c>
      <c r="AJ60" s="67">
        <v>281.2</v>
      </c>
      <c r="AK60" s="67">
        <v>281.2</v>
      </c>
      <c r="AL60" s="67">
        <v>281</v>
      </c>
      <c r="AM60" s="67">
        <v>281.2</v>
      </c>
      <c r="AN60" s="67">
        <v>281.39999999999998</v>
      </c>
      <c r="AO60" s="67">
        <v>281.60000000000002</v>
      </c>
      <c r="AP60" s="67">
        <v>281.8</v>
      </c>
      <c r="AQ60" s="67">
        <v>281.60000000000002</v>
      </c>
      <c r="AR60" s="68">
        <v>281</v>
      </c>
      <c r="AS60" s="69">
        <f>IFERROR(AVERAGEIF(Tabella01MarzoInverter[[#This Row],[Active power TX3-INV-1]:[Active power TX3-INV-12]], "&gt;0"), 0)</f>
        <v>280.55833333333334</v>
      </c>
      <c r="AT60" s="67">
        <f>MAX(Tabella01MarzoInverter[[#This Row],[Active power TX3-INV-1]:[Active power TX3-INV-12]])</f>
        <v>281.8</v>
      </c>
      <c r="AU60" s="70">
        <f>MIN(Tabella01MarzoInverter[[#This Row],[Active power TX3-INV-1]:[Active power TX3-INV-12]])</f>
        <v>271.8</v>
      </c>
    </row>
    <row r="61" spans="1:47" x14ac:dyDescent="0.25">
      <c r="A61" s="65">
        <v>46147</v>
      </c>
      <c r="B61" s="66" t="s">
        <v>61</v>
      </c>
      <c r="C61" s="67">
        <v>279.10000000000002</v>
      </c>
      <c r="D61" s="67">
        <v>278.2</v>
      </c>
      <c r="E61" s="67">
        <v>276.60000000000002</v>
      </c>
      <c r="F61" s="67">
        <v>279.2</v>
      </c>
      <c r="G61" s="67">
        <v>276.7</v>
      </c>
      <c r="H61" s="67">
        <v>277.89999999999998</v>
      </c>
      <c r="I61" s="67">
        <v>276.2</v>
      </c>
      <c r="J61" s="67">
        <v>279.10000000000002</v>
      </c>
      <c r="K61" s="67">
        <v>279.60000000000002</v>
      </c>
      <c r="L61" s="67">
        <v>278.2</v>
      </c>
      <c r="M61" s="67">
        <v>278.10000000000002</v>
      </c>
      <c r="N61" s="68">
        <v>277.2</v>
      </c>
      <c r="O61" s="69">
        <f>IFERROR(AVERAGEIF(Tabella01MarzoInverter[[#This Row],[Active power TX1-INV-1]:[Active power TX1-INV-12]], "&gt;0"), 0)</f>
        <v>278.00833333333327</v>
      </c>
      <c r="P61" s="67">
        <f>MAX(Tabella01MarzoInverter[[#This Row],[Active power TX1-INV-1]:[Active power TX1-INV-12]])</f>
        <v>279.60000000000002</v>
      </c>
      <c r="Q61" s="70">
        <f>MIN(Tabella01MarzoInverter[[#This Row],[Active power TX1-INV-1]:[Active power TX1-INV-12]])</f>
        <v>276.2</v>
      </c>
      <c r="R61" s="71">
        <v>272.8</v>
      </c>
      <c r="S61" s="67">
        <v>277.60000000000002</v>
      </c>
      <c r="T61" s="67">
        <v>275.89999999999998</v>
      </c>
      <c r="U61" s="67">
        <v>254.9</v>
      </c>
      <c r="V61" s="67">
        <v>255.4</v>
      </c>
      <c r="W61" s="67">
        <v>277.7</v>
      </c>
      <c r="X61" s="67">
        <v>278.8</v>
      </c>
      <c r="Y61" s="67">
        <v>277.2</v>
      </c>
      <c r="Z61" s="67">
        <v>277.3</v>
      </c>
      <c r="AA61" s="67">
        <v>277.5</v>
      </c>
      <c r="AB61" s="67">
        <v>277.89999999999998</v>
      </c>
      <c r="AC61" s="68">
        <v>277.7</v>
      </c>
      <c r="AD61" s="69">
        <f>IFERROR(AVERAGEIF(Tabella01MarzoInverter[[#This Row],[Active power TX2-INV-1]:[Active power TX2-INV-12]], "&gt;0"), 0)</f>
        <v>273.39166666666671</v>
      </c>
      <c r="AE61" s="67">
        <f>MAX(Tabella01MarzoInverter[[#This Row],[Active power TX2-INV-1]:[Active power TX2-INV-12]])</f>
        <v>278.8</v>
      </c>
      <c r="AF61" s="70">
        <f>MIN(Tabella01MarzoInverter[[#This Row],[Active power TX2-INV-1]:[Active power TX2-INV-12]])</f>
        <v>254.9</v>
      </c>
      <c r="AG61" s="71">
        <v>280.5</v>
      </c>
      <c r="AH61" s="67">
        <v>277</v>
      </c>
      <c r="AI61" s="67">
        <v>277.3</v>
      </c>
      <c r="AJ61" s="67">
        <v>276.3</v>
      </c>
      <c r="AK61" s="67">
        <v>279.2</v>
      </c>
      <c r="AL61" s="67">
        <v>278.89999999999998</v>
      </c>
      <c r="AM61" s="67">
        <v>279.3</v>
      </c>
      <c r="AN61" s="67">
        <v>276.8</v>
      </c>
      <c r="AO61" s="67">
        <v>276.5</v>
      </c>
      <c r="AP61" s="67">
        <v>276.89999999999998</v>
      </c>
      <c r="AQ61" s="67">
        <v>270.8</v>
      </c>
      <c r="AR61" s="68">
        <v>275.7</v>
      </c>
      <c r="AS61" s="69">
        <f>IFERROR(AVERAGEIF(Tabella01MarzoInverter[[#This Row],[Active power TX3-INV-1]:[Active power TX3-INV-12]], "&gt;0"), 0)</f>
        <v>277.09999999999997</v>
      </c>
      <c r="AT61" s="67">
        <f>MAX(Tabella01MarzoInverter[[#This Row],[Active power TX3-INV-1]:[Active power TX3-INV-12]])</f>
        <v>280.5</v>
      </c>
      <c r="AU61" s="70">
        <f>MIN(Tabella01MarzoInverter[[#This Row],[Active power TX3-INV-1]:[Active power TX3-INV-12]])</f>
        <v>270.8</v>
      </c>
    </row>
    <row r="62" spans="1:47" x14ac:dyDescent="0.25">
      <c r="A62" s="65">
        <v>46147</v>
      </c>
      <c r="B62" s="72" t="s">
        <v>62</v>
      </c>
      <c r="C62" s="67">
        <v>265.60000000000002</v>
      </c>
      <c r="D62" s="67">
        <v>262.8</v>
      </c>
      <c r="E62" s="67">
        <v>265.2</v>
      </c>
      <c r="F62" s="67">
        <v>265.10000000000002</v>
      </c>
      <c r="G62" s="67">
        <v>254.6</v>
      </c>
      <c r="H62" s="67">
        <v>253.2</v>
      </c>
      <c r="I62" s="67">
        <v>257.10000000000002</v>
      </c>
      <c r="J62" s="67">
        <v>270.10000000000002</v>
      </c>
      <c r="K62" s="67">
        <v>267.3</v>
      </c>
      <c r="L62" s="67">
        <v>269.2</v>
      </c>
      <c r="M62" s="67">
        <v>268.10000000000002</v>
      </c>
      <c r="N62" s="68">
        <v>266.5</v>
      </c>
      <c r="O62" s="69">
        <f>IFERROR(AVERAGEIF(Tabella01MarzoInverter[[#This Row],[Active power TX1-INV-1]:[Active power TX1-INV-12]], "&gt;0"), 0)</f>
        <v>263.73333333333335</v>
      </c>
      <c r="P62" s="67">
        <f>MAX(Tabella01MarzoInverter[[#This Row],[Active power TX1-INV-1]:[Active power TX1-INV-12]])</f>
        <v>270.10000000000002</v>
      </c>
      <c r="Q62" s="70">
        <f>MIN(Tabella01MarzoInverter[[#This Row],[Active power TX1-INV-1]:[Active power TX1-INV-12]])</f>
        <v>253.2</v>
      </c>
      <c r="R62" s="71">
        <v>255.7</v>
      </c>
      <c r="S62" s="67">
        <v>262.8</v>
      </c>
      <c r="T62" s="67">
        <v>243.6</v>
      </c>
      <c r="U62" s="67">
        <v>243.5</v>
      </c>
      <c r="V62" s="67">
        <v>244.4</v>
      </c>
      <c r="W62" s="67">
        <v>268.8</v>
      </c>
      <c r="X62" s="67">
        <v>264.39999999999998</v>
      </c>
      <c r="Y62" s="67">
        <v>269.39999999999998</v>
      </c>
      <c r="Z62" s="67">
        <v>269</v>
      </c>
      <c r="AA62" s="67">
        <v>263.60000000000002</v>
      </c>
      <c r="AB62" s="67">
        <v>267.8</v>
      </c>
      <c r="AC62" s="68">
        <v>268.89999999999998</v>
      </c>
      <c r="AD62" s="69">
        <f>IFERROR(AVERAGEIF(Tabella01MarzoInverter[[#This Row],[Active power TX2-INV-1]:[Active power TX2-INV-12]], "&gt;0"), 0)</f>
        <v>260.15833333333336</v>
      </c>
      <c r="AE62" s="67">
        <f>MAX(Tabella01MarzoInverter[[#This Row],[Active power TX2-INV-1]:[Active power TX2-INV-12]])</f>
        <v>269.39999999999998</v>
      </c>
      <c r="AF62" s="70">
        <f>MIN(Tabella01MarzoInverter[[#This Row],[Active power TX2-INV-1]:[Active power TX2-INV-12]])</f>
        <v>243.5</v>
      </c>
      <c r="AG62" s="71">
        <v>273.8</v>
      </c>
      <c r="AH62" s="67">
        <v>265</v>
      </c>
      <c r="AI62" s="67">
        <v>273.60000000000002</v>
      </c>
      <c r="AJ62" s="67">
        <v>274.89999999999998</v>
      </c>
      <c r="AK62" s="67">
        <v>275.89999999999998</v>
      </c>
      <c r="AL62" s="67">
        <v>275</v>
      </c>
      <c r="AM62" s="67">
        <v>273.3</v>
      </c>
      <c r="AN62" s="67">
        <v>260.10000000000002</v>
      </c>
      <c r="AO62" s="67">
        <v>270.39999999999998</v>
      </c>
      <c r="AP62" s="67">
        <v>270.7</v>
      </c>
      <c r="AQ62" s="67">
        <v>262.8</v>
      </c>
      <c r="AR62" s="68">
        <v>260.7</v>
      </c>
      <c r="AS62" s="69">
        <f>IFERROR(AVERAGEIF(Tabella01MarzoInverter[[#This Row],[Active power TX3-INV-1]:[Active power TX3-INV-12]], "&gt;0"), 0)</f>
        <v>269.68333333333334</v>
      </c>
      <c r="AT62" s="67">
        <f>MAX(Tabella01MarzoInverter[[#This Row],[Active power TX3-INV-1]:[Active power TX3-INV-12]])</f>
        <v>275.89999999999998</v>
      </c>
      <c r="AU62" s="70">
        <f>MIN(Tabella01MarzoInverter[[#This Row],[Active power TX3-INV-1]:[Active power TX3-INV-12]])</f>
        <v>260.10000000000002</v>
      </c>
    </row>
    <row r="63" spans="1:47" x14ac:dyDescent="0.25">
      <c r="A63" s="65">
        <v>46147</v>
      </c>
      <c r="B63" s="66" t="s">
        <v>63</v>
      </c>
      <c r="C63" s="67">
        <v>267.8</v>
      </c>
      <c r="D63" s="67">
        <v>265.7</v>
      </c>
      <c r="E63" s="67">
        <v>264.5</v>
      </c>
      <c r="F63" s="67">
        <v>255.8</v>
      </c>
      <c r="G63" s="67">
        <v>264.7</v>
      </c>
      <c r="H63" s="67">
        <v>264.39999999999998</v>
      </c>
      <c r="I63" s="67">
        <v>265.60000000000002</v>
      </c>
      <c r="J63" s="67">
        <v>266.10000000000002</v>
      </c>
      <c r="K63" s="67">
        <v>271.89999999999998</v>
      </c>
      <c r="L63" s="67">
        <v>266.2</v>
      </c>
      <c r="M63" s="67">
        <v>271.39999999999998</v>
      </c>
      <c r="N63" s="68">
        <v>270.3</v>
      </c>
      <c r="O63" s="69">
        <f>IFERROR(AVERAGEIF(Tabella01MarzoInverter[[#This Row],[Active power TX1-INV-1]:[Active power TX1-INV-12]], "&gt;0"), 0)</f>
        <v>266.2</v>
      </c>
      <c r="P63" s="67">
        <f>MAX(Tabella01MarzoInverter[[#This Row],[Active power TX1-INV-1]:[Active power TX1-INV-12]])</f>
        <v>271.89999999999998</v>
      </c>
      <c r="Q63" s="70">
        <f>MIN(Tabella01MarzoInverter[[#This Row],[Active power TX1-INV-1]:[Active power TX1-INV-12]])</f>
        <v>255.8</v>
      </c>
      <c r="R63" s="71">
        <v>255.2</v>
      </c>
      <c r="S63" s="67">
        <v>268.60000000000002</v>
      </c>
      <c r="T63" s="67">
        <v>270.10000000000002</v>
      </c>
      <c r="U63" s="67">
        <v>257.7</v>
      </c>
      <c r="V63" s="67">
        <v>261.7</v>
      </c>
      <c r="W63" s="67">
        <v>271.5</v>
      </c>
      <c r="X63" s="67">
        <v>268.89999999999998</v>
      </c>
      <c r="Y63" s="67">
        <v>272.60000000000002</v>
      </c>
      <c r="Z63" s="67">
        <v>262.3</v>
      </c>
      <c r="AA63" s="67">
        <v>264.2</v>
      </c>
      <c r="AB63" s="67">
        <v>271.10000000000002</v>
      </c>
      <c r="AC63" s="68">
        <v>270.10000000000002</v>
      </c>
      <c r="AD63" s="69">
        <f>IFERROR(AVERAGEIF(Tabella01MarzoInverter[[#This Row],[Active power TX2-INV-1]:[Active power TX2-INV-12]], "&gt;0"), 0)</f>
        <v>266.16666666666663</v>
      </c>
      <c r="AE63" s="67">
        <f>MAX(Tabella01MarzoInverter[[#This Row],[Active power TX2-INV-1]:[Active power TX2-INV-12]])</f>
        <v>272.60000000000002</v>
      </c>
      <c r="AF63" s="70">
        <f>MIN(Tabella01MarzoInverter[[#This Row],[Active power TX2-INV-1]:[Active power TX2-INV-12]])</f>
        <v>255.2</v>
      </c>
      <c r="AG63" s="71">
        <v>269.89999999999998</v>
      </c>
      <c r="AH63" s="67">
        <v>275.60000000000002</v>
      </c>
      <c r="AI63" s="67">
        <v>271.39999999999998</v>
      </c>
      <c r="AJ63" s="67">
        <v>272.39999999999998</v>
      </c>
      <c r="AK63" s="67">
        <v>275.7</v>
      </c>
      <c r="AL63" s="67">
        <v>276.10000000000002</v>
      </c>
      <c r="AM63" s="67">
        <v>272.60000000000002</v>
      </c>
      <c r="AN63" s="67">
        <v>270.7</v>
      </c>
      <c r="AO63" s="67">
        <v>262.8</v>
      </c>
      <c r="AP63" s="67">
        <v>273.60000000000002</v>
      </c>
      <c r="AQ63" s="67">
        <v>271.10000000000002</v>
      </c>
      <c r="AR63" s="68">
        <v>260.39999999999998</v>
      </c>
      <c r="AS63" s="69">
        <f>IFERROR(AVERAGEIF(Tabella01MarzoInverter[[#This Row],[Active power TX3-INV-1]:[Active power TX3-INV-12]], "&gt;0"), 0)</f>
        <v>271.02499999999998</v>
      </c>
      <c r="AT63" s="67">
        <f>MAX(Tabella01MarzoInverter[[#This Row],[Active power TX3-INV-1]:[Active power TX3-INV-12]])</f>
        <v>276.10000000000002</v>
      </c>
      <c r="AU63" s="70">
        <f>MIN(Tabella01MarzoInverter[[#This Row],[Active power TX3-INV-1]:[Active power TX3-INV-12]])</f>
        <v>260.39999999999998</v>
      </c>
    </row>
    <row r="64" spans="1:47" x14ac:dyDescent="0.25">
      <c r="A64" s="65">
        <v>46147</v>
      </c>
      <c r="B64" s="72" t="s">
        <v>64</v>
      </c>
      <c r="C64" s="67">
        <v>248.1</v>
      </c>
      <c r="D64" s="67">
        <v>247.7</v>
      </c>
      <c r="E64" s="67">
        <v>246.8</v>
      </c>
      <c r="F64" s="67">
        <v>248</v>
      </c>
      <c r="G64" s="67">
        <v>248.5</v>
      </c>
      <c r="H64" s="67">
        <v>250.7</v>
      </c>
      <c r="I64" s="67">
        <v>248.3</v>
      </c>
      <c r="J64" s="67">
        <v>260.10000000000002</v>
      </c>
      <c r="K64" s="67">
        <v>256.39999999999998</v>
      </c>
      <c r="L64" s="67">
        <v>260.89999999999998</v>
      </c>
      <c r="M64" s="67">
        <v>247.5</v>
      </c>
      <c r="N64" s="68">
        <v>248.5</v>
      </c>
      <c r="O64" s="69">
        <f>IFERROR(AVERAGEIF(Tabella01MarzoInverter[[#This Row],[Active power TX1-INV-1]:[Active power TX1-INV-12]], "&gt;0"), 0)</f>
        <v>250.95833333333334</v>
      </c>
      <c r="P64" s="67">
        <f>MAX(Tabella01MarzoInverter[[#This Row],[Active power TX1-INV-1]:[Active power TX1-INV-12]])</f>
        <v>260.89999999999998</v>
      </c>
      <c r="Q64" s="70">
        <f>MIN(Tabella01MarzoInverter[[#This Row],[Active power TX1-INV-1]:[Active power TX1-INV-12]])</f>
        <v>246.8</v>
      </c>
      <c r="R64" s="71">
        <v>247.2</v>
      </c>
      <c r="S64" s="67">
        <v>252</v>
      </c>
      <c r="T64" s="67">
        <v>248.8</v>
      </c>
      <c r="U64" s="67">
        <v>241.1</v>
      </c>
      <c r="V64" s="67">
        <v>232.9</v>
      </c>
      <c r="W64" s="67">
        <v>249.3</v>
      </c>
      <c r="X64" s="67">
        <v>254.8</v>
      </c>
      <c r="Y64" s="67">
        <v>248.8</v>
      </c>
      <c r="Z64" s="67">
        <v>252</v>
      </c>
      <c r="AA64" s="67">
        <v>251.4</v>
      </c>
      <c r="AB64" s="67">
        <v>257</v>
      </c>
      <c r="AC64" s="68">
        <v>251.5</v>
      </c>
      <c r="AD64" s="69">
        <f>IFERROR(AVERAGEIF(Tabella01MarzoInverter[[#This Row],[Active power TX2-INV-1]:[Active power TX2-INV-12]], "&gt;0"), 0)</f>
        <v>248.89999999999998</v>
      </c>
      <c r="AE64" s="67">
        <f>MAX(Tabella01MarzoInverter[[#This Row],[Active power TX2-INV-1]:[Active power TX2-INV-12]])</f>
        <v>257</v>
      </c>
      <c r="AF64" s="70">
        <f>MIN(Tabella01MarzoInverter[[#This Row],[Active power TX2-INV-1]:[Active power TX2-INV-12]])</f>
        <v>232.9</v>
      </c>
      <c r="AG64" s="71">
        <v>247.2</v>
      </c>
      <c r="AH64" s="67">
        <v>255.1</v>
      </c>
      <c r="AI64" s="67">
        <v>244.7</v>
      </c>
      <c r="AJ64" s="67">
        <v>249.5</v>
      </c>
      <c r="AK64" s="67">
        <v>261.89999999999998</v>
      </c>
      <c r="AL64" s="67">
        <v>261.39999999999998</v>
      </c>
      <c r="AM64" s="67">
        <v>259.89999999999998</v>
      </c>
      <c r="AN64" s="67">
        <v>256.60000000000002</v>
      </c>
      <c r="AO64" s="67">
        <v>256.8</v>
      </c>
      <c r="AP64" s="67">
        <v>256.7</v>
      </c>
      <c r="AQ64" s="67">
        <v>260.39999999999998</v>
      </c>
      <c r="AR64" s="68">
        <v>242.6</v>
      </c>
      <c r="AS64" s="69">
        <f>IFERROR(AVERAGEIF(Tabella01MarzoInverter[[#This Row],[Active power TX3-INV-1]:[Active power TX3-INV-12]], "&gt;0"), 0)</f>
        <v>254.4</v>
      </c>
      <c r="AT64" s="67">
        <f>MAX(Tabella01MarzoInverter[[#This Row],[Active power TX3-INV-1]:[Active power TX3-INV-12]])</f>
        <v>261.89999999999998</v>
      </c>
      <c r="AU64" s="70">
        <f>MIN(Tabella01MarzoInverter[[#This Row],[Active power TX3-INV-1]:[Active power TX3-INV-12]])</f>
        <v>242.6</v>
      </c>
    </row>
    <row r="65" spans="1:47" x14ac:dyDescent="0.25">
      <c r="A65" s="65">
        <v>46147</v>
      </c>
      <c r="B65" s="66" t="s">
        <v>65</v>
      </c>
      <c r="C65" s="67">
        <v>262.60000000000002</v>
      </c>
      <c r="D65" s="67">
        <v>249.5</v>
      </c>
      <c r="E65" s="67">
        <v>249.2</v>
      </c>
      <c r="F65" s="67">
        <v>254</v>
      </c>
      <c r="G65" s="67">
        <v>259.5</v>
      </c>
      <c r="H65" s="67">
        <v>261.2</v>
      </c>
      <c r="I65" s="67">
        <v>263.5</v>
      </c>
      <c r="J65" s="67">
        <v>267</v>
      </c>
      <c r="K65" s="67">
        <v>266</v>
      </c>
      <c r="L65" s="67">
        <v>263.2</v>
      </c>
      <c r="M65" s="67">
        <v>262.89999999999998</v>
      </c>
      <c r="N65" s="68">
        <v>253.7</v>
      </c>
      <c r="O65" s="69">
        <f>IFERROR(AVERAGEIF(Tabella01MarzoInverter[[#This Row],[Active power TX1-INV-1]:[Active power TX1-INV-12]], "&gt;0"), 0)</f>
        <v>259.35833333333329</v>
      </c>
      <c r="P65" s="67">
        <f>MAX(Tabella01MarzoInverter[[#This Row],[Active power TX1-INV-1]:[Active power TX1-INV-12]])</f>
        <v>267</v>
      </c>
      <c r="Q65" s="70">
        <f>MIN(Tabella01MarzoInverter[[#This Row],[Active power TX1-INV-1]:[Active power TX1-INV-12]])</f>
        <v>249.2</v>
      </c>
      <c r="R65" s="71">
        <v>252.3</v>
      </c>
      <c r="S65" s="67">
        <v>261</v>
      </c>
      <c r="T65" s="67">
        <v>259</v>
      </c>
      <c r="U65" s="67">
        <v>249</v>
      </c>
      <c r="V65" s="67">
        <v>252.6</v>
      </c>
      <c r="W65" s="67">
        <v>255.3</v>
      </c>
      <c r="X65" s="67">
        <v>258.2</v>
      </c>
      <c r="Y65" s="67">
        <v>260.60000000000002</v>
      </c>
      <c r="Z65" s="67">
        <v>262.5</v>
      </c>
      <c r="AA65" s="67">
        <v>256</v>
      </c>
      <c r="AB65" s="67">
        <v>261.3</v>
      </c>
      <c r="AC65" s="68">
        <v>261.89999999999998</v>
      </c>
      <c r="AD65" s="69">
        <f>IFERROR(AVERAGEIF(Tabella01MarzoInverter[[#This Row],[Active power TX2-INV-1]:[Active power TX2-INV-12]], "&gt;0"), 0)</f>
        <v>257.47500000000002</v>
      </c>
      <c r="AE65" s="67">
        <f>MAX(Tabella01MarzoInverter[[#This Row],[Active power TX2-INV-1]:[Active power TX2-INV-12]])</f>
        <v>262.5</v>
      </c>
      <c r="AF65" s="70">
        <f>MIN(Tabella01MarzoInverter[[#This Row],[Active power TX2-INV-1]:[Active power TX2-INV-12]])</f>
        <v>249</v>
      </c>
      <c r="AG65" s="71">
        <v>260.89999999999998</v>
      </c>
      <c r="AH65" s="67">
        <v>257</v>
      </c>
      <c r="AI65" s="67">
        <v>260.89999999999998</v>
      </c>
      <c r="AJ65" s="67">
        <v>240.5</v>
      </c>
      <c r="AK65" s="67">
        <v>260.39999999999998</v>
      </c>
      <c r="AL65" s="67">
        <v>247.1</v>
      </c>
      <c r="AM65" s="67">
        <v>261</v>
      </c>
      <c r="AN65" s="67">
        <v>260.3</v>
      </c>
      <c r="AO65" s="67">
        <v>261.5</v>
      </c>
      <c r="AP65" s="67">
        <v>260.60000000000002</v>
      </c>
      <c r="AQ65" s="67">
        <v>262.10000000000002</v>
      </c>
      <c r="AR65" s="68">
        <v>250.7</v>
      </c>
      <c r="AS65" s="69">
        <f>IFERROR(AVERAGEIF(Tabella01MarzoInverter[[#This Row],[Active power TX3-INV-1]:[Active power TX3-INV-12]], "&gt;0"), 0)</f>
        <v>256.91666666666663</v>
      </c>
      <c r="AT65" s="67">
        <f>MAX(Tabella01MarzoInverter[[#This Row],[Active power TX3-INV-1]:[Active power TX3-INV-12]])</f>
        <v>262.10000000000002</v>
      </c>
      <c r="AU65" s="70">
        <f>MIN(Tabella01MarzoInverter[[#This Row],[Active power TX3-INV-1]:[Active power TX3-INV-12]])</f>
        <v>240.5</v>
      </c>
    </row>
    <row r="66" spans="1:47" x14ac:dyDescent="0.25">
      <c r="A66" s="65">
        <v>46147</v>
      </c>
      <c r="B66" s="72" t="s">
        <v>66</v>
      </c>
      <c r="C66" s="67">
        <v>263.60000000000002</v>
      </c>
      <c r="D66" s="67">
        <v>261.3</v>
      </c>
      <c r="E66" s="67">
        <v>261.7</v>
      </c>
      <c r="F66" s="67">
        <v>264.10000000000002</v>
      </c>
      <c r="G66" s="67">
        <v>254.4</v>
      </c>
      <c r="H66" s="67">
        <v>262.7</v>
      </c>
      <c r="I66" s="67">
        <v>264.3</v>
      </c>
      <c r="J66" s="67">
        <v>264.89999999999998</v>
      </c>
      <c r="K66" s="67">
        <v>266.2</v>
      </c>
      <c r="L66" s="67">
        <v>266.2</v>
      </c>
      <c r="M66" s="67">
        <v>264.60000000000002</v>
      </c>
      <c r="N66" s="68">
        <v>265.7</v>
      </c>
      <c r="O66" s="69">
        <f>IFERROR(AVERAGEIF(Tabella01MarzoInverter[[#This Row],[Active power TX1-INV-1]:[Active power TX1-INV-12]], "&gt;0"), 0)</f>
        <v>263.30833333333334</v>
      </c>
      <c r="P66" s="67">
        <f>MAX(Tabella01MarzoInverter[[#This Row],[Active power TX1-INV-1]:[Active power TX1-INV-12]])</f>
        <v>266.2</v>
      </c>
      <c r="Q66" s="70">
        <f>MIN(Tabella01MarzoInverter[[#This Row],[Active power TX1-INV-1]:[Active power TX1-INV-12]])</f>
        <v>254.4</v>
      </c>
      <c r="R66" s="71">
        <v>261.3</v>
      </c>
      <c r="S66" s="67">
        <v>263.89999999999998</v>
      </c>
      <c r="T66" s="67">
        <v>262.7</v>
      </c>
      <c r="U66" s="67">
        <v>257.2</v>
      </c>
      <c r="V66" s="67">
        <v>261.39999999999998</v>
      </c>
      <c r="W66" s="67">
        <v>267.3</v>
      </c>
      <c r="X66" s="67">
        <v>265.5</v>
      </c>
      <c r="Y66" s="67">
        <v>266.10000000000002</v>
      </c>
      <c r="Z66" s="67">
        <v>266.5</v>
      </c>
      <c r="AA66" s="67">
        <v>264.7</v>
      </c>
      <c r="AB66" s="67">
        <v>267.39999999999998</v>
      </c>
      <c r="AC66" s="68">
        <v>268.10000000000002</v>
      </c>
      <c r="AD66" s="69">
        <f>IFERROR(AVERAGEIF(Tabella01MarzoInverter[[#This Row],[Active power TX2-INV-1]:[Active power TX2-INV-12]], "&gt;0"), 0)</f>
        <v>264.34166666666664</v>
      </c>
      <c r="AE66" s="67">
        <f>MAX(Tabella01MarzoInverter[[#This Row],[Active power TX2-INV-1]:[Active power TX2-INV-12]])</f>
        <v>268.10000000000002</v>
      </c>
      <c r="AF66" s="70">
        <f>MIN(Tabella01MarzoInverter[[#This Row],[Active power TX2-INV-1]:[Active power TX2-INV-12]])</f>
        <v>257.2</v>
      </c>
      <c r="AG66" s="71">
        <v>270.10000000000002</v>
      </c>
      <c r="AH66" s="67">
        <v>269.10000000000002</v>
      </c>
      <c r="AI66" s="67">
        <v>267.89999999999998</v>
      </c>
      <c r="AJ66" s="67">
        <v>268.39999999999998</v>
      </c>
      <c r="AK66" s="67">
        <v>260.10000000000002</v>
      </c>
      <c r="AL66" s="67">
        <v>268.60000000000002</v>
      </c>
      <c r="AM66" s="67">
        <v>268.2</v>
      </c>
      <c r="AN66" s="67">
        <v>266.8</v>
      </c>
      <c r="AO66" s="67">
        <v>265.89999999999998</v>
      </c>
      <c r="AP66" s="67">
        <v>266.10000000000002</v>
      </c>
      <c r="AQ66" s="67">
        <v>268.60000000000002</v>
      </c>
      <c r="AR66" s="68">
        <v>258.2</v>
      </c>
      <c r="AS66" s="69">
        <f>IFERROR(AVERAGEIF(Tabella01MarzoInverter[[#This Row],[Active power TX3-INV-1]:[Active power TX3-INV-12]], "&gt;0"), 0)</f>
        <v>266.49999999999994</v>
      </c>
      <c r="AT66" s="67">
        <f>MAX(Tabella01MarzoInverter[[#This Row],[Active power TX3-INV-1]:[Active power TX3-INV-12]])</f>
        <v>270.10000000000002</v>
      </c>
      <c r="AU66" s="70">
        <f>MIN(Tabella01MarzoInverter[[#This Row],[Active power TX3-INV-1]:[Active power TX3-INV-12]])</f>
        <v>258.2</v>
      </c>
    </row>
    <row r="67" spans="1:47" x14ac:dyDescent="0.25">
      <c r="A67" s="65">
        <v>46147</v>
      </c>
      <c r="B67" s="66" t="s">
        <v>67</v>
      </c>
      <c r="C67" s="67">
        <v>266.39999999999998</v>
      </c>
      <c r="D67" s="67">
        <v>263.2</v>
      </c>
      <c r="E67" s="67">
        <v>260.39999999999998</v>
      </c>
      <c r="F67" s="67">
        <v>265.2</v>
      </c>
      <c r="G67" s="67">
        <v>261.10000000000002</v>
      </c>
      <c r="H67" s="67">
        <v>258.7</v>
      </c>
      <c r="I67" s="67">
        <v>264.8</v>
      </c>
      <c r="J67" s="67">
        <v>268.5</v>
      </c>
      <c r="K67" s="67">
        <v>268.3</v>
      </c>
      <c r="L67" s="67">
        <v>258</v>
      </c>
      <c r="M67" s="67">
        <v>265.3</v>
      </c>
      <c r="N67" s="68">
        <v>264.8</v>
      </c>
      <c r="O67" s="69">
        <f>IFERROR(AVERAGEIF(Tabella01MarzoInverter[[#This Row],[Active power TX1-INV-1]:[Active power TX1-INV-12]], "&gt;0"), 0)</f>
        <v>263.72500000000002</v>
      </c>
      <c r="P67" s="67">
        <f>MAX(Tabella01MarzoInverter[[#This Row],[Active power TX1-INV-1]:[Active power TX1-INV-12]])</f>
        <v>268.5</v>
      </c>
      <c r="Q67" s="70">
        <f>MIN(Tabella01MarzoInverter[[#This Row],[Active power TX1-INV-1]:[Active power TX1-INV-12]])</f>
        <v>258</v>
      </c>
      <c r="R67" s="71">
        <v>255.6</v>
      </c>
      <c r="S67" s="67">
        <v>258.7</v>
      </c>
      <c r="T67" s="67">
        <v>259.2</v>
      </c>
      <c r="U67" s="67">
        <v>251.1</v>
      </c>
      <c r="V67" s="67">
        <v>254.9</v>
      </c>
      <c r="W67" s="67">
        <v>270.39999999999998</v>
      </c>
      <c r="X67" s="67">
        <v>263.2</v>
      </c>
      <c r="Y67" s="67">
        <v>255.2</v>
      </c>
      <c r="Z67" s="67">
        <v>266.7</v>
      </c>
      <c r="AA67" s="67">
        <v>260.3</v>
      </c>
      <c r="AB67" s="67">
        <v>267.10000000000002</v>
      </c>
      <c r="AC67" s="68">
        <v>259.10000000000002</v>
      </c>
      <c r="AD67" s="69">
        <f>IFERROR(AVERAGEIF(Tabella01MarzoInverter[[#This Row],[Active power TX2-INV-1]:[Active power TX2-INV-12]], "&gt;0"), 0)</f>
        <v>260.125</v>
      </c>
      <c r="AE67" s="67">
        <f>MAX(Tabella01MarzoInverter[[#This Row],[Active power TX2-INV-1]:[Active power TX2-INV-12]])</f>
        <v>270.39999999999998</v>
      </c>
      <c r="AF67" s="70">
        <f>MIN(Tabella01MarzoInverter[[#This Row],[Active power TX2-INV-1]:[Active power TX2-INV-12]])</f>
        <v>251.1</v>
      </c>
      <c r="AG67" s="71">
        <v>252.3</v>
      </c>
      <c r="AH67" s="67">
        <v>260.3</v>
      </c>
      <c r="AI67" s="67">
        <v>273.7</v>
      </c>
      <c r="AJ67" s="67">
        <v>260.89999999999998</v>
      </c>
      <c r="AK67" s="67">
        <v>271.7</v>
      </c>
      <c r="AL67" s="67">
        <v>271.89999999999998</v>
      </c>
      <c r="AM67" s="67">
        <v>273</v>
      </c>
      <c r="AN67" s="67">
        <v>261</v>
      </c>
      <c r="AO67" s="67">
        <v>271.3</v>
      </c>
      <c r="AP67" s="67">
        <v>271.8</v>
      </c>
      <c r="AQ67" s="67">
        <v>271.5</v>
      </c>
      <c r="AR67" s="68">
        <v>248</v>
      </c>
      <c r="AS67" s="69">
        <f>IFERROR(AVERAGEIF(Tabella01MarzoInverter[[#This Row],[Active power TX3-INV-1]:[Active power TX3-INV-12]], "&gt;0"), 0)</f>
        <v>265.61666666666667</v>
      </c>
      <c r="AT67" s="67">
        <f>MAX(Tabella01MarzoInverter[[#This Row],[Active power TX3-INV-1]:[Active power TX3-INV-12]])</f>
        <v>273.7</v>
      </c>
      <c r="AU67" s="70">
        <f>MIN(Tabella01MarzoInverter[[#This Row],[Active power TX3-INV-1]:[Active power TX3-INV-12]])</f>
        <v>248</v>
      </c>
    </row>
    <row r="68" spans="1:47" x14ac:dyDescent="0.25">
      <c r="A68" s="65">
        <v>46147</v>
      </c>
      <c r="B68" s="72" t="s">
        <v>68</v>
      </c>
      <c r="C68" s="67">
        <v>277.89999999999998</v>
      </c>
      <c r="D68" s="67">
        <v>277.7</v>
      </c>
      <c r="E68" s="67">
        <v>278.7</v>
      </c>
      <c r="F68" s="67">
        <v>278.7</v>
      </c>
      <c r="G68" s="67">
        <v>279.10000000000002</v>
      </c>
      <c r="H68" s="67">
        <v>279</v>
      </c>
      <c r="I68" s="67">
        <v>279.3</v>
      </c>
      <c r="J68" s="67">
        <v>271.7</v>
      </c>
      <c r="K68" s="67">
        <v>279.7</v>
      </c>
      <c r="L68" s="67">
        <v>273.89999999999998</v>
      </c>
      <c r="M68" s="67">
        <v>279.89999999999998</v>
      </c>
      <c r="N68" s="68">
        <v>278.8</v>
      </c>
      <c r="O68" s="69">
        <f>IFERROR(AVERAGEIF(Tabella01MarzoInverter[[#This Row],[Active power TX1-INV-1]:[Active power TX1-INV-12]], "&gt;0"), 0)</f>
        <v>277.86666666666667</v>
      </c>
      <c r="P68" s="67">
        <f>MAX(Tabella01MarzoInverter[[#This Row],[Active power TX1-INV-1]:[Active power TX1-INV-12]])</f>
        <v>279.89999999999998</v>
      </c>
      <c r="Q68" s="70">
        <f>MIN(Tabella01MarzoInverter[[#This Row],[Active power TX1-INV-1]:[Active power TX1-INV-12]])</f>
        <v>271.7</v>
      </c>
      <c r="R68" s="71">
        <v>272.89999999999998</v>
      </c>
      <c r="S68" s="67">
        <v>267.7</v>
      </c>
      <c r="T68" s="67">
        <v>278.10000000000002</v>
      </c>
      <c r="U68" s="67">
        <v>275</v>
      </c>
      <c r="V68" s="67">
        <v>274.8</v>
      </c>
      <c r="W68" s="67">
        <v>278.60000000000002</v>
      </c>
      <c r="X68" s="67">
        <v>278.3</v>
      </c>
      <c r="Y68" s="67">
        <v>280</v>
      </c>
      <c r="Z68" s="67">
        <v>269.5</v>
      </c>
      <c r="AA68" s="67">
        <v>278</v>
      </c>
      <c r="AB68" s="67">
        <v>280.3</v>
      </c>
      <c r="AC68" s="68">
        <v>280.10000000000002</v>
      </c>
      <c r="AD68" s="69">
        <f>IFERROR(AVERAGEIF(Tabella01MarzoInverter[[#This Row],[Active power TX2-INV-1]:[Active power TX2-INV-12]], "&gt;0"), 0)</f>
        <v>276.10833333333329</v>
      </c>
      <c r="AE68" s="67">
        <f>MAX(Tabella01MarzoInverter[[#This Row],[Active power TX2-INV-1]:[Active power TX2-INV-12]])</f>
        <v>280.3</v>
      </c>
      <c r="AF68" s="70">
        <f>MIN(Tabella01MarzoInverter[[#This Row],[Active power TX2-INV-1]:[Active power TX2-INV-12]])</f>
        <v>267.7</v>
      </c>
      <c r="AG68" s="71">
        <v>281.10000000000002</v>
      </c>
      <c r="AH68" s="67">
        <v>281.2</v>
      </c>
      <c r="AI68" s="67">
        <v>270.7</v>
      </c>
      <c r="AJ68" s="67">
        <v>280.89999999999998</v>
      </c>
      <c r="AK68" s="67">
        <v>280.89999999999998</v>
      </c>
      <c r="AL68" s="67">
        <v>280.5</v>
      </c>
      <c r="AM68" s="67">
        <v>280.89999999999998</v>
      </c>
      <c r="AN68" s="67">
        <v>280.5</v>
      </c>
      <c r="AO68" s="67">
        <v>279.3</v>
      </c>
      <c r="AP68" s="67">
        <v>278.3</v>
      </c>
      <c r="AQ68" s="67">
        <v>280.8</v>
      </c>
      <c r="AR68" s="68">
        <v>275</v>
      </c>
      <c r="AS68" s="69">
        <f>IFERROR(AVERAGEIF(Tabella01MarzoInverter[[#This Row],[Active power TX3-INV-1]:[Active power TX3-INV-12]], "&gt;0"), 0)</f>
        <v>279.17500000000007</v>
      </c>
      <c r="AT68" s="67">
        <f>MAX(Tabella01MarzoInverter[[#This Row],[Active power TX3-INV-1]:[Active power TX3-INV-12]])</f>
        <v>281.2</v>
      </c>
      <c r="AU68" s="70">
        <f>MIN(Tabella01MarzoInverter[[#This Row],[Active power TX3-INV-1]:[Active power TX3-INV-12]])</f>
        <v>270.7</v>
      </c>
    </row>
    <row r="69" spans="1:47" x14ac:dyDescent="0.25">
      <c r="A69" s="65">
        <v>46147</v>
      </c>
      <c r="B69" s="66" t="s">
        <v>69</v>
      </c>
      <c r="C69" s="67">
        <v>274.10000000000002</v>
      </c>
      <c r="D69" s="67">
        <v>263.10000000000002</v>
      </c>
      <c r="E69" s="67">
        <v>265</v>
      </c>
      <c r="F69" s="67">
        <v>271.5</v>
      </c>
      <c r="G69" s="67">
        <v>275</v>
      </c>
      <c r="H69" s="67">
        <v>274.60000000000002</v>
      </c>
      <c r="I69" s="67">
        <v>271.3</v>
      </c>
      <c r="J69" s="67">
        <v>276.10000000000002</v>
      </c>
      <c r="K69" s="67">
        <v>273.89999999999998</v>
      </c>
      <c r="L69" s="67">
        <v>270.7</v>
      </c>
      <c r="M69" s="67">
        <v>276.5</v>
      </c>
      <c r="N69" s="68">
        <v>263.89999999999998</v>
      </c>
      <c r="O69" s="69">
        <f>IFERROR(AVERAGEIF(Tabella01MarzoInverter[[#This Row],[Active power TX1-INV-1]:[Active power TX1-INV-12]], "&gt;0"), 0)</f>
        <v>271.30833333333334</v>
      </c>
      <c r="P69" s="67">
        <f>MAX(Tabella01MarzoInverter[[#This Row],[Active power TX1-INV-1]:[Active power TX1-INV-12]])</f>
        <v>276.5</v>
      </c>
      <c r="Q69" s="70">
        <f>MIN(Tabella01MarzoInverter[[#This Row],[Active power TX1-INV-1]:[Active power TX1-INV-12]])</f>
        <v>263.10000000000002</v>
      </c>
      <c r="R69" s="71">
        <v>273.5</v>
      </c>
      <c r="S69" s="67">
        <v>274.8</v>
      </c>
      <c r="T69" s="67">
        <v>273.10000000000002</v>
      </c>
      <c r="U69" s="67">
        <v>274.60000000000002</v>
      </c>
      <c r="V69" s="67">
        <v>274.5</v>
      </c>
      <c r="W69" s="67">
        <v>277</v>
      </c>
      <c r="X69" s="67">
        <v>273.8</v>
      </c>
      <c r="Y69" s="67">
        <v>274.7</v>
      </c>
      <c r="Z69" s="67">
        <v>274</v>
      </c>
      <c r="AA69" s="67">
        <v>273.39999999999998</v>
      </c>
      <c r="AB69" s="67">
        <v>274.89999999999998</v>
      </c>
      <c r="AC69" s="68">
        <v>275.2</v>
      </c>
      <c r="AD69" s="69">
        <f>IFERROR(AVERAGEIF(Tabella01MarzoInverter[[#This Row],[Active power TX2-INV-1]:[Active power TX2-INV-12]], "&gt;0"), 0)</f>
        <v>274.45833333333331</v>
      </c>
      <c r="AE69" s="67">
        <f>MAX(Tabella01MarzoInverter[[#This Row],[Active power TX2-INV-1]:[Active power TX2-INV-12]])</f>
        <v>277</v>
      </c>
      <c r="AF69" s="70">
        <f>MIN(Tabella01MarzoInverter[[#This Row],[Active power TX2-INV-1]:[Active power TX2-INV-12]])</f>
        <v>273.10000000000002</v>
      </c>
      <c r="AG69" s="71">
        <v>276.60000000000002</v>
      </c>
      <c r="AH69" s="67">
        <v>278.5</v>
      </c>
      <c r="AI69" s="67">
        <v>278.5</v>
      </c>
      <c r="AJ69" s="67">
        <v>279.3</v>
      </c>
      <c r="AK69" s="67">
        <v>269.60000000000002</v>
      </c>
      <c r="AL69" s="67">
        <v>278.39999999999998</v>
      </c>
      <c r="AM69" s="67">
        <v>276.39999999999998</v>
      </c>
      <c r="AN69" s="67">
        <v>268</v>
      </c>
      <c r="AO69" s="67">
        <v>275.89999999999998</v>
      </c>
      <c r="AP69" s="67">
        <v>265.8</v>
      </c>
      <c r="AQ69" s="67">
        <v>276.7</v>
      </c>
      <c r="AR69" s="68">
        <v>273.8</v>
      </c>
      <c r="AS69" s="69">
        <f>IFERROR(AVERAGEIF(Tabella01MarzoInverter[[#This Row],[Active power TX3-INV-1]:[Active power TX3-INV-12]], "&gt;0"), 0)</f>
        <v>274.79166666666669</v>
      </c>
      <c r="AT69" s="67">
        <f>MAX(Tabella01MarzoInverter[[#This Row],[Active power TX3-INV-1]:[Active power TX3-INV-12]])</f>
        <v>279.3</v>
      </c>
      <c r="AU69" s="70">
        <f>MIN(Tabella01MarzoInverter[[#This Row],[Active power TX3-INV-1]:[Active power TX3-INV-12]])</f>
        <v>265.8</v>
      </c>
    </row>
    <row r="70" spans="1:47" x14ac:dyDescent="0.25">
      <c r="A70" s="65">
        <v>46147</v>
      </c>
      <c r="B70" s="72" t="s">
        <v>70</v>
      </c>
      <c r="C70" s="67">
        <v>281.5</v>
      </c>
      <c r="D70" s="67">
        <v>281.5</v>
      </c>
      <c r="E70" s="67">
        <v>281.3</v>
      </c>
      <c r="F70" s="67">
        <v>281.10000000000002</v>
      </c>
      <c r="G70" s="67">
        <v>281.5</v>
      </c>
      <c r="H70" s="67">
        <v>281.8</v>
      </c>
      <c r="I70" s="67">
        <v>281.5</v>
      </c>
      <c r="J70" s="67">
        <v>281.10000000000002</v>
      </c>
      <c r="K70" s="67">
        <v>281.2</v>
      </c>
      <c r="L70" s="67">
        <v>281</v>
      </c>
      <c r="M70" s="67">
        <v>282</v>
      </c>
      <c r="N70" s="68">
        <v>281.39999999999998</v>
      </c>
      <c r="O70" s="69">
        <f>IFERROR(AVERAGEIF(Tabella01MarzoInverter[[#This Row],[Active power TX1-INV-1]:[Active power TX1-INV-12]], "&gt;0"), 0)</f>
        <v>281.40833333333336</v>
      </c>
      <c r="P70" s="67">
        <f>MAX(Tabella01MarzoInverter[[#This Row],[Active power TX1-INV-1]:[Active power TX1-INV-12]])</f>
        <v>282</v>
      </c>
      <c r="Q70" s="70">
        <f>MIN(Tabella01MarzoInverter[[#This Row],[Active power TX1-INV-1]:[Active power TX1-INV-12]])</f>
        <v>281</v>
      </c>
      <c r="R70" s="71">
        <v>281.5</v>
      </c>
      <c r="S70" s="67">
        <v>281.39999999999998</v>
      </c>
      <c r="T70" s="67">
        <v>282</v>
      </c>
      <c r="U70" s="67">
        <v>281.60000000000002</v>
      </c>
      <c r="V70" s="67">
        <v>281.89999999999998</v>
      </c>
      <c r="W70" s="67">
        <v>281.10000000000002</v>
      </c>
      <c r="X70" s="67">
        <v>281.7</v>
      </c>
      <c r="Y70" s="67">
        <v>281.39999999999998</v>
      </c>
      <c r="Z70" s="67">
        <v>281.2</v>
      </c>
      <c r="AA70" s="67">
        <v>281.89999999999998</v>
      </c>
      <c r="AB70" s="67">
        <v>280.89999999999998</v>
      </c>
      <c r="AC70" s="68">
        <v>281.39999999999998</v>
      </c>
      <c r="AD70" s="69">
        <f>IFERROR(AVERAGEIF(Tabella01MarzoInverter[[#This Row],[Active power TX2-INV-1]:[Active power TX2-INV-12]], "&gt;0"), 0)</f>
        <v>281.5</v>
      </c>
      <c r="AE70" s="67">
        <f>MAX(Tabella01MarzoInverter[[#This Row],[Active power TX2-INV-1]:[Active power TX2-INV-12]])</f>
        <v>282</v>
      </c>
      <c r="AF70" s="70">
        <f>MIN(Tabella01MarzoInverter[[#This Row],[Active power TX2-INV-1]:[Active power TX2-INV-12]])</f>
        <v>280.89999999999998</v>
      </c>
      <c r="AG70" s="71">
        <v>281.39999999999998</v>
      </c>
      <c r="AH70" s="67">
        <v>281.10000000000002</v>
      </c>
      <c r="AI70" s="67">
        <v>281.10000000000002</v>
      </c>
      <c r="AJ70" s="67">
        <v>281.2</v>
      </c>
      <c r="AK70" s="67">
        <v>281.3</v>
      </c>
      <c r="AL70" s="67">
        <v>271.10000000000002</v>
      </c>
      <c r="AM70" s="67">
        <v>273.8</v>
      </c>
      <c r="AN70" s="67">
        <v>281.2</v>
      </c>
      <c r="AO70" s="67">
        <v>281.2</v>
      </c>
      <c r="AP70" s="67">
        <v>280.8</v>
      </c>
      <c r="AQ70" s="67">
        <v>281.2</v>
      </c>
      <c r="AR70" s="68">
        <v>281.5</v>
      </c>
      <c r="AS70" s="69">
        <f>IFERROR(AVERAGEIF(Tabella01MarzoInverter[[#This Row],[Active power TX3-INV-1]:[Active power TX3-INV-12]], "&gt;0"), 0)</f>
        <v>279.74166666666662</v>
      </c>
      <c r="AT70" s="67">
        <f>MAX(Tabella01MarzoInverter[[#This Row],[Active power TX3-INV-1]:[Active power TX3-INV-12]])</f>
        <v>281.5</v>
      </c>
      <c r="AU70" s="70">
        <f>MIN(Tabella01MarzoInverter[[#This Row],[Active power TX3-INV-1]:[Active power TX3-INV-12]])</f>
        <v>271.10000000000002</v>
      </c>
    </row>
    <row r="71" spans="1:47" x14ac:dyDescent="0.25">
      <c r="A71" s="65">
        <v>46147</v>
      </c>
      <c r="B71" s="66" t="s">
        <v>71</v>
      </c>
      <c r="C71" s="67">
        <v>279.2</v>
      </c>
      <c r="D71" s="67">
        <v>279.5</v>
      </c>
      <c r="E71" s="67">
        <v>277.7</v>
      </c>
      <c r="F71" s="67">
        <v>278.10000000000002</v>
      </c>
      <c r="G71" s="67">
        <v>268.2</v>
      </c>
      <c r="H71" s="67">
        <v>260.2</v>
      </c>
      <c r="I71" s="67">
        <v>277.39999999999998</v>
      </c>
      <c r="J71" s="67">
        <v>281.3</v>
      </c>
      <c r="K71" s="67">
        <v>278.7</v>
      </c>
      <c r="L71" s="67">
        <v>272.89999999999998</v>
      </c>
      <c r="M71" s="67">
        <v>279.7</v>
      </c>
      <c r="N71" s="68">
        <v>276.10000000000002</v>
      </c>
      <c r="O71" s="69">
        <f>IFERROR(AVERAGEIF(Tabella01MarzoInverter[[#This Row],[Active power TX1-INV-1]:[Active power TX1-INV-12]], "&gt;0"), 0)</f>
        <v>275.75</v>
      </c>
      <c r="P71" s="67">
        <f>MAX(Tabella01MarzoInverter[[#This Row],[Active power TX1-INV-1]:[Active power TX1-INV-12]])</f>
        <v>281.3</v>
      </c>
      <c r="Q71" s="70">
        <f>MIN(Tabella01MarzoInverter[[#This Row],[Active power TX1-INV-1]:[Active power TX1-INV-12]])</f>
        <v>260.2</v>
      </c>
      <c r="R71" s="71">
        <v>271.89999999999998</v>
      </c>
      <c r="S71" s="67">
        <v>276</v>
      </c>
      <c r="T71" s="67">
        <v>276.2</v>
      </c>
      <c r="U71" s="67">
        <v>275.8</v>
      </c>
      <c r="V71" s="67">
        <v>262.2</v>
      </c>
      <c r="W71" s="67">
        <v>279.39999999999998</v>
      </c>
      <c r="X71" s="67">
        <v>278.5</v>
      </c>
      <c r="Y71" s="67">
        <v>277.7</v>
      </c>
      <c r="Z71" s="67">
        <v>279.89999999999998</v>
      </c>
      <c r="AA71" s="67">
        <v>278.8</v>
      </c>
      <c r="AB71" s="67">
        <v>279.39999999999998</v>
      </c>
      <c r="AC71" s="68">
        <v>277.89999999999998</v>
      </c>
      <c r="AD71" s="69">
        <f>IFERROR(AVERAGEIF(Tabella01MarzoInverter[[#This Row],[Active power TX2-INV-1]:[Active power TX2-INV-12]], "&gt;0"), 0)</f>
        <v>276.14166666666671</v>
      </c>
      <c r="AE71" s="67">
        <f>MAX(Tabella01MarzoInverter[[#This Row],[Active power TX2-INV-1]:[Active power TX2-INV-12]])</f>
        <v>279.89999999999998</v>
      </c>
      <c r="AF71" s="70">
        <f>MIN(Tabella01MarzoInverter[[#This Row],[Active power TX2-INV-1]:[Active power TX2-INV-12]])</f>
        <v>262.2</v>
      </c>
      <c r="AG71" s="71">
        <v>280.2</v>
      </c>
      <c r="AH71" s="67">
        <v>269.2</v>
      </c>
      <c r="AI71" s="67">
        <v>277.2</v>
      </c>
      <c r="AJ71" s="67">
        <v>280.10000000000002</v>
      </c>
      <c r="AK71" s="67">
        <v>269.60000000000002</v>
      </c>
      <c r="AL71" s="67">
        <v>279.89999999999998</v>
      </c>
      <c r="AM71" s="67">
        <v>275.3</v>
      </c>
      <c r="AN71" s="67">
        <v>280.10000000000002</v>
      </c>
      <c r="AO71" s="67">
        <v>280.39999999999998</v>
      </c>
      <c r="AP71" s="67">
        <v>279.10000000000002</v>
      </c>
      <c r="AQ71" s="67">
        <v>274.5</v>
      </c>
      <c r="AR71" s="68">
        <v>280.2</v>
      </c>
      <c r="AS71" s="69">
        <f>IFERROR(AVERAGEIF(Tabella01MarzoInverter[[#This Row],[Active power TX3-INV-1]:[Active power TX3-INV-12]], "&gt;0"), 0)</f>
        <v>277.14999999999998</v>
      </c>
      <c r="AT71" s="67">
        <f>MAX(Tabella01MarzoInverter[[#This Row],[Active power TX3-INV-1]:[Active power TX3-INV-12]])</f>
        <v>280.39999999999998</v>
      </c>
      <c r="AU71" s="70">
        <f>MIN(Tabella01MarzoInverter[[#This Row],[Active power TX3-INV-1]:[Active power TX3-INV-12]])</f>
        <v>269.2</v>
      </c>
    </row>
    <row r="72" spans="1:47" x14ac:dyDescent="0.25">
      <c r="A72" s="65">
        <v>46147</v>
      </c>
      <c r="B72" s="72" t="s">
        <v>72</v>
      </c>
      <c r="C72" s="67">
        <v>281.5</v>
      </c>
      <c r="D72" s="67">
        <v>272.2</v>
      </c>
      <c r="E72" s="67">
        <v>281.10000000000002</v>
      </c>
      <c r="F72" s="67">
        <v>281.5</v>
      </c>
      <c r="G72" s="67">
        <v>281.3</v>
      </c>
      <c r="H72" s="67">
        <v>281</v>
      </c>
      <c r="I72" s="67">
        <v>281.2</v>
      </c>
      <c r="J72" s="67">
        <v>281.10000000000002</v>
      </c>
      <c r="K72" s="67">
        <v>281.3</v>
      </c>
      <c r="L72" s="67">
        <v>281.3</v>
      </c>
      <c r="M72" s="67">
        <v>281.10000000000002</v>
      </c>
      <c r="N72" s="68">
        <v>281.3</v>
      </c>
      <c r="O72" s="69">
        <f>IFERROR(AVERAGEIF(Tabella01MarzoInverter[[#This Row],[Active power TX1-INV-1]:[Active power TX1-INV-12]], "&gt;0"), 0)</f>
        <v>280.49166666666673</v>
      </c>
      <c r="P72" s="67">
        <f>MAX(Tabella01MarzoInverter[[#This Row],[Active power TX1-INV-1]:[Active power TX1-INV-12]])</f>
        <v>281.5</v>
      </c>
      <c r="Q72" s="70">
        <f>MIN(Tabella01MarzoInverter[[#This Row],[Active power TX1-INV-1]:[Active power TX1-INV-12]])</f>
        <v>272.2</v>
      </c>
      <c r="R72" s="71">
        <v>280.7</v>
      </c>
      <c r="S72" s="67">
        <v>281.5</v>
      </c>
      <c r="T72" s="67">
        <v>281.10000000000002</v>
      </c>
      <c r="U72" s="67">
        <v>281.39999999999998</v>
      </c>
      <c r="V72" s="67">
        <v>280.5</v>
      </c>
      <c r="W72" s="67">
        <v>281.7</v>
      </c>
      <c r="X72" s="67">
        <v>281.7</v>
      </c>
      <c r="Y72" s="67">
        <v>281.3</v>
      </c>
      <c r="Z72" s="67">
        <v>281.3</v>
      </c>
      <c r="AA72" s="67">
        <v>280.89999999999998</v>
      </c>
      <c r="AB72" s="67">
        <v>282.10000000000002</v>
      </c>
      <c r="AC72" s="68">
        <v>281.2</v>
      </c>
      <c r="AD72" s="69">
        <f>IFERROR(AVERAGEIF(Tabella01MarzoInverter[[#This Row],[Active power TX2-INV-1]:[Active power TX2-INV-12]], "&gt;0"), 0)</f>
        <v>281.28333333333336</v>
      </c>
      <c r="AE72" s="67">
        <f>MAX(Tabella01MarzoInverter[[#This Row],[Active power TX2-INV-1]:[Active power TX2-INV-12]])</f>
        <v>282.10000000000002</v>
      </c>
      <c r="AF72" s="70">
        <f>MIN(Tabella01MarzoInverter[[#This Row],[Active power TX2-INV-1]:[Active power TX2-INV-12]])</f>
        <v>280.5</v>
      </c>
      <c r="AG72" s="71">
        <v>281.5</v>
      </c>
      <c r="AH72" s="67">
        <v>281.7</v>
      </c>
      <c r="AI72" s="67">
        <v>281.3</v>
      </c>
      <c r="AJ72" s="67">
        <v>281.39999999999998</v>
      </c>
      <c r="AK72" s="67">
        <v>281.10000000000002</v>
      </c>
      <c r="AL72" s="67">
        <v>280.89999999999998</v>
      </c>
      <c r="AM72" s="67">
        <v>281.39999999999998</v>
      </c>
      <c r="AN72" s="67">
        <v>281.10000000000002</v>
      </c>
      <c r="AO72" s="67">
        <v>281.2</v>
      </c>
      <c r="AP72" s="67">
        <v>277.8</v>
      </c>
      <c r="AQ72" s="67">
        <v>281.2</v>
      </c>
      <c r="AR72" s="68">
        <v>281.3</v>
      </c>
      <c r="AS72" s="69">
        <f>IFERROR(AVERAGEIF(Tabella01MarzoInverter[[#This Row],[Active power TX3-INV-1]:[Active power TX3-INV-12]], "&gt;0"), 0)</f>
        <v>280.99166666666667</v>
      </c>
      <c r="AT72" s="67">
        <f>MAX(Tabella01MarzoInverter[[#This Row],[Active power TX3-INV-1]:[Active power TX3-INV-12]])</f>
        <v>281.7</v>
      </c>
      <c r="AU72" s="70">
        <f>MIN(Tabella01MarzoInverter[[#This Row],[Active power TX3-INV-1]:[Active power TX3-INV-12]])</f>
        <v>277.8</v>
      </c>
    </row>
    <row r="73" spans="1:47" x14ac:dyDescent="0.25">
      <c r="A73" s="65">
        <v>46147</v>
      </c>
      <c r="B73" s="66" t="s">
        <v>73</v>
      </c>
      <c r="C73" s="67">
        <v>265.2</v>
      </c>
      <c r="D73" s="67">
        <v>264.10000000000002</v>
      </c>
      <c r="E73" s="67">
        <v>265.39999999999998</v>
      </c>
      <c r="F73" s="67">
        <v>265</v>
      </c>
      <c r="G73" s="67">
        <v>264.89999999999998</v>
      </c>
      <c r="H73" s="67">
        <v>264.39999999999998</v>
      </c>
      <c r="I73" s="67">
        <v>264.8</v>
      </c>
      <c r="J73" s="67">
        <v>251.3</v>
      </c>
      <c r="K73" s="67">
        <v>258.39999999999998</v>
      </c>
      <c r="L73" s="67">
        <v>268.3</v>
      </c>
      <c r="M73" s="67">
        <v>268.10000000000002</v>
      </c>
      <c r="N73" s="68">
        <v>265.8</v>
      </c>
      <c r="O73" s="69">
        <f>IFERROR(AVERAGEIF(Tabella01MarzoInverter[[#This Row],[Active power TX1-INV-1]:[Active power TX1-INV-12]], "&gt;0"), 0)</f>
        <v>263.80833333333334</v>
      </c>
      <c r="P73" s="67">
        <f>MAX(Tabella01MarzoInverter[[#This Row],[Active power TX1-INV-1]:[Active power TX1-INV-12]])</f>
        <v>268.3</v>
      </c>
      <c r="Q73" s="70">
        <f>MIN(Tabella01MarzoInverter[[#This Row],[Active power TX1-INV-1]:[Active power TX1-INV-12]])</f>
        <v>251.3</v>
      </c>
      <c r="R73" s="71">
        <v>254.2</v>
      </c>
      <c r="S73" s="67">
        <v>261.39999999999998</v>
      </c>
      <c r="T73" s="67">
        <v>260.5</v>
      </c>
      <c r="U73" s="67">
        <v>260</v>
      </c>
      <c r="V73" s="67">
        <v>262.5</v>
      </c>
      <c r="W73" s="67">
        <v>269.2</v>
      </c>
      <c r="X73" s="67">
        <v>265.7</v>
      </c>
      <c r="Y73" s="67">
        <v>260.60000000000002</v>
      </c>
      <c r="Z73" s="67">
        <v>261.5</v>
      </c>
      <c r="AA73" s="67">
        <v>264.7</v>
      </c>
      <c r="AB73" s="67">
        <v>269.10000000000002</v>
      </c>
      <c r="AC73" s="68">
        <v>269.39999999999998</v>
      </c>
      <c r="AD73" s="69">
        <f>IFERROR(AVERAGEIF(Tabella01MarzoInverter[[#This Row],[Active power TX2-INV-1]:[Active power TX2-INV-12]], "&gt;0"), 0)</f>
        <v>263.23333333333329</v>
      </c>
      <c r="AE73" s="67">
        <f>MAX(Tabella01MarzoInverter[[#This Row],[Active power TX2-INV-1]:[Active power TX2-INV-12]])</f>
        <v>269.39999999999998</v>
      </c>
      <c r="AF73" s="70">
        <f>MIN(Tabella01MarzoInverter[[#This Row],[Active power TX2-INV-1]:[Active power TX2-INV-12]])</f>
        <v>254.2</v>
      </c>
      <c r="AG73" s="71">
        <v>271.10000000000002</v>
      </c>
      <c r="AH73" s="67">
        <v>261.10000000000002</v>
      </c>
      <c r="AI73" s="67">
        <v>270.5</v>
      </c>
      <c r="AJ73" s="67">
        <v>270</v>
      </c>
      <c r="AK73" s="67">
        <v>269.39999999999998</v>
      </c>
      <c r="AL73" s="67">
        <v>269.10000000000002</v>
      </c>
      <c r="AM73" s="67">
        <v>261.3</v>
      </c>
      <c r="AN73" s="67">
        <v>269.7</v>
      </c>
      <c r="AO73" s="67">
        <v>269.89999999999998</v>
      </c>
      <c r="AP73" s="67">
        <v>262.60000000000002</v>
      </c>
      <c r="AQ73" s="67">
        <v>261.3</v>
      </c>
      <c r="AR73" s="68">
        <v>252.1</v>
      </c>
      <c r="AS73" s="69">
        <f>IFERROR(AVERAGEIF(Tabella01MarzoInverter[[#This Row],[Active power TX3-INV-1]:[Active power TX3-INV-12]], "&gt;0"), 0)</f>
        <v>265.67500000000001</v>
      </c>
      <c r="AT73" s="67">
        <f>MAX(Tabella01MarzoInverter[[#This Row],[Active power TX3-INV-1]:[Active power TX3-INV-12]])</f>
        <v>271.10000000000002</v>
      </c>
      <c r="AU73" s="70">
        <f>MIN(Tabella01MarzoInverter[[#This Row],[Active power TX3-INV-1]:[Active power TX3-INV-12]])</f>
        <v>252.1</v>
      </c>
    </row>
    <row r="74" spans="1:47" x14ac:dyDescent="0.25">
      <c r="A74" s="65">
        <v>46147</v>
      </c>
      <c r="B74" s="72" t="s">
        <v>74</v>
      </c>
      <c r="C74" s="67">
        <v>281.10000000000002</v>
      </c>
      <c r="D74" s="67">
        <v>281</v>
      </c>
      <c r="E74" s="67">
        <v>281.60000000000002</v>
      </c>
      <c r="F74" s="67">
        <v>281.89999999999998</v>
      </c>
      <c r="G74" s="67">
        <v>281.39999999999998</v>
      </c>
      <c r="H74" s="67">
        <v>280.89999999999998</v>
      </c>
      <c r="I74" s="67">
        <v>281.7</v>
      </c>
      <c r="J74" s="67">
        <v>281.2</v>
      </c>
      <c r="K74" s="67">
        <v>281.3</v>
      </c>
      <c r="L74" s="67">
        <v>281.8</v>
      </c>
      <c r="M74" s="67">
        <v>271.5</v>
      </c>
      <c r="N74" s="68">
        <v>281.60000000000002</v>
      </c>
      <c r="O74" s="69">
        <f>IFERROR(AVERAGEIF(Tabella01MarzoInverter[[#This Row],[Active power TX1-INV-1]:[Active power TX1-INV-12]], "&gt;0"), 0)</f>
        <v>280.58333333333337</v>
      </c>
      <c r="P74" s="67">
        <f>MAX(Tabella01MarzoInverter[[#This Row],[Active power TX1-INV-1]:[Active power TX1-INV-12]])</f>
        <v>281.89999999999998</v>
      </c>
      <c r="Q74" s="70">
        <f>MIN(Tabella01MarzoInverter[[#This Row],[Active power TX1-INV-1]:[Active power TX1-INV-12]])</f>
        <v>271.5</v>
      </c>
      <c r="R74" s="71">
        <v>274.39999999999998</v>
      </c>
      <c r="S74" s="67">
        <v>281.10000000000002</v>
      </c>
      <c r="T74" s="67">
        <v>282</v>
      </c>
      <c r="U74" s="67">
        <v>271.5</v>
      </c>
      <c r="V74" s="67">
        <v>281.2</v>
      </c>
      <c r="W74" s="67">
        <v>281.5</v>
      </c>
      <c r="X74" s="67">
        <v>281</v>
      </c>
      <c r="Y74" s="67">
        <v>281.60000000000002</v>
      </c>
      <c r="Z74" s="67">
        <v>281.5</v>
      </c>
      <c r="AA74" s="67">
        <v>281.39999999999998</v>
      </c>
      <c r="AB74" s="67">
        <v>281.10000000000002</v>
      </c>
      <c r="AC74" s="68">
        <v>281.3</v>
      </c>
      <c r="AD74" s="69">
        <f>IFERROR(AVERAGEIF(Tabella01MarzoInverter[[#This Row],[Active power TX2-INV-1]:[Active power TX2-INV-12]], "&gt;0"), 0)</f>
        <v>279.9666666666667</v>
      </c>
      <c r="AE74" s="67">
        <f>MAX(Tabella01MarzoInverter[[#This Row],[Active power TX2-INV-1]:[Active power TX2-INV-12]])</f>
        <v>282</v>
      </c>
      <c r="AF74" s="70">
        <f>MIN(Tabella01MarzoInverter[[#This Row],[Active power TX2-INV-1]:[Active power TX2-INV-12]])</f>
        <v>271.5</v>
      </c>
      <c r="AG74" s="71">
        <v>273.2</v>
      </c>
      <c r="AH74" s="67">
        <v>281.89999999999998</v>
      </c>
      <c r="AI74" s="67">
        <v>281.10000000000002</v>
      </c>
      <c r="AJ74" s="67">
        <v>281.39999999999998</v>
      </c>
      <c r="AK74" s="67">
        <v>271.5</v>
      </c>
      <c r="AL74" s="67">
        <v>281.3</v>
      </c>
      <c r="AM74" s="67">
        <v>281.7</v>
      </c>
      <c r="AN74" s="67">
        <v>281.39999999999998</v>
      </c>
      <c r="AO74" s="67">
        <v>281.7</v>
      </c>
      <c r="AP74" s="67">
        <v>281.5</v>
      </c>
      <c r="AQ74" s="67">
        <v>281.10000000000002</v>
      </c>
      <c r="AR74" s="68">
        <v>280.89999999999998</v>
      </c>
      <c r="AS74" s="69">
        <f>IFERROR(AVERAGEIF(Tabella01MarzoInverter[[#This Row],[Active power TX3-INV-1]:[Active power TX3-INV-12]], "&gt;0"), 0)</f>
        <v>279.89166666666665</v>
      </c>
      <c r="AT74" s="67">
        <f>MAX(Tabella01MarzoInverter[[#This Row],[Active power TX3-INV-1]:[Active power TX3-INV-12]])</f>
        <v>281.89999999999998</v>
      </c>
      <c r="AU74" s="70">
        <f>MIN(Tabella01MarzoInverter[[#This Row],[Active power TX3-INV-1]:[Active power TX3-INV-12]])</f>
        <v>271.5</v>
      </c>
    </row>
    <row r="75" spans="1:47" x14ac:dyDescent="0.25">
      <c r="A75" s="65">
        <v>46147</v>
      </c>
      <c r="B75" s="66" t="s">
        <v>75</v>
      </c>
      <c r="C75" s="67">
        <v>281.3</v>
      </c>
      <c r="D75" s="67">
        <v>280.89999999999998</v>
      </c>
      <c r="E75" s="67">
        <v>281</v>
      </c>
      <c r="F75" s="67">
        <v>281.89999999999998</v>
      </c>
      <c r="G75" s="67">
        <v>281.39999999999998</v>
      </c>
      <c r="H75" s="67">
        <v>280.89999999999998</v>
      </c>
      <c r="I75" s="67">
        <v>281.7</v>
      </c>
      <c r="J75" s="67">
        <v>281.2</v>
      </c>
      <c r="K75" s="67">
        <v>281.39999999999998</v>
      </c>
      <c r="L75" s="67">
        <v>281.8</v>
      </c>
      <c r="M75" s="67">
        <v>281.10000000000002</v>
      </c>
      <c r="N75" s="68">
        <v>271</v>
      </c>
      <c r="O75" s="69">
        <f>IFERROR(AVERAGEIF(Tabella01MarzoInverter[[#This Row],[Active power TX1-INV-1]:[Active power TX1-INV-12]], "&gt;0"), 0)</f>
        <v>280.4666666666667</v>
      </c>
      <c r="P75" s="67">
        <f>MAX(Tabella01MarzoInverter[[#This Row],[Active power TX1-INV-1]:[Active power TX1-INV-12]])</f>
        <v>281.89999999999998</v>
      </c>
      <c r="Q75" s="70">
        <f>MIN(Tabella01MarzoInverter[[#This Row],[Active power TX1-INV-1]:[Active power TX1-INV-12]])</f>
        <v>271</v>
      </c>
      <c r="R75" s="71">
        <v>260.5</v>
      </c>
      <c r="S75" s="67">
        <v>275.60000000000002</v>
      </c>
      <c r="T75" s="67">
        <v>281.89999999999998</v>
      </c>
      <c r="U75" s="67">
        <v>280</v>
      </c>
      <c r="V75" s="67">
        <v>281.10000000000002</v>
      </c>
      <c r="W75" s="67">
        <v>281.2</v>
      </c>
      <c r="X75" s="67">
        <v>281.2</v>
      </c>
      <c r="Y75" s="67">
        <v>281.60000000000002</v>
      </c>
      <c r="Z75" s="67">
        <v>281.3</v>
      </c>
      <c r="AA75" s="67">
        <v>271.8</v>
      </c>
      <c r="AB75" s="67">
        <v>271.5</v>
      </c>
      <c r="AC75" s="68">
        <v>281.3</v>
      </c>
      <c r="AD75" s="69">
        <f>IFERROR(AVERAGEIF(Tabella01MarzoInverter[[#This Row],[Active power TX2-INV-1]:[Active power TX2-INV-12]], "&gt;0"), 0)</f>
        <v>277.41666666666669</v>
      </c>
      <c r="AE75" s="67">
        <f>MAX(Tabella01MarzoInverter[[#This Row],[Active power TX2-INV-1]:[Active power TX2-INV-12]])</f>
        <v>281.89999999999998</v>
      </c>
      <c r="AF75" s="70">
        <f>MIN(Tabella01MarzoInverter[[#This Row],[Active power TX2-INV-1]:[Active power TX2-INV-12]])</f>
        <v>260.5</v>
      </c>
      <c r="AG75" s="71">
        <v>271.7</v>
      </c>
      <c r="AH75" s="67">
        <v>271.60000000000002</v>
      </c>
      <c r="AI75" s="67">
        <v>281.2</v>
      </c>
      <c r="AJ75" s="67">
        <v>271.8</v>
      </c>
      <c r="AK75" s="67">
        <v>281.60000000000002</v>
      </c>
      <c r="AL75" s="67">
        <v>281.3</v>
      </c>
      <c r="AM75" s="67">
        <v>281.8</v>
      </c>
      <c r="AN75" s="67">
        <v>281.5</v>
      </c>
      <c r="AO75" s="67">
        <v>281.8</v>
      </c>
      <c r="AP75" s="67">
        <v>281.39999999999998</v>
      </c>
      <c r="AQ75" s="67">
        <v>280.8</v>
      </c>
      <c r="AR75" s="68">
        <v>281.7</v>
      </c>
      <c r="AS75" s="69">
        <f>IFERROR(AVERAGEIF(Tabella01MarzoInverter[[#This Row],[Active power TX3-INV-1]:[Active power TX3-INV-12]], "&gt;0"), 0)</f>
        <v>279.01666666666671</v>
      </c>
      <c r="AT75" s="67">
        <f>MAX(Tabella01MarzoInverter[[#This Row],[Active power TX3-INV-1]:[Active power TX3-INV-12]])</f>
        <v>281.8</v>
      </c>
      <c r="AU75" s="70">
        <f>MIN(Tabella01MarzoInverter[[#This Row],[Active power TX3-INV-1]:[Active power TX3-INV-12]])</f>
        <v>271.60000000000002</v>
      </c>
    </row>
    <row r="76" spans="1:47" x14ac:dyDescent="0.25">
      <c r="A76" s="65">
        <v>46147</v>
      </c>
      <c r="B76" s="72" t="s">
        <v>76</v>
      </c>
      <c r="C76" s="67">
        <v>280.39999999999998</v>
      </c>
      <c r="D76" s="67">
        <v>280.10000000000002</v>
      </c>
      <c r="E76" s="67">
        <v>281.3</v>
      </c>
      <c r="F76" s="67">
        <v>281.3</v>
      </c>
      <c r="G76" s="67">
        <v>281.39999999999998</v>
      </c>
      <c r="H76" s="67">
        <v>280.60000000000002</v>
      </c>
      <c r="I76" s="67">
        <v>281.5</v>
      </c>
      <c r="J76" s="67">
        <v>281.2</v>
      </c>
      <c r="K76" s="67">
        <v>280.60000000000002</v>
      </c>
      <c r="L76" s="67">
        <v>281.39999999999998</v>
      </c>
      <c r="M76" s="67">
        <v>281.2</v>
      </c>
      <c r="N76" s="68">
        <v>280.89999999999998</v>
      </c>
      <c r="O76" s="69">
        <f>IFERROR(AVERAGEIF(Tabella01MarzoInverter[[#This Row],[Active power TX1-INV-1]:[Active power TX1-INV-12]], "&gt;0"), 0)</f>
        <v>280.99166666666662</v>
      </c>
      <c r="P76" s="67">
        <f>MAX(Tabella01MarzoInverter[[#This Row],[Active power TX1-INV-1]:[Active power TX1-INV-12]])</f>
        <v>281.5</v>
      </c>
      <c r="Q76" s="70">
        <f>MIN(Tabella01MarzoInverter[[#This Row],[Active power TX1-INV-1]:[Active power TX1-INV-12]])</f>
        <v>280.10000000000002</v>
      </c>
      <c r="R76" s="71">
        <v>249.3</v>
      </c>
      <c r="S76" s="67">
        <v>265.5</v>
      </c>
      <c r="T76" s="67">
        <v>281.10000000000002</v>
      </c>
      <c r="U76" s="67">
        <v>275.10000000000002</v>
      </c>
      <c r="V76" s="67">
        <v>280.8</v>
      </c>
      <c r="W76" s="67">
        <v>280.60000000000002</v>
      </c>
      <c r="X76" s="67">
        <v>281.2</v>
      </c>
      <c r="Y76" s="67">
        <v>281.10000000000002</v>
      </c>
      <c r="Z76" s="67">
        <v>281.2</v>
      </c>
      <c r="AA76" s="67">
        <v>281.5</v>
      </c>
      <c r="AB76" s="67">
        <v>281.3</v>
      </c>
      <c r="AC76" s="68">
        <v>281.7</v>
      </c>
      <c r="AD76" s="69">
        <f>IFERROR(AVERAGEIF(Tabella01MarzoInverter[[#This Row],[Active power TX2-INV-1]:[Active power TX2-INV-12]], "&gt;0"), 0)</f>
        <v>276.7</v>
      </c>
      <c r="AE76" s="67">
        <f>MAX(Tabella01MarzoInverter[[#This Row],[Active power TX2-INV-1]:[Active power TX2-INV-12]])</f>
        <v>281.7</v>
      </c>
      <c r="AF76" s="70">
        <f>MIN(Tabella01MarzoInverter[[#This Row],[Active power TX2-INV-1]:[Active power TX2-INV-12]])</f>
        <v>249.3</v>
      </c>
      <c r="AG76" s="71">
        <v>281.7</v>
      </c>
      <c r="AH76" s="67">
        <v>281.39999999999998</v>
      </c>
      <c r="AI76" s="67">
        <v>280.7</v>
      </c>
      <c r="AJ76" s="67">
        <v>271.5</v>
      </c>
      <c r="AK76" s="67">
        <v>281.39999999999998</v>
      </c>
      <c r="AL76" s="67">
        <v>281.10000000000002</v>
      </c>
      <c r="AM76" s="67">
        <v>281.3</v>
      </c>
      <c r="AN76" s="67">
        <v>281.5</v>
      </c>
      <c r="AO76" s="67">
        <v>281.39999999999998</v>
      </c>
      <c r="AP76" s="67">
        <v>280.7</v>
      </c>
      <c r="AQ76" s="67">
        <v>280.89999999999998</v>
      </c>
      <c r="AR76" s="68">
        <v>280.2</v>
      </c>
      <c r="AS76" s="69">
        <f>IFERROR(AVERAGEIF(Tabella01MarzoInverter[[#This Row],[Active power TX3-INV-1]:[Active power TX3-INV-12]], "&gt;0"), 0)</f>
        <v>280.31666666666661</v>
      </c>
      <c r="AT76" s="67">
        <f>MAX(Tabella01MarzoInverter[[#This Row],[Active power TX3-INV-1]:[Active power TX3-INV-12]])</f>
        <v>281.7</v>
      </c>
      <c r="AU76" s="70">
        <f>MIN(Tabella01MarzoInverter[[#This Row],[Active power TX3-INV-1]:[Active power TX3-INV-12]])</f>
        <v>271.5</v>
      </c>
    </row>
    <row r="77" spans="1:47" x14ac:dyDescent="0.25">
      <c r="A77" s="65">
        <v>46147</v>
      </c>
      <c r="B77" s="66" t="s">
        <v>77</v>
      </c>
      <c r="C77" s="67">
        <v>281.2</v>
      </c>
      <c r="D77" s="67">
        <v>280.89999999999998</v>
      </c>
      <c r="E77" s="67">
        <v>281.5</v>
      </c>
      <c r="F77" s="67">
        <v>281.39999999999998</v>
      </c>
      <c r="G77" s="67">
        <v>281.3</v>
      </c>
      <c r="H77" s="67">
        <v>282.2</v>
      </c>
      <c r="I77" s="67">
        <v>281.2</v>
      </c>
      <c r="J77" s="67">
        <v>281.10000000000002</v>
      </c>
      <c r="K77" s="67">
        <v>281.10000000000002</v>
      </c>
      <c r="L77" s="67">
        <v>281</v>
      </c>
      <c r="M77" s="67">
        <v>281.3</v>
      </c>
      <c r="N77" s="68">
        <v>281.7</v>
      </c>
      <c r="O77" s="69">
        <f>IFERROR(AVERAGEIF(Tabella01MarzoInverter[[#This Row],[Active power TX1-INV-1]:[Active power TX1-INV-12]], "&gt;0"), 0)</f>
        <v>281.32499999999999</v>
      </c>
      <c r="P77" s="67">
        <f>MAX(Tabella01MarzoInverter[[#This Row],[Active power TX1-INV-1]:[Active power TX1-INV-12]])</f>
        <v>282.2</v>
      </c>
      <c r="Q77" s="70">
        <f>MIN(Tabella01MarzoInverter[[#This Row],[Active power TX1-INV-1]:[Active power TX1-INV-12]])</f>
        <v>280.89999999999998</v>
      </c>
      <c r="R77" s="71">
        <v>239.9</v>
      </c>
      <c r="S77" s="67">
        <v>256.2</v>
      </c>
      <c r="T77" s="67">
        <v>279.2</v>
      </c>
      <c r="U77" s="67">
        <v>271.89999999999998</v>
      </c>
      <c r="V77" s="67">
        <v>280.2</v>
      </c>
      <c r="W77" s="67">
        <v>281</v>
      </c>
      <c r="X77" s="67">
        <v>281</v>
      </c>
      <c r="Y77" s="67">
        <v>281.2</v>
      </c>
      <c r="Z77" s="67">
        <v>281</v>
      </c>
      <c r="AA77" s="67">
        <v>281.39999999999998</v>
      </c>
      <c r="AB77" s="67">
        <v>281.2</v>
      </c>
      <c r="AC77" s="68">
        <v>281.60000000000002</v>
      </c>
      <c r="AD77" s="69">
        <f>IFERROR(AVERAGEIF(Tabella01MarzoInverter[[#This Row],[Active power TX2-INV-1]:[Active power TX2-INV-12]], "&gt;0"), 0)</f>
        <v>274.64999999999998</v>
      </c>
      <c r="AE77" s="67">
        <f>MAX(Tabella01MarzoInverter[[#This Row],[Active power TX2-INV-1]:[Active power TX2-INV-12]])</f>
        <v>281.60000000000002</v>
      </c>
      <c r="AF77" s="70">
        <f>MIN(Tabella01MarzoInverter[[#This Row],[Active power TX2-INV-1]:[Active power TX2-INV-12]])</f>
        <v>239.9</v>
      </c>
      <c r="AG77" s="71">
        <v>281.60000000000002</v>
      </c>
      <c r="AH77" s="67">
        <v>281.10000000000002</v>
      </c>
      <c r="AI77" s="67">
        <v>281.5</v>
      </c>
      <c r="AJ77" s="67">
        <v>281.10000000000002</v>
      </c>
      <c r="AK77" s="67">
        <v>281.3</v>
      </c>
      <c r="AL77" s="67">
        <v>281.10000000000002</v>
      </c>
      <c r="AM77" s="67">
        <v>280.7</v>
      </c>
      <c r="AN77" s="67">
        <v>281</v>
      </c>
      <c r="AO77" s="67">
        <v>281.2</v>
      </c>
      <c r="AP77" s="67">
        <v>270.89999999999998</v>
      </c>
      <c r="AQ77" s="67">
        <v>280.89999999999998</v>
      </c>
      <c r="AR77" s="68">
        <v>279.7</v>
      </c>
      <c r="AS77" s="69">
        <f>IFERROR(AVERAGEIF(Tabella01MarzoInverter[[#This Row],[Active power TX3-INV-1]:[Active power TX3-INV-12]], "&gt;0"), 0)</f>
        <v>280.17500000000001</v>
      </c>
      <c r="AT77" s="67">
        <f>MAX(Tabella01MarzoInverter[[#This Row],[Active power TX3-INV-1]:[Active power TX3-INV-12]])</f>
        <v>281.60000000000002</v>
      </c>
      <c r="AU77" s="70">
        <f>MIN(Tabella01MarzoInverter[[#This Row],[Active power TX3-INV-1]:[Active power TX3-INV-12]])</f>
        <v>270.89999999999998</v>
      </c>
    </row>
    <row r="78" spans="1:47" x14ac:dyDescent="0.25">
      <c r="A78" s="65">
        <v>46147</v>
      </c>
      <c r="B78" s="72" t="s">
        <v>78</v>
      </c>
      <c r="C78" s="67">
        <v>281.5</v>
      </c>
      <c r="D78" s="67">
        <v>281.2</v>
      </c>
      <c r="E78" s="67">
        <v>281.5</v>
      </c>
      <c r="F78" s="67">
        <v>281.60000000000002</v>
      </c>
      <c r="G78" s="67">
        <v>281.5</v>
      </c>
      <c r="H78" s="67">
        <v>272.7</v>
      </c>
      <c r="I78" s="67">
        <v>281.5</v>
      </c>
      <c r="J78" s="67">
        <v>281.10000000000002</v>
      </c>
      <c r="K78" s="67">
        <v>281.10000000000002</v>
      </c>
      <c r="L78" s="67">
        <v>281.2</v>
      </c>
      <c r="M78" s="67">
        <v>281.2</v>
      </c>
      <c r="N78" s="68">
        <v>281.89999999999998</v>
      </c>
      <c r="O78" s="69">
        <f>IFERROR(AVERAGEIF(Tabella01MarzoInverter[[#This Row],[Active power TX1-INV-1]:[Active power TX1-INV-12]], "&gt;0"), 0)</f>
        <v>280.66666666666669</v>
      </c>
      <c r="P78" s="67">
        <f>MAX(Tabella01MarzoInverter[[#This Row],[Active power TX1-INV-1]:[Active power TX1-INV-12]])</f>
        <v>281.89999999999998</v>
      </c>
      <c r="Q78" s="70">
        <f>MIN(Tabella01MarzoInverter[[#This Row],[Active power TX1-INV-1]:[Active power TX1-INV-12]])</f>
        <v>272.7</v>
      </c>
      <c r="R78" s="71">
        <v>234.2</v>
      </c>
      <c r="S78" s="67">
        <v>248.6</v>
      </c>
      <c r="T78" s="67">
        <v>277.3</v>
      </c>
      <c r="U78" s="67">
        <v>270.3</v>
      </c>
      <c r="V78" s="67">
        <v>280.5</v>
      </c>
      <c r="W78" s="67">
        <v>271.7</v>
      </c>
      <c r="X78" s="67">
        <v>281.2</v>
      </c>
      <c r="Y78" s="67">
        <v>281.2</v>
      </c>
      <c r="Z78" s="67">
        <v>281.2</v>
      </c>
      <c r="AA78" s="67">
        <v>281.39999999999998</v>
      </c>
      <c r="AB78" s="67">
        <v>281.5</v>
      </c>
      <c r="AC78" s="68">
        <v>272.10000000000002</v>
      </c>
      <c r="AD78" s="69">
        <f>IFERROR(AVERAGEIF(Tabella01MarzoInverter[[#This Row],[Active power TX2-INV-1]:[Active power TX2-INV-12]], "&gt;0"), 0)</f>
        <v>271.76666666666665</v>
      </c>
      <c r="AE78" s="67">
        <f>MAX(Tabella01MarzoInverter[[#This Row],[Active power TX2-INV-1]:[Active power TX2-INV-12]])</f>
        <v>281.5</v>
      </c>
      <c r="AF78" s="70">
        <f>MIN(Tabella01MarzoInverter[[#This Row],[Active power TX2-INV-1]:[Active power TX2-INV-12]])</f>
        <v>234.2</v>
      </c>
      <c r="AG78" s="71">
        <v>281.60000000000002</v>
      </c>
      <c r="AH78" s="67">
        <v>281.3</v>
      </c>
      <c r="AI78" s="67">
        <v>281.5</v>
      </c>
      <c r="AJ78" s="67">
        <v>281.2</v>
      </c>
      <c r="AK78" s="67">
        <v>281.60000000000002</v>
      </c>
      <c r="AL78" s="67">
        <v>281</v>
      </c>
      <c r="AM78" s="67">
        <v>280.89999999999998</v>
      </c>
      <c r="AN78" s="67">
        <v>281.2</v>
      </c>
      <c r="AO78" s="67">
        <v>281.2</v>
      </c>
      <c r="AP78" s="67">
        <v>281.10000000000002</v>
      </c>
      <c r="AQ78" s="67">
        <v>271.2</v>
      </c>
      <c r="AR78" s="68">
        <v>280.3</v>
      </c>
      <c r="AS78" s="69">
        <f>IFERROR(AVERAGEIF(Tabella01MarzoInverter[[#This Row],[Active power TX3-INV-1]:[Active power TX3-INV-12]], "&gt;0"), 0)</f>
        <v>280.34166666666664</v>
      </c>
      <c r="AT78" s="67">
        <f>MAX(Tabella01MarzoInverter[[#This Row],[Active power TX3-INV-1]:[Active power TX3-INV-12]])</f>
        <v>281.60000000000002</v>
      </c>
      <c r="AU78" s="70">
        <f>MIN(Tabella01MarzoInverter[[#This Row],[Active power TX3-INV-1]:[Active power TX3-INV-12]])</f>
        <v>271.2</v>
      </c>
    </row>
    <row r="79" spans="1:47" x14ac:dyDescent="0.25">
      <c r="A79" s="65">
        <v>46147</v>
      </c>
      <c r="B79" s="66" t="s">
        <v>79</v>
      </c>
      <c r="C79" s="67">
        <v>281.39999999999998</v>
      </c>
      <c r="D79" s="67">
        <v>280.7</v>
      </c>
      <c r="E79" s="67">
        <v>281.2</v>
      </c>
      <c r="F79" s="67">
        <v>281.5</v>
      </c>
      <c r="G79" s="67">
        <v>281.3</v>
      </c>
      <c r="H79" s="67">
        <v>281</v>
      </c>
      <c r="I79" s="67">
        <v>281.39999999999998</v>
      </c>
      <c r="J79" s="67">
        <v>281.10000000000002</v>
      </c>
      <c r="K79" s="67">
        <v>281.10000000000002</v>
      </c>
      <c r="L79" s="67">
        <v>281.2</v>
      </c>
      <c r="M79" s="67">
        <v>281.2</v>
      </c>
      <c r="N79" s="68">
        <v>281.89999999999998</v>
      </c>
      <c r="O79" s="69">
        <f>IFERROR(AVERAGEIF(Tabella01MarzoInverter[[#This Row],[Active power TX1-INV-1]:[Active power TX1-INV-12]], "&gt;0"), 0)</f>
        <v>281.24999999999994</v>
      </c>
      <c r="P79" s="67">
        <f>MAX(Tabella01MarzoInverter[[#This Row],[Active power TX1-INV-1]:[Active power TX1-INV-12]])</f>
        <v>281.89999999999998</v>
      </c>
      <c r="Q79" s="70">
        <f>MIN(Tabella01MarzoInverter[[#This Row],[Active power TX1-INV-1]:[Active power TX1-INV-12]])</f>
        <v>280.7</v>
      </c>
      <c r="R79" s="71">
        <v>223.2</v>
      </c>
      <c r="S79" s="67">
        <v>237.1</v>
      </c>
      <c r="T79" s="67">
        <v>262</v>
      </c>
      <c r="U79" s="67">
        <v>265.3</v>
      </c>
      <c r="V79" s="67">
        <v>276.8</v>
      </c>
      <c r="W79" s="67">
        <v>281</v>
      </c>
      <c r="X79" s="67">
        <v>280.39999999999998</v>
      </c>
      <c r="Y79" s="67">
        <v>281.2</v>
      </c>
      <c r="Z79" s="67">
        <v>281.2</v>
      </c>
      <c r="AA79" s="67">
        <v>280.7</v>
      </c>
      <c r="AB79" s="67">
        <v>281.5</v>
      </c>
      <c r="AC79" s="68">
        <v>281.8</v>
      </c>
      <c r="AD79" s="69">
        <f>IFERROR(AVERAGEIF(Tabella01MarzoInverter[[#This Row],[Active power TX2-INV-1]:[Active power TX2-INV-12]], "&gt;0"), 0)</f>
        <v>269.34999999999997</v>
      </c>
      <c r="AE79" s="67">
        <f>MAX(Tabella01MarzoInverter[[#This Row],[Active power TX2-INV-1]:[Active power TX2-INV-12]])</f>
        <v>281.8</v>
      </c>
      <c r="AF79" s="70">
        <f>MIN(Tabella01MarzoInverter[[#This Row],[Active power TX2-INV-1]:[Active power TX2-INV-12]])</f>
        <v>223.2</v>
      </c>
      <c r="AG79" s="71">
        <v>281.60000000000002</v>
      </c>
      <c r="AH79" s="67">
        <v>281.2</v>
      </c>
      <c r="AI79" s="67">
        <v>281.7</v>
      </c>
      <c r="AJ79" s="67">
        <v>281.2</v>
      </c>
      <c r="AK79" s="67">
        <v>281.5</v>
      </c>
      <c r="AL79" s="67">
        <v>281</v>
      </c>
      <c r="AM79" s="67">
        <v>280.89999999999998</v>
      </c>
      <c r="AN79" s="67">
        <v>281.2</v>
      </c>
      <c r="AO79" s="67">
        <v>281.2</v>
      </c>
      <c r="AP79" s="67">
        <v>281.10000000000002</v>
      </c>
      <c r="AQ79" s="67">
        <v>281.10000000000002</v>
      </c>
      <c r="AR79" s="68">
        <v>276.5</v>
      </c>
      <c r="AS79" s="69">
        <f>IFERROR(AVERAGEIF(Tabella01MarzoInverter[[#This Row],[Active power TX3-INV-1]:[Active power TX3-INV-12]], "&gt;0"), 0)</f>
        <v>280.84999999999997</v>
      </c>
      <c r="AT79" s="67">
        <f>MAX(Tabella01MarzoInverter[[#This Row],[Active power TX3-INV-1]:[Active power TX3-INV-12]])</f>
        <v>281.7</v>
      </c>
      <c r="AU79" s="70">
        <f>MIN(Tabella01MarzoInverter[[#This Row],[Active power TX3-INV-1]:[Active power TX3-INV-12]])</f>
        <v>276.5</v>
      </c>
    </row>
    <row r="80" spans="1:47" x14ac:dyDescent="0.25">
      <c r="A80" s="65">
        <v>46147</v>
      </c>
      <c r="B80" s="72" t="s">
        <v>80</v>
      </c>
      <c r="C80" s="67">
        <v>280.7</v>
      </c>
      <c r="D80" s="67">
        <v>280</v>
      </c>
      <c r="E80" s="67">
        <v>280</v>
      </c>
      <c r="F80" s="67">
        <v>280.5</v>
      </c>
      <c r="G80" s="67">
        <v>280</v>
      </c>
      <c r="H80" s="67">
        <v>280.10000000000002</v>
      </c>
      <c r="I80" s="67">
        <v>281</v>
      </c>
      <c r="J80" s="67">
        <v>281.10000000000002</v>
      </c>
      <c r="K80" s="67">
        <v>281.10000000000002</v>
      </c>
      <c r="L80" s="67">
        <v>281.2</v>
      </c>
      <c r="M80" s="67">
        <v>281.2</v>
      </c>
      <c r="N80" s="68">
        <v>281.39999999999998</v>
      </c>
      <c r="O80" s="69">
        <f>IFERROR(AVERAGEIF(Tabella01MarzoInverter[[#This Row],[Active power TX1-INV-1]:[Active power TX1-INV-12]], "&gt;0"), 0)</f>
        <v>280.69166666666666</v>
      </c>
      <c r="P80" s="67">
        <f>MAX(Tabella01MarzoInverter[[#This Row],[Active power TX1-INV-1]:[Active power TX1-INV-12]])</f>
        <v>281.39999999999998</v>
      </c>
      <c r="Q80" s="70">
        <f>MIN(Tabella01MarzoInverter[[#This Row],[Active power TX1-INV-1]:[Active power TX1-INV-12]])</f>
        <v>280</v>
      </c>
      <c r="R80" s="71">
        <v>225.6</v>
      </c>
      <c r="S80" s="67">
        <v>238.9</v>
      </c>
      <c r="T80" s="67">
        <v>271.60000000000002</v>
      </c>
      <c r="U80" s="67">
        <v>265.39999999999998</v>
      </c>
      <c r="V80" s="67">
        <v>277.10000000000002</v>
      </c>
      <c r="W80" s="67">
        <v>281</v>
      </c>
      <c r="X80" s="67">
        <v>279.7</v>
      </c>
      <c r="Y80" s="67">
        <v>281.2</v>
      </c>
      <c r="Z80" s="67">
        <v>281.2</v>
      </c>
      <c r="AA80" s="67">
        <v>280.10000000000002</v>
      </c>
      <c r="AB80" s="67">
        <v>281.5</v>
      </c>
      <c r="AC80" s="68">
        <v>281.8</v>
      </c>
      <c r="AD80" s="69">
        <f>IFERROR(AVERAGEIF(Tabella01MarzoInverter[[#This Row],[Active power TX2-INV-1]:[Active power TX2-INV-12]], "&gt;0"), 0)</f>
        <v>270.42500000000001</v>
      </c>
      <c r="AE80" s="67">
        <f>MAX(Tabella01MarzoInverter[[#This Row],[Active power TX2-INV-1]:[Active power TX2-INV-12]])</f>
        <v>281.8</v>
      </c>
      <c r="AF80" s="70">
        <f>MIN(Tabella01MarzoInverter[[#This Row],[Active power TX2-INV-1]:[Active power TX2-INV-12]])</f>
        <v>225.6</v>
      </c>
      <c r="AG80" s="71">
        <v>281.60000000000002</v>
      </c>
      <c r="AH80" s="67">
        <v>281.3</v>
      </c>
      <c r="AI80" s="67">
        <v>281.5</v>
      </c>
      <c r="AJ80" s="67">
        <v>281.2</v>
      </c>
      <c r="AK80" s="67">
        <v>281</v>
      </c>
      <c r="AL80" s="67">
        <v>281</v>
      </c>
      <c r="AM80" s="67">
        <v>280.89999999999998</v>
      </c>
      <c r="AN80" s="67">
        <v>281.2</v>
      </c>
      <c r="AO80" s="67">
        <v>281.2</v>
      </c>
      <c r="AP80" s="67">
        <v>281.10000000000002</v>
      </c>
      <c r="AQ80" s="67">
        <v>281.10000000000002</v>
      </c>
      <c r="AR80" s="68">
        <v>276.10000000000002</v>
      </c>
      <c r="AS80" s="69">
        <f>IFERROR(AVERAGEIF(Tabella01MarzoInverter[[#This Row],[Active power TX3-INV-1]:[Active power TX3-INV-12]], "&gt;0"), 0)</f>
        <v>280.76666666666659</v>
      </c>
      <c r="AT80" s="67">
        <f>MAX(Tabella01MarzoInverter[[#This Row],[Active power TX3-INV-1]:[Active power TX3-INV-12]])</f>
        <v>281.60000000000002</v>
      </c>
      <c r="AU80" s="70">
        <f>MIN(Tabella01MarzoInverter[[#This Row],[Active power TX3-INV-1]:[Active power TX3-INV-12]])</f>
        <v>276.10000000000002</v>
      </c>
    </row>
    <row r="81" spans="1:47" x14ac:dyDescent="0.25">
      <c r="A81" s="65">
        <v>46147</v>
      </c>
      <c r="B81" s="66" t="s">
        <v>81</v>
      </c>
      <c r="C81" s="67">
        <v>204.7</v>
      </c>
      <c r="D81" s="67">
        <v>201.9</v>
      </c>
      <c r="E81" s="67">
        <v>203.9</v>
      </c>
      <c r="F81" s="67">
        <v>201.2</v>
      </c>
      <c r="G81" s="67">
        <v>199.7</v>
      </c>
      <c r="H81" s="67">
        <v>200.8</v>
      </c>
      <c r="I81" s="67">
        <v>197.3</v>
      </c>
      <c r="J81" s="67">
        <v>212.4</v>
      </c>
      <c r="K81" s="67">
        <v>212.3</v>
      </c>
      <c r="L81" s="67">
        <v>212.7</v>
      </c>
      <c r="M81" s="67">
        <v>208.1</v>
      </c>
      <c r="N81" s="68">
        <v>207.9</v>
      </c>
      <c r="O81" s="69">
        <f>IFERROR(AVERAGEIF(Tabella01MarzoInverter[[#This Row],[Active power TX1-INV-1]:[Active power TX1-INV-12]], "&gt;0"), 0)</f>
        <v>205.24166666666667</v>
      </c>
      <c r="P81" s="67">
        <f>MAX(Tabella01MarzoInverter[[#This Row],[Active power TX1-INV-1]:[Active power TX1-INV-12]])</f>
        <v>212.7</v>
      </c>
      <c r="Q81" s="70">
        <f>MIN(Tabella01MarzoInverter[[#This Row],[Active power TX1-INV-1]:[Active power TX1-INV-12]])</f>
        <v>197.3</v>
      </c>
      <c r="R81" s="71">
        <v>190.9</v>
      </c>
      <c r="S81" s="67">
        <v>198.3</v>
      </c>
      <c r="T81" s="67">
        <v>194.3</v>
      </c>
      <c r="U81" s="67">
        <v>191.1</v>
      </c>
      <c r="V81" s="67">
        <v>197.7</v>
      </c>
      <c r="W81" s="67">
        <v>206.2</v>
      </c>
      <c r="X81" s="67">
        <v>201.3</v>
      </c>
      <c r="Y81" s="67">
        <v>210.5</v>
      </c>
      <c r="Z81" s="67">
        <v>212.9</v>
      </c>
      <c r="AA81" s="67">
        <v>207</v>
      </c>
      <c r="AB81" s="67">
        <v>210.6</v>
      </c>
      <c r="AC81" s="68">
        <v>211.2</v>
      </c>
      <c r="AD81" s="69">
        <f>IFERROR(AVERAGEIF(Tabella01MarzoInverter[[#This Row],[Active power TX2-INV-1]:[Active power TX2-INV-12]], "&gt;0"), 0)</f>
        <v>202.66666666666666</v>
      </c>
      <c r="AE81" s="67">
        <f>MAX(Tabella01MarzoInverter[[#This Row],[Active power TX2-INV-1]:[Active power TX2-INV-12]])</f>
        <v>212.9</v>
      </c>
      <c r="AF81" s="70">
        <f>MIN(Tabella01MarzoInverter[[#This Row],[Active power TX2-INV-1]:[Active power TX2-INV-12]])</f>
        <v>190.9</v>
      </c>
      <c r="AG81" s="71">
        <v>210.3</v>
      </c>
      <c r="AH81" s="67">
        <v>213.7</v>
      </c>
      <c r="AI81" s="67">
        <v>208.7</v>
      </c>
      <c r="AJ81" s="67">
        <v>220.4</v>
      </c>
      <c r="AK81" s="67">
        <v>213.9</v>
      </c>
      <c r="AL81" s="67">
        <v>219.2</v>
      </c>
      <c r="AM81" s="67">
        <v>207.8</v>
      </c>
      <c r="AN81" s="67">
        <v>206.5</v>
      </c>
      <c r="AO81" s="67">
        <v>209</v>
      </c>
      <c r="AP81" s="67">
        <v>206.2</v>
      </c>
      <c r="AQ81" s="67">
        <v>199.6</v>
      </c>
      <c r="AR81" s="68">
        <v>204.2</v>
      </c>
      <c r="AS81" s="69">
        <f>IFERROR(AVERAGEIF(Tabella01MarzoInverter[[#This Row],[Active power TX3-INV-1]:[Active power TX3-INV-12]], "&gt;0"), 0)</f>
        <v>209.95833333333329</v>
      </c>
      <c r="AT81" s="67">
        <f>MAX(Tabella01MarzoInverter[[#This Row],[Active power TX3-INV-1]:[Active power TX3-INV-12]])</f>
        <v>220.4</v>
      </c>
      <c r="AU81" s="70">
        <f>MIN(Tabella01MarzoInverter[[#This Row],[Active power TX3-INV-1]:[Active power TX3-INV-12]])</f>
        <v>199.6</v>
      </c>
    </row>
    <row r="82" spans="1:47" x14ac:dyDescent="0.25">
      <c r="A82" s="65">
        <v>46147</v>
      </c>
      <c r="B82" s="72" t="s">
        <v>82</v>
      </c>
      <c r="C82" s="67">
        <v>186.6</v>
      </c>
      <c r="D82" s="67">
        <v>190.9</v>
      </c>
      <c r="E82" s="67">
        <v>193.6</v>
      </c>
      <c r="F82" s="67">
        <v>192.9</v>
      </c>
      <c r="G82" s="67">
        <v>193.6</v>
      </c>
      <c r="H82" s="67">
        <v>192.8</v>
      </c>
      <c r="I82" s="67">
        <v>194.3</v>
      </c>
      <c r="J82" s="67">
        <v>200.7</v>
      </c>
      <c r="K82" s="67">
        <v>198.8</v>
      </c>
      <c r="L82" s="67">
        <v>199.4</v>
      </c>
      <c r="M82" s="67">
        <v>198.5</v>
      </c>
      <c r="N82" s="68">
        <v>195.2</v>
      </c>
      <c r="O82" s="69">
        <f>IFERROR(AVERAGEIF(Tabella01MarzoInverter[[#This Row],[Active power TX1-INV-1]:[Active power TX1-INV-12]], "&gt;0"), 0)</f>
        <v>194.77500000000001</v>
      </c>
      <c r="P82" s="67">
        <f>MAX(Tabella01MarzoInverter[[#This Row],[Active power TX1-INV-1]:[Active power TX1-INV-12]])</f>
        <v>200.7</v>
      </c>
      <c r="Q82" s="70">
        <f>MIN(Tabella01MarzoInverter[[#This Row],[Active power TX1-INV-1]:[Active power TX1-INV-12]])</f>
        <v>186.6</v>
      </c>
      <c r="R82" s="71">
        <v>186.9</v>
      </c>
      <c r="S82" s="67">
        <v>195</v>
      </c>
      <c r="T82" s="67">
        <v>186.9</v>
      </c>
      <c r="U82" s="67">
        <v>189.9</v>
      </c>
      <c r="V82" s="67">
        <v>194.7</v>
      </c>
      <c r="W82" s="67">
        <v>198.7</v>
      </c>
      <c r="X82" s="67">
        <v>194.2</v>
      </c>
      <c r="Y82" s="67">
        <v>196.7</v>
      </c>
      <c r="Z82" s="67">
        <v>197.5</v>
      </c>
      <c r="AA82" s="67">
        <v>194.7</v>
      </c>
      <c r="AB82" s="67">
        <v>205.7</v>
      </c>
      <c r="AC82" s="68">
        <v>206.6</v>
      </c>
      <c r="AD82" s="69">
        <f>IFERROR(AVERAGEIF(Tabella01MarzoInverter[[#This Row],[Active power TX2-INV-1]:[Active power TX2-INV-12]], "&gt;0"), 0)</f>
        <v>195.625</v>
      </c>
      <c r="AE82" s="67">
        <f>MAX(Tabella01MarzoInverter[[#This Row],[Active power TX2-INV-1]:[Active power TX2-INV-12]])</f>
        <v>206.6</v>
      </c>
      <c r="AF82" s="70">
        <f>MIN(Tabella01MarzoInverter[[#This Row],[Active power TX2-INV-1]:[Active power TX2-INV-12]])</f>
        <v>186.9</v>
      </c>
      <c r="AG82" s="71">
        <v>207.4</v>
      </c>
      <c r="AH82" s="67">
        <v>195.7</v>
      </c>
      <c r="AI82" s="67">
        <v>192.5</v>
      </c>
      <c r="AJ82" s="67">
        <v>197.5</v>
      </c>
      <c r="AK82" s="67">
        <v>197</v>
      </c>
      <c r="AL82" s="67">
        <v>197.4</v>
      </c>
      <c r="AM82" s="67">
        <v>187</v>
      </c>
      <c r="AN82" s="67">
        <v>197.5</v>
      </c>
      <c r="AO82" s="67">
        <v>196.1</v>
      </c>
      <c r="AP82" s="67">
        <v>194.8</v>
      </c>
      <c r="AQ82" s="67">
        <v>189.1</v>
      </c>
      <c r="AR82" s="68">
        <v>184</v>
      </c>
      <c r="AS82" s="69">
        <f>IFERROR(AVERAGEIF(Tabella01MarzoInverter[[#This Row],[Active power TX3-INV-1]:[Active power TX3-INV-12]], "&gt;0"), 0)</f>
        <v>194.66666666666666</v>
      </c>
      <c r="AT82" s="67">
        <f>MAX(Tabella01MarzoInverter[[#This Row],[Active power TX3-INV-1]:[Active power TX3-INV-12]])</f>
        <v>207.4</v>
      </c>
      <c r="AU82" s="70">
        <f>MIN(Tabella01MarzoInverter[[#This Row],[Active power TX3-INV-1]:[Active power TX3-INV-12]])</f>
        <v>184</v>
      </c>
    </row>
    <row r="83" spans="1:47" x14ac:dyDescent="0.25">
      <c r="A83" s="65">
        <v>46147</v>
      </c>
      <c r="B83" s="66" t="s">
        <v>83</v>
      </c>
      <c r="C83" s="67">
        <v>231.2</v>
      </c>
      <c r="D83" s="67">
        <v>228.1</v>
      </c>
      <c r="E83" s="67">
        <v>224.8</v>
      </c>
      <c r="F83" s="67">
        <v>231</v>
      </c>
      <c r="G83" s="67">
        <v>226.2</v>
      </c>
      <c r="H83" s="67">
        <v>227.5</v>
      </c>
      <c r="I83" s="67">
        <v>234.4</v>
      </c>
      <c r="J83" s="67">
        <v>234.2</v>
      </c>
      <c r="K83" s="67">
        <v>233.1</v>
      </c>
      <c r="L83" s="67">
        <v>223.6</v>
      </c>
      <c r="M83" s="67">
        <v>229.1</v>
      </c>
      <c r="N83" s="68">
        <v>233.5</v>
      </c>
      <c r="O83" s="69">
        <f>IFERROR(AVERAGEIF(Tabella01MarzoInverter[[#This Row],[Active power TX1-INV-1]:[Active power TX1-INV-12]], "&gt;0"), 0)</f>
        <v>229.72499999999999</v>
      </c>
      <c r="P83" s="67">
        <f>MAX(Tabella01MarzoInverter[[#This Row],[Active power TX1-INV-1]:[Active power TX1-INV-12]])</f>
        <v>234.4</v>
      </c>
      <c r="Q83" s="70">
        <f>MIN(Tabella01MarzoInverter[[#This Row],[Active power TX1-INV-1]:[Active power TX1-INV-12]])</f>
        <v>223.6</v>
      </c>
      <c r="R83" s="71">
        <v>215</v>
      </c>
      <c r="S83" s="67">
        <v>225.6</v>
      </c>
      <c r="T83" s="67">
        <v>223.3</v>
      </c>
      <c r="U83" s="67">
        <v>217.6</v>
      </c>
      <c r="V83" s="67">
        <v>221.7</v>
      </c>
      <c r="W83" s="67">
        <v>231.4</v>
      </c>
      <c r="X83" s="67">
        <v>224.1</v>
      </c>
      <c r="Y83" s="67">
        <v>227.7</v>
      </c>
      <c r="Z83" s="67">
        <v>233.7</v>
      </c>
      <c r="AA83" s="67">
        <v>228.7</v>
      </c>
      <c r="AB83" s="67">
        <v>238</v>
      </c>
      <c r="AC83" s="68">
        <v>241.7</v>
      </c>
      <c r="AD83" s="69">
        <f>IFERROR(AVERAGEIF(Tabella01MarzoInverter[[#This Row],[Active power TX2-INV-1]:[Active power TX2-INV-12]], "&gt;0"), 0)</f>
        <v>227.375</v>
      </c>
      <c r="AE83" s="67">
        <f>MAX(Tabella01MarzoInverter[[#This Row],[Active power TX2-INV-1]:[Active power TX2-INV-12]])</f>
        <v>241.7</v>
      </c>
      <c r="AF83" s="70">
        <f>MIN(Tabella01MarzoInverter[[#This Row],[Active power TX2-INV-1]:[Active power TX2-INV-12]])</f>
        <v>215</v>
      </c>
      <c r="AG83" s="71">
        <v>234.7</v>
      </c>
      <c r="AH83" s="67">
        <v>225.7</v>
      </c>
      <c r="AI83" s="67">
        <v>218.1</v>
      </c>
      <c r="AJ83" s="67">
        <v>231.6</v>
      </c>
      <c r="AK83" s="67">
        <v>229.4</v>
      </c>
      <c r="AL83" s="67">
        <v>230.9</v>
      </c>
      <c r="AM83" s="67">
        <v>234.4</v>
      </c>
      <c r="AN83" s="67">
        <v>227.5</v>
      </c>
      <c r="AO83" s="67">
        <v>232.2</v>
      </c>
      <c r="AP83" s="67">
        <v>234.2</v>
      </c>
      <c r="AQ83" s="67">
        <v>208</v>
      </c>
      <c r="AR83" s="68">
        <v>221</v>
      </c>
      <c r="AS83" s="69">
        <f>IFERROR(AVERAGEIF(Tabella01MarzoInverter[[#This Row],[Active power TX3-INV-1]:[Active power TX3-INV-12]], "&gt;0"), 0)</f>
        <v>227.30833333333331</v>
      </c>
      <c r="AT83" s="67">
        <f>MAX(Tabella01MarzoInverter[[#This Row],[Active power TX3-INV-1]:[Active power TX3-INV-12]])</f>
        <v>234.7</v>
      </c>
      <c r="AU83" s="70">
        <f>MIN(Tabella01MarzoInverter[[#This Row],[Active power TX3-INV-1]:[Active power TX3-INV-12]])</f>
        <v>208</v>
      </c>
    </row>
    <row r="84" spans="1:47" x14ac:dyDescent="0.25">
      <c r="A84" s="65">
        <v>46147</v>
      </c>
      <c r="B84" s="72" t="s">
        <v>84</v>
      </c>
      <c r="C84" s="67">
        <v>240.9</v>
      </c>
      <c r="D84" s="67">
        <v>238.4</v>
      </c>
      <c r="E84" s="67">
        <v>238.5</v>
      </c>
      <c r="F84" s="67">
        <v>238</v>
      </c>
      <c r="G84" s="67">
        <v>238.4</v>
      </c>
      <c r="H84" s="67">
        <v>236.7</v>
      </c>
      <c r="I84" s="67">
        <v>240.2</v>
      </c>
      <c r="J84" s="67">
        <v>255.4</v>
      </c>
      <c r="K84" s="67">
        <v>252.5</v>
      </c>
      <c r="L84" s="67">
        <v>249</v>
      </c>
      <c r="M84" s="67">
        <v>247.5</v>
      </c>
      <c r="N84" s="68">
        <v>239.5</v>
      </c>
      <c r="O84" s="69">
        <f>IFERROR(AVERAGEIF(Tabella01MarzoInverter[[#This Row],[Active power TX1-INV-1]:[Active power TX1-INV-12]], "&gt;0"), 0)</f>
        <v>242.91666666666666</v>
      </c>
      <c r="P84" s="67">
        <f>MAX(Tabella01MarzoInverter[[#This Row],[Active power TX1-INV-1]:[Active power TX1-INV-12]])</f>
        <v>255.4</v>
      </c>
      <c r="Q84" s="70">
        <f>MIN(Tabella01MarzoInverter[[#This Row],[Active power TX1-INV-1]:[Active power TX1-INV-12]])</f>
        <v>236.7</v>
      </c>
      <c r="R84" s="71">
        <v>224.9</v>
      </c>
      <c r="S84" s="67">
        <v>235.1</v>
      </c>
      <c r="T84" s="67">
        <v>232.4</v>
      </c>
      <c r="U84" s="67">
        <v>225.4</v>
      </c>
      <c r="V84" s="67">
        <v>231</v>
      </c>
      <c r="W84" s="67">
        <v>245.7</v>
      </c>
      <c r="X84" s="67">
        <v>232.7</v>
      </c>
      <c r="Y84" s="67">
        <v>239.7</v>
      </c>
      <c r="Z84" s="67">
        <v>242.4</v>
      </c>
      <c r="AA84" s="67">
        <v>233.1</v>
      </c>
      <c r="AB84" s="67">
        <v>243.4</v>
      </c>
      <c r="AC84" s="68">
        <v>245.4</v>
      </c>
      <c r="AD84" s="69">
        <f>IFERROR(AVERAGEIF(Tabella01MarzoInverter[[#This Row],[Active power TX2-INV-1]:[Active power TX2-INV-12]], "&gt;0"), 0)</f>
        <v>235.93333333333337</v>
      </c>
      <c r="AE84" s="67">
        <f>MAX(Tabella01MarzoInverter[[#This Row],[Active power TX2-INV-1]:[Active power TX2-INV-12]])</f>
        <v>245.7</v>
      </c>
      <c r="AF84" s="70">
        <f>MIN(Tabella01MarzoInverter[[#This Row],[Active power TX2-INV-1]:[Active power TX2-INV-12]])</f>
        <v>224.9</v>
      </c>
      <c r="AG84" s="71">
        <v>259.60000000000002</v>
      </c>
      <c r="AH84" s="67">
        <v>253.7</v>
      </c>
      <c r="AI84" s="67">
        <v>251.2</v>
      </c>
      <c r="AJ84" s="67">
        <v>256.3</v>
      </c>
      <c r="AK84" s="67">
        <v>254.6</v>
      </c>
      <c r="AL84" s="67">
        <v>256.10000000000002</v>
      </c>
      <c r="AM84" s="67">
        <v>259.60000000000002</v>
      </c>
      <c r="AN84" s="67">
        <v>252.3</v>
      </c>
      <c r="AO84" s="67">
        <v>254.4</v>
      </c>
      <c r="AP84" s="67">
        <v>254.7</v>
      </c>
      <c r="AQ84" s="67">
        <v>254.1</v>
      </c>
      <c r="AR84" s="68">
        <v>237.1</v>
      </c>
      <c r="AS84" s="69">
        <f>IFERROR(AVERAGEIF(Tabella01MarzoInverter[[#This Row],[Active power TX3-INV-1]:[Active power TX3-INV-12]], "&gt;0"), 0)</f>
        <v>253.64166666666662</v>
      </c>
      <c r="AT84" s="67">
        <f>MAX(Tabella01MarzoInverter[[#This Row],[Active power TX3-INV-1]:[Active power TX3-INV-12]])</f>
        <v>259.60000000000002</v>
      </c>
      <c r="AU84" s="70">
        <f>MIN(Tabella01MarzoInverter[[#This Row],[Active power TX3-INV-1]:[Active power TX3-INV-12]])</f>
        <v>237.1</v>
      </c>
    </row>
    <row r="85" spans="1:47" x14ac:dyDescent="0.25">
      <c r="A85" s="65">
        <v>46147</v>
      </c>
      <c r="B85" s="66" t="s">
        <v>85</v>
      </c>
      <c r="C85" s="67">
        <v>184.7</v>
      </c>
      <c r="D85" s="67">
        <v>186.7</v>
      </c>
      <c r="E85" s="67">
        <v>182.4</v>
      </c>
      <c r="F85" s="67">
        <v>187.3</v>
      </c>
      <c r="G85" s="67">
        <v>184.6</v>
      </c>
      <c r="H85" s="67">
        <v>172.9</v>
      </c>
      <c r="I85" s="67">
        <v>189.5</v>
      </c>
      <c r="J85" s="67">
        <v>194.6</v>
      </c>
      <c r="K85" s="67">
        <v>192.9</v>
      </c>
      <c r="L85" s="67">
        <v>189.1</v>
      </c>
      <c r="M85" s="67">
        <v>187.7</v>
      </c>
      <c r="N85" s="68">
        <v>184.7</v>
      </c>
      <c r="O85" s="69">
        <f>IFERROR(AVERAGEIF(Tabella01MarzoInverter[[#This Row],[Active power TX1-INV-1]:[Active power TX1-INV-12]], "&gt;0"), 0)</f>
        <v>186.42499999999995</v>
      </c>
      <c r="P85" s="67">
        <f>MAX(Tabella01MarzoInverter[[#This Row],[Active power TX1-INV-1]:[Active power TX1-INV-12]])</f>
        <v>194.6</v>
      </c>
      <c r="Q85" s="70">
        <f>MIN(Tabella01MarzoInverter[[#This Row],[Active power TX1-INV-1]:[Active power TX1-INV-12]])</f>
        <v>172.9</v>
      </c>
      <c r="R85" s="71">
        <v>175.1</v>
      </c>
      <c r="S85" s="67">
        <v>181.1</v>
      </c>
      <c r="T85" s="67">
        <v>181.4</v>
      </c>
      <c r="U85" s="67">
        <v>171.3</v>
      </c>
      <c r="V85" s="67">
        <v>176.8</v>
      </c>
      <c r="W85" s="67">
        <v>185.9</v>
      </c>
      <c r="X85" s="67">
        <v>173.9</v>
      </c>
      <c r="Y85" s="67">
        <v>181.6</v>
      </c>
      <c r="Z85" s="67">
        <v>180.6</v>
      </c>
      <c r="AA85" s="67">
        <v>171.4</v>
      </c>
      <c r="AB85" s="67">
        <v>176.2</v>
      </c>
      <c r="AC85" s="68">
        <v>180.3</v>
      </c>
      <c r="AD85" s="69">
        <f>IFERROR(AVERAGEIF(Tabella01MarzoInverter[[#This Row],[Active power TX2-INV-1]:[Active power TX2-INV-12]], "&gt;0"), 0)</f>
        <v>177.9666666666667</v>
      </c>
      <c r="AE85" s="67">
        <f>MAX(Tabella01MarzoInverter[[#This Row],[Active power TX2-INV-1]:[Active power TX2-INV-12]])</f>
        <v>185.9</v>
      </c>
      <c r="AF85" s="70">
        <f>MIN(Tabella01MarzoInverter[[#This Row],[Active power TX2-INV-1]:[Active power TX2-INV-12]])</f>
        <v>171.3</v>
      </c>
      <c r="AG85" s="71">
        <v>197.1</v>
      </c>
      <c r="AH85" s="67">
        <v>180</v>
      </c>
      <c r="AI85" s="67">
        <v>187.6</v>
      </c>
      <c r="AJ85" s="67">
        <v>190.3</v>
      </c>
      <c r="AK85" s="67">
        <v>190.8</v>
      </c>
      <c r="AL85" s="67">
        <v>193.4</v>
      </c>
      <c r="AM85" s="67">
        <v>183.1</v>
      </c>
      <c r="AN85" s="67">
        <v>194.9</v>
      </c>
      <c r="AO85" s="67">
        <v>189.8</v>
      </c>
      <c r="AP85" s="67">
        <v>197.6</v>
      </c>
      <c r="AQ85" s="67">
        <v>198.3</v>
      </c>
      <c r="AR85" s="68">
        <v>183.3</v>
      </c>
      <c r="AS85" s="69">
        <f>IFERROR(AVERAGEIF(Tabella01MarzoInverter[[#This Row],[Active power TX3-INV-1]:[Active power TX3-INV-12]], "&gt;0"), 0)</f>
        <v>190.51666666666668</v>
      </c>
      <c r="AT85" s="67">
        <f>MAX(Tabella01MarzoInverter[[#This Row],[Active power TX3-INV-1]:[Active power TX3-INV-12]])</f>
        <v>198.3</v>
      </c>
      <c r="AU85" s="70">
        <f>MIN(Tabella01MarzoInverter[[#This Row],[Active power TX3-INV-1]:[Active power TX3-INV-12]])</f>
        <v>180</v>
      </c>
    </row>
    <row r="86" spans="1:47" x14ac:dyDescent="0.25">
      <c r="A86" s="65">
        <v>46147</v>
      </c>
      <c r="B86" s="72" t="s">
        <v>86</v>
      </c>
      <c r="C86" s="67">
        <v>74.3</v>
      </c>
      <c r="D86" s="67">
        <v>73.5</v>
      </c>
      <c r="E86" s="67">
        <v>73.900000000000006</v>
      </c>
      <c r="F86" s="67">
        <v>74.2</v>
      </c>
      <c r="G86" s="67">
        <v>74.5</v>
      </c>
      <c r="H86" s="67">
        <v>73.8</v>
      </c>
      <c r="I86" s="67">
        <v>74</v>
      </c>
      <c r="J86" s="67">
        <v>78.099999999999994</v>
      </c>
      <c r="K86" s="67">
        <v>77.3</v>
      </c>
      <c r="L86" s="67">
        <v>76.3</v>
      </c>
      <c r="M86" s="67">
        <v>75.8</v>
      </c>
      <c r="N86" s="68">
        <v>74.8</v>
      </c>
      <c r="O86" s="69">
        <f>IFERROR(AVERAGEIF(Tabella01MarzoInverter[[#This Row],[Active power TX1-INV-1]:[Active power TX1-INV-12]], "&gt;0"), 0)</f>
        <v>75.041666666666657</v>
      </c>
      <c r="P86" s="67">
        <f>MAX(Tabella01MarzoInverter[[#This Row],[Active power TX1-INV-1]:[Active power TX1-INV-12]])</f>
        <v>78.099999999999994</v>
      </c>
      <c r="Q86" s="70">
        <f>MIN(Tabella01MarzoInverter[[#This Row],[Active power TX1-INV-1]:[Active power TX1-INV-12]])</f>
        <v>73.5</v>
      </c>
      <c r="R86" s="71">
        <v>70.599999999999994</v>
      </c>
      <c r="S86" s="67">
        <v>73.7</v>
      </c>
      <c r="T86" s="67">
        <v>72.900000000000006</v>
      </c>
      <c r="U86" s="67">
        <v>71.099999999999994</v>
      </c>
      <c r="V86" s="67">
        <v>72.099999999999994</v>
      </c>
      <c r="W86" s="67">
        <v>76.599999999999994</v>
      </c>
      <c r="X86" s="67">
        <v>73</v>
      </c>
      <c r="Y86" s="67">
        <v>75.900000000000006</v>
      </c>
      <c r="Z86" s="67">
        <v>76.099999999999994</v>
      </c>
      <c r="AA86" s="67">
        <v>73.2</v>
      </c>
      <c r="AB86" s="67">
        <v>76.8</v>
      </c>
      <c r="AC86" s="68">
        <v>77.2</v>
      </c>
      <c r="AD86" s="69">
        <f>IFERROR(AVERAGEIF(Tabella01MarzoInverter[[#This Row],[Active power TX2-INV-1]:[Active power TX2-INV-12]], "&gt;0"), 0)</f>
        <v>74.100000000000009</v>
      </c>
      <c r="AE86" s="67">
        <f>MAX(Tabella01MarzoInverter[[#This Row],[Active power TX2-INV-1]:[Active power TX2-INV-12]])</f>
        <v>77.2</v>
      </c>
      <c r="AF86" s="70">
        <f>MIN(Tabella01MarzoInverter[[#This Row],[Active power TX2-INV-1]:[Active power TX2-INV-12]])</f>
        <v>70.599999999999994</v>
      </c>
      <c r="AG86" s="71">
        <v>78.099999999999994</v>
      </c>
      <c r="AH86" s="67">
        <v>76.099999999999994</v>
      </c>
      <c r="AI86" s="67">
        <v>76</v>
      </c>
      <c r="AJ86" s="67">
        <v>76.099999999999994</v>
      </c>
      <c r="AK86" s="67">
        <v>75.599999999999994</v>
      </c>
      <c r="AL86" s="67">
        <v>76.2</v>
      </c>
      <c r="AM86" s="67">
        <v>77.5</v>
      </c>
      <c r="AN86" s="67">
        <v>75.7</v>
      </c>
      <c r="AO86" s="67">
        <v>76.400000000000006</v>
      </c>
      <c r="AP86" s="67">
        <v>76.2</v>
      </c>
      <c r="AQ86" s="67">
        <v>77.8</v>
      </c>
      <c r="AR86" s="68">
        <v>69.900000000000006</v>
      </c>
      <c r="AS86" s="69">
        <f>IFERROR(AVERAGEIF(Tabella01MarzoInverter[[#This Row],[Active power TX3-INV-1]:[Active power TX3-INV-12]], "&gt;0"), 0)</f>
        <v>75.966666666666654</v>
      </c>
      <c r="AT86" s="67">
        <f>MAX(Tabella01MarzoInverter[[#This Row],[Active power TX3-INV-1]:[Active power TX3-INV-12]])</f>
        <v>78.099999999999994</v>
      </c>
      <c r="AU86" s="70">
        <f>MIN(Tabella01MarzoInverter[[#This Row],[Active power TX3-INV-1]:[Active power TX3-INV-12]])</f>
        <v>69.900000000000006</v>
      </c>
    </row>
    <row r="87" spans="1:47" x14ac:dyDescent="0.25">
      <c r="A87" s="65">
        <v>46147</v>
      </c>
      <c r="B87" s="66" t="s">
        <v>87</v>
      </c>
      <c r="C87" s="67">
        <v>59.9</v>
      </c>
      <c r="D87" s="67">
        <v>59.1</v>
      </c>
      <c r="E87" s="67">
        <v>59.4</v>
      </c>
      <c r="F87" s="67">
        <v>59.8</v>
      </c>
      <c r="G87" s="67">
        <v>59.7</v>
      </c>
      <c r="H87" s="67">
        <v>59</v>
      </c>
      <c r="I87" s="67">
        <v>59</v>
      </c>
      <c r="J87" s="67">
        <v>62.5</v>
      </c>
      <c r="K87" s="67">
        <v>61.7</v>
      </c>
      <c r="L87" s="67">
        <v>61</v>
      </c>
      <c r="M87" s="67">
        <v>60.7</v>
      </c>
      <c r="N87" s="68">
        <v>59.7</v>
      </c>
      <c r="O87" s="69">
        <f>IFERROR(AVERAGEIF(Tabella01MarzoInverter[[#This Row],[Active power TX1-INV-1]:[Active power TX1-INV-12]], "&gt;0"), 0)</f>
        <v>60.125000000000007</v>
      </c>
      <c r="P87" s="67">
        <f>MAX(Tabella01MarzoInverter[[#This Row],[Active power TX1-INV-1]:[Active power TX1-INV-12]])</f>
        <v>62.5</v>
      </c>
      <c r="Q87" s="70">
        <f>MIN(Tabella01MarzoInverter[[#This Row],[Active power TX1-INV-1]:[Active power TX1-INV-12]])</f>
        <v>59</v>
      </c>
      <c r="R87" s="71">
        <v>56.8</v>
      </c>
      <c r="S87" s="67">
        <v>59.1</v>
      </c>
      <c r="T87" s="67">
        <v>58.6</v>
      </c>
      <c r="U87" s="67">
        <v>57.1</v>
      </c>
      <c r="V87" s="67">
        <v>57.6</v>
      </c>
      <c r="W87" s="67">
        <v>62.1</v>
      </c>
      <c r="X87" s="67">
        <v>59.3</v>
      </c>
      <c r="Y87" s="67">
        <v>61.6</v>
      </c>
      <c r="Z87" s="67">
        <v>61.7</v>
      </c>
      <c r="AA87" s="67">
        <v>59.3</v>
      </c>
      <c r="AB87" s="67">
        <v>62.3</v>
      </c>
      <c r="AC87" s="68">
        <v>62.6</v>
      </c>
      <c r="AD87" s="69">
        <f>IFERROR(AVERAGEIF(Tabella01MarzoInverter[[#This Row],[Active power TX2-INV-1]:[Active power TX2-INV-12]], "&gt;0"), 0)</f>
        <v>59.841666666666669</v>
      </c>
      <c r="AE87" s="67">
        <f>MAX(Tabella01MarzoInverter[[#This Row],[Active power TX2-INV-1]:[Active power TX2-INV-12]])</f>
        <v>62.6</v>
      </c>
      <c r="AF87" s="70">
        <f>MIN(Tabella01MarzoInverter[[#This Row],[Active power TX2-INV-1]:[Active power TX2-INV-12]])</f>
        <v>56.8</v>
      </c>
      <c r="AG87" s="71">
        <v>62.3</v>
      </c>
      <c r="AH87" s="67">
        <v>60.8</v>
      </c>
      <c r="AI87" s="67">
        <v>60.9</v>
      </c>
      <c r="AJ87" s="67">
        <v>61.1</v>
      </c>
      <c r="AK87" s="67">
        <v>60.9</v>
      </c>
      <c r="AL87" s="67">
        <v>61.4</v>
      </c>
      <c r="AM87" s="67">
        <v>62.3</v>
      </c>
      <c r="AN87" s="67">
        <v>60.8</v>
      </c>
      <c r="AO87" s="67">
        <v>61.1</v>
      </c>
      <c r="AP87" s="67">
        <v>60.4</v>
      </c>
      <c r="AQ87" s="67">
        <v>62.2</v>
      </c>
      <c r="AR87" s="68">
        <v>57.1</v>
      </c>
      <c r="AS87" s="69">
        <f>IFERROR(AVERAGEIF(Tabella01MarzoInverter[[#This Row],[Active power TX3-INV-1]:[Active power TX3-INV-12]], "&gt;0"), 0)</f>
        <v>60.94166666666667</v>
      </c>
      <c r="AT87" s="67">
        <f>MAX(Tabella01MarzoInverter[[#This Row],[Active power TX3-INV-1]:[Active power TX3-INV-12]])</f>
        <v>62.3</v>
      </c>
      <c r="AU87" s="70">
        <f>MIN(Tabella01MarzoInverter[[#This Row],[Active power TX3-INV-1]:[Active power TX3-INV-12]])</f>
        <v>57.1</v>
      </c>
    </row>
    <row r="88" spans="1:47" x14ac:dyDescent="0.25">
      <c r="A88" s="65">
        <v>46147</v>
      </c>
      <c r="B88" s="72" t="s">
        <v>88</v>
      </c>
      <c r="C88" s="67">
        <v>49.7</v>
      </c>
      <c r="D88" s="67">
        <v>49.1</v>
      </c>
      <c r="E88" s="67">
        <v>49.3</v>
      </c>
      <c r="F88" s="67">
        <v>49.6</v>
      </c>
      <c r="G88" s="67">
        <v>49.6</v>
      </c>
      <c r="H88" s="67">
        <v>49.2</v>
      </c>
      <c r="I88" s="67">
        <v>49.3</v>
      </c>
      <c r="J88" s="67">
        <v>52.2</v>
      </c>
      <c r="K88" s="67">
        <v>51.6</v>
      </c>
      <c r="L88" s="67">
        <v>51</v>
      </c>
      <c r="M88" s="67">
        <v>50.7</v>
      </c>
      <c r="N88" s="68">
        <v>49.9</v>
      </c>
      <c r="O88" s="69">
        <f>IFERROR(AVERAGEIF(Tabella01MarzoInverter[[#This Row],[Active power TX1-INV-1]:[Active power TX1-INV-12]], "&gt;0"), 0)</f>
        <v>50.1</v>
      </c>
      <c r="P88" s="67">
        <f>MAX(Tabella01MarzoInverter[[#This Row],[Active power TX1-INV-1]:[Active power TX1-INV-12]])</f>
        <v>52.2</v>
      </c>
      <c r="Q88" s="70">
        <f>MIN(Tabella01MarzoInverter[[#This Row],[Active power TX1-INV-1]:[Active power TX1-INV-12]])</f>
        <v>49.1</v>
      </c>
      <c r="R88" s="71">
        <v>47.2</v>
      </c>
      <c r="S88" s="67">
        <v>49.3</v>
      </c>
      <c r="T88" s="67">
        <v>48.9</v>
      </c>
      <c r="U88" s="67">
        <v>47.6</v>
      </c>
      <c r="V88" s="67">
        <v>48.1</v>
      </c>
      <c r="W88" s="67">
        <v>51.5</v>
      </c>
      <c r="X88" s="67">
        <v>49.2</v>
      </c>
      <c r="Y88" s="67">
        <v>51.1</v>
      </c>
      <c r="Z88" s="67">
        <v>51.3</v>
      </c>
      <c r="AA88" s="67">
        <v>49.3</v>
      </c>
      <c r="AB88" s="67">
        <v>51.6</v>
      </c>
      <c r="AC88" s="68">
        <v>51.9</v>
      </c>
      <c r="AD88" s="69">
        <f>IFERROR(AVERAGEIF(Tabella01MarzoInverter[[#This Row],[Active power TX2-INV-1]:[Active power TX2-INV-12]], "&gt;0"), 0)</f>
        <v>49.75</v>
      </c>
      <c r="AE88" s="67">
        <f>MAX(Tabella01MarzoInverter[[#This Row],[Active power TX2-INV-1]:[Active power TX2-INV-12]])</f>
        <v>51.9</v>
      </c>
      <c r="AF88" s="70">
        <f>MIN(Tabella01MarzoInverter[[#This Row],[Active power TX2-INV-1]:[Active power TX2-INV-12]])</f>
        <v>47.2</v>
      </c>
      <c r="AG88" s="71">
        <v>52.6</v>
      </c>
      <c r="AH88" s="67">
        <v>51.2</v>
      </c>
      <c r="AI88" s="67">
        <v>51.2</v>
      </c>
      <c r="AJ88" s="67">
        <v>51.3</v>
      </c>
      <c r="AK88" s="67">
        <v>51</v>
      </c>
      <c r="AL88" s="67">
        <v>51.2</v>
      </c>
      <c r="AM88" s="67">
        <v>51.9</v>
      </c>
      <c r="AN88" s="67">
        <v>50.8</v>
      </c>
      <c r="AO88" s="67">
        <v>51.1</v>
      </c>
      <c r="AP88" s="67">
        <v>50.8</v>
      </c>
      <c r="AQ88" s="67">
        <v>52.2</v>
      </c>
      <c r="AR88" s="68">
        <v>47.2</v>
      </c>
      <c r="AS88" s="69">
        <f>IFERROR(AVERAGEIF(Tabella01MarzoInverter[[#This Row],[Active power TX3-INV-1]:[Active power TX3-INV-12]], "&gt;0"), 0)</f>
        <v>51.041666666666679</v>
      </c>
      <c r="AT88" s="67">
        <f>MAX(Tabella01MarzoInverter[[#This Row],[Active power TX3-INV-1]:[Active power TX3-INV-12]])</f>
        <v>52.6</v>
      </c>
      <c r="AU88" s="70">
        <f>MIN(Tabella01MarzoInverter[[#This Row],[Active power TX3-INV-1]:[Active power TX3-INV-12]])</f>
        <v>47.2</v>
      </c>
    </row>
    <row r="89" spans="1:47" x14ac:dyDescent="0.25">
      <c r="A89" s="65">
        <v>46147</v>
      </c>
      <c r="B89" s="66" t="s">
        <v>89</v>
      </c>
      <c r="C89" s="67">
        <v>48.7</v>
      </c>
      <c r="D89" s="67">
        <v>48.3</v>
      </c>
      <c r="E89" s="67">
        <v>48.3</v>
      </c>
      <c r="F89" s="67">
        <v>48.9</v>
      </c>
      <c r="G89" s="67">
        <v>48.8</v>
      </c>
      <c r="H89" s="67">
        <v>48.4</v>
      </c>
      <c r="I89" s="67">
        <v>48.9</v>
      </c>
      <c r="J89" s="67">
        <v>51.7</v>
      </c>
      <c r="K89" s="67">
        <v>51.1</v>
      </c>
      <c r="L89" s="67">
        <v>50.6</v>
      </c>
      <c r="M89" s="67">
        <v>50.2</v>
      </c>
      <c r="N89" s="68">
        <v>49.3</v>
      </c>
      <c r="O89" s="69">
        <f>IFERROR(AVERAGEIF(Tabella01MarzoInverter[[#This Row],[Active power TX1-INV-1]:[Active power TX1-INV-12]], "&gt;0"), 0)</f>
        <v>49.43333333333333</v>
      </c>
      <c r="P89" s="67">
        <f>MAX(Tabella01MarzoInverter[[#This Row],[Active power TX1-INV-1]:[Active power TX1-INV-12]])</f>
        <v>51.7</v>
      </c>
      <c r="Q89" s="70">
        <f>MIN(Tabella01MarzoInverter[[#This Row],[Active power TX1-INV-1]:[Active power TX1-INV-12]])</f>
        <v>48.3</v>
      </c>
      <c r="R89" s="71">
        <v>46.4</v>
      </c>
      <c r="S89" s="67">
        <v>48.7</v>
      </c>
      <c r="T89" s="67">
        <v>48.1</v>
      </c>
      <c r="U89" s="67">
        <v>46.5</v>
      </c>
      <c r="V89" s="67">
        <v>47</v>
      </c>
      <c r="W89" s="67">
        <v>50.2</v>
      </c>
      <c r="X89" s="67">
        <v>47.8</v>
      </c>
      <c r="Y89" s="67">
        <v>49.6</v>
      </c>
      <c r="Z89" s="67">
        <v>49.6</v>
      </c>
      <c r="AA89" s="67">
        <v>47.4</v>
      </c>
      <c r="AB89" s="67">
        <v>49.5</v>
      </c>
      <c r="AC89" s="68">
        <v>49.7</v>
      </c>
      <c r="AD89" s="69">
        <f>IFERROR(AVERAGEIF(Tabella01MarzoInverter[[#This Row],[Active power TX2-INV-1]:[Active power TX2-INV-12]], "&gt;0"), 0)</f>
        <v>48.375</v>
      </c>
      <c r="AE89" s="67">
        <f>MAX(Tabella01MarzoInverter[[#This Row],[Active power TX2-INV-1]:[Active power TX2-INV-12]])</f>
        <v>50.2</v>
      </c>
      <c r="AF89" s="70">
        <f>MIN(Tabella01MarzoInverter[[#This Row],[Active power TX2-INV-1]:[Active power TX2-INV-12]])</f>
        <v>46.4</v>
      </c>
      <c r="AG89" s="71">
        <v>51.8</v>
      </c>
      <c r="AH89" s="67">
        <v>51</v>
      </c>
      <c r="AI89" s="67">
        <v>50.5</v>
      </c>
      <c r="AJ89" s="67">
        <v>50.6</v>
      </c>
      <c r="AK89" s="67">
        <v>50.1</v>
      </c>
      <c r="AL89" s="67">
        <v>50</v>
      </c>
      <c r="AM89" s="67">
        <v>51.1</v>
      </c>
      <c r="AN89" s="67">
        <v>49.9</v>
      </c>
      <c r="AO89" s="67">
        <v>50.6</v>
      </c>
      <c r="AP89" s="67">
        <v>50.7</v>
      </c>
      <c r="AQ89" s="67">
        <v>51.7</v>
      </c>
      <c r="AR89" s="68">
        <v>46.5</v>
      </c>
      <c r="AS89" s="69">
        <f>IFERROR(AVERAGEIF(Tabella01MarzoInverter[[#This Row],[Active power TX3-INV-1]:[Active power TX3-INV-12]], "&gt;0"), 0)</f>
        <v>50.375</v>
      </c>
      <c r="AT89" s="67">
        <f>MAX(Tabella01MarzoInverter[[#This Row],[Active power TX3-INV-1]:[Active power TX3-INV-12]])</f>
        <v>51.8</v>
      </c>
      <c r="AU89" s="70">
        <f>MIN(Tabella01MarzoInverter[[#This Row],[Active power TX3-INV-1]:[Active power TX3-INV-12]])</f>
        <v>46.5</v>
      </c>
    </row>
    <row r="90" spans="1:47" x14ac:dyDescent="0.25">
      <c r="A90" s="65">
        <v>46147</v>
      </c>
      <c r="B90" s="72" t="s">
        <v>90</v>
      </c>
      <c r="C90" s="67">
        <v>32.799999999999997</v>
      </c>
      <c r="D90" s="67">
        <v>32.4</v>
      </c>
      <c r="E90" s="67">
        <v>32.6</v>
      </c>
      <c r="F90" s="67">
        <v>32.9</v>
      </c>
      <c r="G90" s="67">
        <v>32.700000000000003</v>
      </c>
      <c r="H90" s="67">
        <v>32.6</v>
      </c>
      <c r="I90" s="67">
        <v>32.9</v>
      </c>
      <c r="J90" s="67">
        <v>34.799999999999997</v>
      </c>
      <c r="K90" s="67">
        <v>34.4</v>
      </c>
      <c r="L90" s="67">
        <v>34</v>
      </c>
      <c r="M90" s="67">
        <v>33.799999999999997</v>
      </c>
      <c r="N90" s="68">
        <v>33.200000000000003</v>
      </c>
      <c r="O90" s="69">
        <f>IFERROR(AVERAGEIF(Tabella01MarzoInverter[[#This Row],[Active power TX1-INV-1]:[Active power TX1-INV-12]], "&gt;0"), 0)</f>
        <v>33.258333333333333</v>
      </c>
      <c r="P90" s="67">
        <f>MAX(Tabella01MarzoInverter[[#This Row],[Active power TX1-INV-1]:[Active power TX1-INV-12]])</f>
        <v>34.799999999999997</v>
      </c>
      <c r="Q90" s="70">
        <f>MIN(Tabella01MarzoInverter[[#This Row],[Active power TX1-INV-1]:[Active power TX1-INV-12]])</f>
        <v>32.4</v>
      </c>
      <c r="R90" s="71">
        <v>31.1</v>
      </c>
      <c r="S90" s="67">
        <v>32.6</v>
      </c>
      <c r="T90" s="67">
        <v>32.1</v>
      </c>
      <c r="U90" s="67">
        <v>31.1</v>
      </c>
      <c r="V90" s="67">
        <v>31.3</v>
      </c>
      <c r="W90" s="67">
        <v>33.9</v>
      </c>
      <c r="X90" s="67">
        <v>32.299999999999997</v>
      </c>
      <c r="Y90" s="67">
        <v>32.4</v>
      </c>
      <c r="Z90" s="67">
        <v>33.4</v>
      </c>
      <c r="AA90" s="67">
        <v>31.9</v>
      </c>
      <c r="AB90" s="67">
        <v>33.299999999999997</v>
      </c>
      <c r="AC90" s="68">
        <v>33.5</v>
      </c>
      <c r="AD90" s="69">
        <f>IFERROR(AVERAGEIF(Tabella01MarzoInverter[[#This Row],[Active power TX2-INV-1]:[Active power TX2-INV-12]], "&gt;0"), 0)</f>
        <v>32.408333333333331</v>
      </c>
      <c r="AE90" s="67">
        <f>MAX(Tabella01MarzoInverter[[#This Row],[Active power TX2-INV-1]:[Active power TX2-INV-12]])</f>
        <v>33.9</v>
      </c>
      <c r="AF90" s="70">
        <f>MIN(Tabella01MarzoInverter[[#This Row],[Active power TX2-INV-1]:[Active power TX2-INV-12]])</f>
        <v>31.1</v>
      </c>
      <c r="AG90" s="71">
        <v>35</v>
      </c>
      <c r="AH90" s="67">
        <v>34.5</v>
      </c>
      <c r="AI90" s="67">
        <v>34.5</v>
      </c>
      <c r="AJ90" s="67">
        <v>34.5</v>
      </c>
      <c r="AK90" s="67">
        <v>34.4</v>
      </c>
      <c r="AL90" s="67">
        <v>34.299999999999997</v>
      </c>
      <c r="AM90" s="67">
        <v>34.799999999999997</v>
      </c>
      <c r="AN90" s="67">
        <v>34.1</v>
      </c>
      <c r="AO90" s="67">
        <v>34.5</v>
      </c>
      <c r="AP90" s="67">
        <v>34.5</v>
      </c>
      <c r="AQ90" s="67">
        <v>35</v>
      </c>
      <c r="AR90" s="68">
        <v>31.8</v>
      </c>
      <c r="AS90" s="69">
        <f>IFERROR(AVERAGEIF(Tabella01MarzoInverter[[#This Row],[Active power TX3-INV-1]:[Active power TX3-INV-12]], "&gt;0"), 0)</f>
        <v>34.325000000000003</v>
      </c>
      <c r="AT90" s="67">
        <f>MAX(Tabella01MarzoInverter[[#This Row],[Active power TX3-INV-1]:[Active power TX3-INV-12]])</f>
        <v>35</v>
      </c>
      <c r="AU90" s="70">
        <f>MIN(Tabella01MarzoInverter[[#This Row],[Active power TX3-INV-1]:[Active power TX3-INV-12]])</f>
        <v>31.8</v>
      </c>
    </row>
    <row r="91" spans="1:47" x14ac:dyDescent="0.25">
      <c r="A91" s="65">
        <v>46147</v>
      </c>
      <c r="B91" s="66" t="s">
        <v>91</v>
      </c>
      <c r="C91" s="67">
        <v>27.9</v>
      </c>
      <c r="D91" s="67">
        <v>27.7</v>
      </c>
      <c r="E91" s="67">
        <v>27.8</v>
      </c>
      <c r="F91" s="67">
        <v>28.2</v>
      </c>
      <c r="G91" s="67">
        <v>28</v>
      </c>
      <c r="H91" s="67">
        <v>28</v>
      </c>
      <c r="I91" s="67">
        <v>28.6</v>
      </c>
      <c r="J91" s="67">
        <v>30.3</v>
      </c>
      <c r="K91" s="67">
        <v>30</v>
      </c>
      <c r="L91" s="67">
        <v>29.6</v>
      </c>
      <c r="M91" s="67">
        <v>29.4</v>
      </c>
      <c r="N91" s="68">
        <v>28.9</v>
      </c>
      <c r="O91" s="69">
        <f>IFERROR(AVERAGEIF(Tabella01MarzoInverter[[#This Row],[Active power TX1-INV-1]:[Active power TX1-INV-12]], "&gt;0"), 0)</f>
        <v>28.7</v>
      </c>
      <c r="P91" s="67">
        <f>MAX(Tabella01MarzoInverter[[#This Row],[Active power TX1-INV-1]:[Active power TX1-INV-12]])</f>
        <v>30.3</v>
      </c>
      <c r="Q91" s="70">
        <f>MIN(Tabella01MarzoInverter[[#This Row],[Active power TX1-INV-1]:[Active power TX1-INV-12]])</f>
        <v>27.7</v>
      </c>
      <c r="R91" s="71">
        <v>26.6</v>
      </c>
      <c r="S91" s="67">
        <v>28.2</v>
      </c>
      <c r="T91" s="67">
        <v>27.6</v>
      </c>
      <c r="U91" s="67">
        <v>26.5</v>
      </c>
      <c r="V91" s="67">
        <v>26.7</v>
      </c>
      <c r="W91" s="67">
        <v>29</v>
      </c>
      <c r="X91" s="67">
        <v>27.7</v>
      </c>
      <c r="Y91" s="67">
        <v>28.6</v>
      </c>
      <c r="Z91" s="67">
        <v>28.5</v>
      </c>
      <c r="AA91" s="67">
        <v>27.2</v>
      </c>
      <c r="AB91" s="67">
        <v>28.2</v>
      </c>
      <c r="AC91" s="68">
        <v>28.5</v>
      </c>
      <c r="AD91" s="69">
        <f>IFERROR(AVERAGEIF(Tabella01MarzoInverter[[#This Row],[Active power TX2-INV-1]:[Active power TX2-INV-12]], "&gt;0"), 0)</f>
        <v>27.774999999999995</v>
      </c>
      <c r="AE91" s="67">
        <f>MAX(Tabella01MarzoInverter[[#This Row],[Active power TX2-INV-1]:[Active power TX2-INV-12]])</f>
        <v>29</v>
      </c>
      <c r="AF91" s="70">
        <f>MIN(Tabella01MarzoInverter[[#This Row],[Active power TX2-INV-1]:[Active power TX2-INV-12]])</f>
        <v>26.5</v>
      </c>
      <c r="AG91" s="71">
        <v>30.7</v>
      </c>
      <c r="AH91" s="67">
        <v>30.6</v>
      </c>
      <c r="AI91" s="67">
        <v>30.4</v>
      </c>
      <c r="AJ91" s="67">
        <v>30.3</v>
      </c>
      <c r="AK91" s="67">
        <v>30.1</v>
      </c>
      <c r="AL91" s="67">
        <v>29.7</v>
      </c>
      <c r="AM91" s="67">
        <v>30.1</v>
      </c>
      <c r="AN91" s="67">
        <v>29.6</v>
      </c>
      <c r="AO91" s="67">
        <v>30.2</v>
      </c>
      <c r="AP91" s="67">
        <v>30.6</v>
      </c>
      <c r="AQ91" s="67">
        <v>30.6</v>
      </c>
      <c r="AR91" s="68">
        <v>27.4</v>
      </c>
      <c r="AS91" s="69">
        <f>IFERROR(AVERAGEIF(Tabella01MarzoInverter[[#This Row],[Active power TX3-INV-1]:[Active power TX3-INV-12]], "&gt;0"), 0)</f>
        <v>30.025000000000002</v>
      </c>
      <c r="AT91" s="67">
        <f>MAX(Tabella01MarzoInverter[[#This Row],[Active power TX3-INV-1]:[Active power TX3-INV-12]])</f>
        <v>30.7</v>
      </c>
      <c r="AU91" s="70">
        <f>MIN(Tabella01MarzoInverter[[#This Row],[Active power TX3-INV-1]:[Active power TX3-INV-12]])</f>
        <v>27.4</v>
      </c>
    </row>
    <row r="92" spans="1:47" x14ac:dyDescent="0.25">
      <c r="A92" s="65">
        <v>46147</v>
      </c>
      <c r="B92" s="72" t="s">
        <v>92</v>
      </c>
      <c r="C92" s="67">
        <v>22</v>
      </c>
      <c r="D92" s="67">
        <v>21.8</v>
      </c>
      <c r="E92" s="67">
        <v>21.9</v>
      </c>
      <c r="F92" s="67">
        <v>22.3</v>
      </c>
      <c r="G92" s="67">
        <v>22.1</v>
      </c>
      <c r="H92" s="67">
        <v>22.2</v>
      </c>
      <c r="I92" s="67">
        <v>22.6</v>
      </c>
      <c r="J92" s="67">
        <v>23.8</v>
      </c>
      <c r="K92" s="67">
        <v>23.5</v>
      </c>
      <c r="L92" s="67">
        <v>23.2</v>
      </c>
      <c r="M92" s="67">
        <v>23.1</v>
      </c>
      <c r="N92" s="68">
        <v>22.7</v>
      </c>
      <c r="O92" s="69">
        <f>IFERROR(AVERAGEIF(Tabella01MarzoInverter[[#This Row],[Active power TX1-INV-1]:[Active power TX1-INV-12]], "&gt;0"), 0)</f>
        <v>22.599999999999998</v>
      </c>
      <c r="P92" s="67">
        <f>MAX(Tabella01MarzoInverter[[#This Row],[Active power TX1-INV-1]:[Active power TX1-INV-12]])</f>
        <v>23.8</v>
      </c>
      <c r="Q92" s="70">
        <f>MIN(Tabella01MarzoInverter[[#This Row],[Active power TX1-INV-1]:[Active power TX1-INV-12]])</f>
        <v>21.8</v>
      </c>
      <c r="R92" s="71">
        <v>21</v>
      </c>
      <c r="S92" s="67">
        <v>22.2</v>
      </c>
      <c r="T92" s="67">
        <v>21.8</v>
      </c>
      <c r="U92" s="67">
        <v>20.9</v>
      </c>
      <c r="V92" s="67">
        <v>21</v>
      </c>
      <c r="W92" s="67">
        <v>22.8</v>
      </c>
      <c r="X92" s="67">
        <v>21.7</v>
      </c>
      <c r="Y92" s="67">
        <v>22.4</v>
      </c>
      <c r="Z92" s="67">
        <v>22.3</v>
      </c>
      <c r="AA92" s="67">
        <v>21.2</v>
      </c>
      <c r="AB92" s="67">
        <v>21.9</v>
      </c>
      <c r="AC92" s="68">
        <v>22.2</v>
      </c>
      <c r="AD92" s="69">
        <f>IFERROR(AVERAGEIF(Tabella01MarzoInverter[[#This Row],[Active power TX2-INV-1]:[Active power TX2-INV-12]], "&gt;0"), 0)</f>
        <v>21.783333333333335</v>
      </c>
      <c r="AE92" s="67">
        <f>MAX(Tabella01MarzoInverter[[#This Row],[Active power TX2-INV-1]:[Active power TX2-INV-12]])</f>
        <v>22.8</v>
      </c>
      <c r="AF92" s="70">
        <f>MIN(Tabella01MarzoInverter[[#This Row],[Active power TX2-INV-1]:[Active power TX2-INV-12]])</f>
        <v>20.9</v>
      </c>
      <c r="AG92" s="71">
        <v>24.1</v>
      </c>
      <c r="AH92" s="67">
        <v>24</v>
      </c>
      <c r="AI92" s="67">
        <v>23.1</v>
      </c>
      <c r="AJ92" s="67">
        <v>23.8</v>
      </c>
      <c r="AK92" s="67">
        <v>23.7</v>
      </c>
      <c r="AL92" s="67">
        <v>23.2</v>
      </c>
      <c r="AM92" s="67">
        <v>23.6</v>
      </c>
      <c r="AN92" s="67">
        <v>23.2</v>
      </c>
      <c r="AO92" s="67">
        <v>23.7</v>
      </c>
      <c r="AP92" s="67">
        <v>24.1</v>
      </c>
      <c r="AQ92" s="67">
        <v>24</v>
      </c>
      <c r="AR92" s="68">
        <v>21.5</v>
      </c>
      <c r="AS92" s="69">
        <f>IFERROR(AVERAGEIF(Tabella01MarzoInverter[[#This Row],[Active power TX3-INV-1]:[Active power TX3-INV-12]], "&gt;0"), 0)</f>
        <v>23.5</v>
      </c>
      <c r="AT92" s="67">
        <f>MAX(Tabella01MarzoInverter[[#This Row],[Active power TX3-INV-1]:[Active power TX3-INV-12]])</f>
        <v>24.1</v>
      </c>
      <c r="AU92" s="70">
        <f>MIN(Tabella01MarzoInverter[[#This Row],[Active power TX3-INV-1]:[Active power TX3-INV-12]])</f>
        <v>21.5</v>
      </c>
    </row>
    <row r="93" spans="1:47" x14ac:dyDescent="0.25">
      <c r="A93" s="65">
        <v>46147</v>
      </c>
      <c r="B93" s="66" t="s">
        <v>93</v>
      </c>
      <c r="C93" s="67">
        <v>14.1</v>
      </c>
      <c r="D93" s="67">
        <v>13.9</v>
      </c>
      <c r="E93" s="67">
        <v>14.1</v>
      </c>
      <c r="F93" s="67">
        <v>14.3</v>
      </c>
      <c r="G93" s="67">
        <v>14.2</v>
      </c>
      <c r="H93" s="67">
        <v>14.3</v>
      </c>
      <c r="I93" s="67">
        <v>14.4</v>
      </c>
      <c r="J93" s="67">
        <v>15.2</v>
      </c>
      <c r="K93" s="67">
        <v>15.1</v>
      </c>
      <c r="L93" s="67">
        <v>14.9</v>
      </c>
      <c r="M93" s="67">
        <v>14.8</v>
      </c>
      <c r="N93" s="68">
        <v>14.6</v>
      </c>
      <c r="O93" s="69">
        <f>IFERROR(AVERAGEIF(Tabella01MarzoInverter[[#This Row],[Active power TX1-INV-1]:[Active power TX1-INV-12]], "&gt;0"), 0)</f>
        <v>14.491666666666669</v>
      </c>
      <c r="P93" s="67">
        <f>MAX(Tabella01MarzoInverter[[#This Row],[Active power TX1-INV-1]:[Active power TX1-INV-12]])</f>
        <v>15.2</v>
      </c>
      <c r="Q93" s="70">
        <f>MIN(Tabella01MarzoInverter[[#This Row],[Active power TX1-INV-1]:[Active power TX1-INV-12]])</f>
        <v>13.9</v>
      </c>
      <c r="R93" s="71">
        <v>13.4</v>
      </c>
      <c r="S93" s="67">
        <v>14.2</v>
      </c>
      <c r="T93" s="67">
        <v>13.9</v>
      </c>
      <c r="U93" s="67">
        <v>13.4</v>
      </c>
      <c r="V93" s="67">
        <v>13.4</v>
      </c>
      <c r="W93" s="67">
        <v>14.7</v>
      </c>
      <c r="X93" s="67">
        <v>14</v>
      </c>
      <c r="Y93" s="67">
        <v>14.5</v>
      </c>
      <c r="Z93" s="67">
        <v>14.5</v>
      </c>
      <c r="AA93" s="67">
        <v>13.8</v>
      </c>
      <c r="AB93" s="67">
        <v>14</v>
      </c>
      <c r="AC93" s="68">
        <v>14.5</v>
      </c>
      <c r="AD93" s="69">
        <f>IFERROR(AVERAGEIF(Tabella01MarzoInverter[[#This Row],[Active power TX2-INV-1]:[Active power TX2-INV-12]], "&gt;0"), 0)</f>
        <v>14.025</v>
      </c>
      <c r="AE93" s="67">
        <f>MAX(Tabella01MarzoInverter[[#This Row],[Active power TX2-INV-1]:[Active power TX2-INV-12]])</f>
        <v>14.7</v>
      </c>
      <c r="AF93" s="70">
        <f>MIN(Tabella01MarzoInverter[[#This Row],[Active power TX2-INV-1]:[Active power TX2-INV-12]])</f>
        <v>13.4</v>
      </c>
      <c r="AG93" s="71">
        <v>15.4</v>
      </c>
      <c r="AH93" s="67">
        <v>15.3</v>
      </c>
      <c r="AI93" s="67">
        <v>15.4</v>
      </c>
      <c r="AJ93" s="67">
        <v>15.3</v>
      </c>
      <c r="AK93" s="67">
        <v>15.2</v>
      </c>
      <c r="AL93" s="67">
        <v>14.9</v>
      </c>
      <c r="AM93" s="67">
        <v>15.1</v>
      </c>
      <c r="AN93" s="67">
        <v>14.9</v>
      </c>
      <c r="AO93" s="67">
        <v>15.3</v>
      </c>
      <c r="AP93" s="67">
        <v>15.5</v>
      </c>
      <c r="AQ93" s="67">
        <v>15.5</v>
      </c>
      <c r="AR93" s="68">
        <v>13.8</v>
      </c>
      <c r="AS93" s="69">
        <f>IFERROR(AVERAGEIF(Tabella01MarzoInverter[[#This Row],[Active power TX3-INV-1]:[Active power TX3-INV-12]], "&gt;0"), 0)</f>
        <v>15.133333333333335</v>
      </c>
      <c r="AT93" s="67">
        <f>MAX(Tabella01MarzoInverter[[#This Row],[Active power TX3-INV-1]:[Active power TX3-INV-12]])</f>
        <v>15.5</v>
      </c>
      <c r="AU93" s="70">
        <f>MIN(Tabella01MarzoInverter[[#This Row],[Active power TX3-INV-1]:[Active power TX3-INV-12]])</f>
        <v>13.8</v>
      </c>
    </row>
    <row r="94" spans="1:47" x14ac:dyDescent="0.25">
      <c r="A94" s="65">
        <v>46147</v>
      </c>
      <c r="B94" s="72" t="s">
        <v>94</v>
      </c>
      <c r="C94" s="67">
        <v>5.5</v>
      </c>
      <c r="D94" s="67">
        <v>5.4</v>
      </c>
      <c r="E94" s="67">
        <v>5.5</v>
      </c>
      <c r="F94" s="67">
        <v>5.6</v>
      </c>
      <c r="G94" s="67">
        <v>5.5</v>
      </c>
      <c r="H94" s="67">
        <v>5.7</v>
      </c>
      <c r="I94" s="67">
        <v>5.6</v>
      </c>
      <c r="J94" s="67">
        <v>5.8</v>
      </c>
      <c r="K94" s="67">
        <v>5.8</v>
      </c>
      <c r="L94" s="67">
        <v>5.8</v>
      </c>
      <c r="M94" s="67">
        <v>5.7</v>
      </c>
      <c r="N94" s="68">
        <v>5.6</v>
      </c>
      <c r="O94" s="69">
        <f>IFERROR(AVERAGEIF(Tabella01MarzoInverter[[#This Row],[Active power TX1-INV-1]:[Active power TX1-INV-12]], "&gt;0"), 0)</f>
        <v>5.625</v>
      </c>
      <c r="P94" s="67">
        <f>MAX(Tabella01MarzoInverter[[#This Row],[Active power TX1-INV-1]:[Active power TX1-INV-12]])</f>
        <v>5.8</v>
      </c>
      <c r="Q94" s="70">
        <f>MIN(Tabella01MarzoInverter[[#This Row],[Active power TX1-INV-1]:[Active power TX1-INV-12]])</f>
        <v>5.4</v>
      </c>
      <c r="R94" s="71">
        <v>5.2</v>
      </c>
      <c r="S94" s="67">
        <v>5.5</v>
      </c>
      <c r="T94" s="67">
        <v>5.5</v>
      </c>
      <c r="U94" s="67">
        <v>5.3</v>
      </c>
      <c r="V94" s="67">
        <v>5.3</v>
      </c>
      <c r="W94" s="67">
        <v>5.8</v>
      </c>
      <c r="X94" s="67">
        <v>5.6</v>
      </c>
      <c r="Y94" s="67">
        <v>5.8</v>
      </c>
      <c r="Z94" s="67">
        <v>5.9</v>
      </c>
      <c r="AA94" s="67">
        <v>5.5</v>
      </c>
      <c r="AB94" s="67">
        <v>5.9</v>
      </c>
      <c r="AC94" s="68">
        <v>5.9</v>
      </c>
      <c r="AD94" s="69">
        <f>IFERROR(AVERAGEIF(Tabella01MarzoInverter[[#This Row],[Active power TX2-INV-1]:[Active power TX2-INV-12]], "&gt;0"), 0)</f>
        <v>5.6000000000000005</v>
      </c>
      <c r="AE94" s="67">
        <f>MAX(Tabella01MarzoInverter[[#This Row],[Active power TX2-INV-1]:[Active power TX2-INV-12]])</f>
        <v>5.9</v>
      </c>
      <c r="AF94" s="70">
        <f>MIN(Tabella01MarzoInverter[[#This Row],[Active power TX2-INV-1]:[Active power TX2-INV-12]])</f>
        <v>5.2</v>
      </c>
      <c r="AG94" s="71">
        <v>5.9</v>
      </c>
      <c r="AH94" s="67">
        <v>5.7</v>
      </c>
      <c r="AI94" s="67">
        <v>5.9</v>
      </c>
      <c r="AJ94" s="67">
        <v>5.8</v>
      </c>
      <c r="AK94" s="67">
        <v>5.8</v>
      </c>
      <c r="AL94" s="67">
        <v>5.7</v>
      </c>
      <c r="AM94" s="67">
        <v>5.7</v>
      </c>
      <c r="AN94" s="67">
        <v>5.7</v>
      </c>
      <c r="AO94" s="67">
        <v>5.9</v>
      </c>
      <c r="AP94" s="67">
        <v>5.9</v>
      </c>
      <c r="AQ94" s="67">
        <v>5.9</v>
      </c>
      <c r="AR94" s="68">
        <v>5.3</v>
      </c>
      <c r="AS94" s="69">
        <f>IFERROR(AVERAGEIF(Tabella01MarzoInverter[[#This Row],[Active power TX3-INV-1]:[Active power TX3-INV-12]], "&gt;0"), 0)</f>
        <v>5.7666666666666666</v>
      </c>
      <c r="AT94" s="67">
        <f>MAX(Tabella01MarzoInverter[[#This Row],[Active power TX3-INV-1]:[Active power TX3-INV-12]])</f>
        <v>5.9</v>
      </c>
      <c r="AU94" s="70">
        <f>MIN(Tabella01MarzoInverter[[#This Row],[Active power TX3-INV-1]:[Active power TX3-INV-12]])</f>
        <v>5.3</v>
      </c>
    </row>
    <row r="95" spans="1:47" x14ac:dyDescent="0.25">
      <c r="A95" s="65">
        <v>46147</v>
      </c>
      <c r="B95" s="66" t="s">
        <v>95</v>
      </c>
      <c r="C95" s="67">
        <v>1.6</v>
      </c>
      <c r="D95" s="67">
        <v>1.3</v>
      </c>
      <c r="E95" s="67">
        <v>1.6</v>
      </c>
      <c r="F95" s="67">
        <v>1.7</v>
      </c>
      <c r="G95" s="67">
        <v>1.5</v>
      </c>
      <c r="H95" s="67">
        <v>1.7</v>
      </c>
      <c r="I95" s="67">
        <v>1.7</v>
      </c>
      <c r="J95" s="67">
        <v>1.7</v>
      </c>
      <c r="K95" s="67">
        <v>1.8</v>
      </c>
      <c r="L95" s="67">
        <v>1.8</v>
      </c>
      <c r="M95" s="67">
        <v>1.7</v>
      </c>
      <c r="N95" s="68">
        <v>1.6</v>
      </c>
      <c r="O95" s="69">
        <f>IFERROR(AVERAGEIF(Tabella01MarzoInverter[[#This Row],[Active power TX1-INV-1]:[Active power TX1-INV-12]], "&gt;0"), 0)</f>
        <v>1.6416666666666666</v>
      </c>
      <c r="P95" s="67">
        <f>MAX(Tabella01MarzoInverter[[#This Row],[Active power TX1-INV-1]:[Active power TX1-INV-12]])</f>
        <v>1.8</v>
      </c>
      <c r="Q95" s="70">
        <f>MIN(Tabella01MarzoInverter[[#This Row],[Active power TX1-INV-1]:[Active power TX1-INV-12]])</f>
        <v>1.3</v>
      </c>
      <c r="R95" s="71">
        <v>1.6</v>
      </c>
      <c r="S95" s="67">
        <v>1.6</v>
      </c>
      <c r="T95" s="67">
        <v>1.4</v>
      </c>
      <c r="U95" s="67">
        <v>1.6</v>
      </c>
      <c r="V95" s="67">
        <v>1.5</v>
      </c>
      <c r="W95" s="67">
        <v>1.7</v>
      </c>
      <c r="X95" s="67">
        <v>1.7</v>
      </c>
      <c r="Y95" s="67">
        <v>1.5</v>
      </c>
      <c r="Z95" s="67">
        <v>1.8</v>
      </c>
      <c r="AA95" s="67">
        <v>1.7</v>
      </c>
      <c r="AB95" s="67">
        <v>1.7</v>
      </c>
      <c r="AC95" s="68">
        <v>1.6</v>
      </c>
      <c r="AD95" s="69">
        <f>IFERROR(AVERAGEIF(Tabella01MarzoInverter[[#This Row],[Active power TX2-INV-1]:[Active power TX2-INV-12]], "&gt;0"), 0)</f>
        <v>1.6166666666666665</v>
      </c>
      <c r="AE95" s="67">
        <f>MAX(Tabella01MarzoInverter[[#This Row],[Active power TX2-INV-1]:[Active power TX2-INV-12]])</f>
        <v>1.8</v>
      </c>
      <c r="AF95" s="70">
        <f>MIN(Tabella01MarzoInverter[[#This Row],[Active power TX2-INV-1]:[Active power TX2-INV-12]])</f>
        <v>1.4</v>
      </c>
      <c r="AG95" s="71">
        <v>1.6</v>
      </c>
      <c r="AH95" s="67">
        <v>1.6</v>
      </c>
      <c r="AI95" s="67">
        <v>1.7</v>
      </c>
      <c r="AJ95" s="67">
        <v>1.7</v>
      </c>
      <c r="AK95" s="67">
        <v>1.7</v>
      </c>
      <c r="AL95" s="67">
        <v>1.7</v>
      </c>
      <c r="AM95" s="67">
        <v>1.6</v>
      </c>
      <c r="AN95" s="67">
        <v>1.7</v>
      </c>
      <c r="AO95" s="67">
        <v>1.8</v>
      </c>
      <c r="AP95" s="67">
        <v>1.8</v>
      </c>
      <c r="AQ95" s="67">
        <v>1.8</v>
      </c>
      <c r="AR95" s="68">
        <v>1.5</v>
      </c>
      <c r="AS95" s="69">
        <f>IFERROR(AVERAGEIF(Tabella01MarzoInverter[[#This Row],[Active power TX3-INV-1]:[Active power TX3-INV-12]], "&gt;0"), 0)</f>
        <v>1.6833333333333333</v>
      </c>
      <c r="AT95" s="67">
        <f>MAX(Tabella01MarzoInverter[[#This Row],[Active power TX3-INV-1]:[Active power TX3-INV-12]])</f>
        <v>1.8</v>
      </c>
      <c r="AU95" s="70">
        <f>MIN(Tabella01MarzoInverter[[#This Row],[Active power TX3-INV-1]:[Active power TX3-INV-12]])</f>
        <v>1.5</v>
      </c>
    </row>
    <row r="96" spans="1:47" x14ac:dyDescent="0.25">
      <c r="A96" s="65">
        <v>46147</v>
      </c>
      <c r="B96" s="72" t="s">
        <v>96</v>
      </c>
      <c r="C96" s="67">
        <v>0.1</v>
      </c>
      <c r="D96" s="67">
        <v>0.1</v>
      </c>
      <c r="E96" s="67">
        <v>0.2</v>
      </c>
      <c r="F96" s="67">
        <v>0.3</v>
      </c>
      <c r="G96" s="67">
        <v>0.4</v>
      </c>
      <c r="H96" s="67">
        <v>0.2</v>
      </c>
      <c r="I96" s="67">
        <v>0.3</v>
      </c>
      <c r="J96" s="67">
        <v>0.3</v>
      </c>
      <c r="K96" s="67">
        <v>0.4</v>
      </c>
      <c r="L96" s="67">
        <v>0.2</v>
      </c>
      <c r="M96" s="67">
        <v>0.1</v>
      </c>
      <c r="N96" s="68">
        <v>0.5</v>
      </c>
      <c r="O96" s="69">
        <f>IFERROR(AVERAGEIF(Tabella01MarzoInverter[[#This Row],[Active power TX1-INV-1]:[Active power TX1-INV-12]], "&gt;0"), 0)</f>
        <v>0.25833333333333336</v>
      </c>
      <c r="P96" s="67">
        <f>MAX(Tabella01MarzoInverter[[#This Row],[Active power TX1-INV-1]:[Active power TX1-INV-12]])</f>
        <v>0.5</v>
      </c>
      <c r="Q96" s="70">
        <f>MIN(Tabella01MarzoInverter[[#This Row],[Active power TX1-INV-1]:[Active power TX1-INV-12]])</f>
        <v>0.1</v>
      </c>
      <c r="R96" s="71">
        <v>0.2</v>
      </c>
      <c r="S96" s="67">
        <v>0.3</v>
      </c>
      <c r="T96" s="67">
        <v>0.7</v>
      </c>
      <c r="U96" s="67">
        <v>0.3</v>
      </c>
      <c r="V96" s="67">
        <v>0.6</v>
      </c>
      <c r="W96" s="67">
        <v>0.3</v>
      </c>
      <c r="X96" s="67">
        <v>0.4</v>
      </c>
      <c r="Y96" s="67">
        <v>0.4</v>
      </c>
      <c r="Z96" s="67">
        <v>0.4</v>
      </c>
      <c r="AA96" s="67">
        <v>0.3</v>
      </c>
      <c r="AB96" s="67">
        <v>0.1</v>
      </c>
      <c r="AC96" s="68">
        <v>0.5</v>
      </c>
      <c r="AD96" s="69">
        <f>IFERROR(AVERAGEIF(Tabella01MarzoInverter[[#This Row],[Active power TX2-INV-1]:[Active power TX2-INV-12]], "&gt;0"), 0)</f>
        <v>0.375</v>
      </c>
      <c r="AE96" s="67">
        <f>MAX(Tabella01MarzoInverter[[#This Row],[Active power TX2-INV-1]:[Active power TX2-INV-12]])</f>
        <v>0.7</v>
      </c>
      <c r="AF96" s="70">
        <f>MIN(Tabella01MarzoInverter[[#This Row],[Active power TX2-INV-1]:[Active power TX2-INV-12]])</f>
        <v>0.1</v>
      </c>
      <c r="AG96" s="71">
        <v>0.8</v>
      </c>
      <c r="AH96" s="67">
        <v>0.5</v>
      </c>
      <c r="AI96" s="67">
        <v>0.4</v>
      </c>
      <c r="AJ96" s="67">
        <v>0.3</v>
      </c>
      <c r="AK96" s="67">
        <v>0.4</v>
      </c>
      <c r="AL96" s="67">
        <v>0.4</v>
      </c>
      <c r="AM96" s="67">
        <v>0.3</v>
      </c>
      <c r="AN96" s="67">
        <v>0.4</v>
      </c>
      <c r="AO96" s="67">
        <v>0.3</v>
      </c>
      <c r="AP96" s="67">
        <v>0.4</v>
      </c>
      <c r="AQ96" s="67">
        <v>0.5</v>
      </c>
      <c r="AR96" s="68">
        <v>0.3</v>
      </c>
      <c r="AS96" s="69">
        <f>IFERROR(AVERAGEIF(Tabella01MarzoInverter[[#This Row],[Active power TX3-INV-1]:[Active power TX3-INV-12]], "&gt;0"), 0)</f>
        <v>0.41666666666666657</v>
      </c>
      <c r="AT96" s="67">
        <f>MAX(Tabella01MarzoInverter[[#This Row],[Active power TX3-INV-1]:[Active power TX3-INV-12]])</f>
        <v>0.8</v>
      </c>
      <c r="AU96" s="70">
        <f>MIN(Tabella01MarzoInverter[[#This Row],[Active power TX3-INV-1]:[Active power TX3-INV-12]])</f>
        <v>0.3</v>
      </c>
    </row>
    <row r="97" spans="1:47" x14ac:dyDescent="0.25">
      <c r="A97" s="65">
        <v>46147</v>
      </c>
      <c r="B97" s="66" t="s">
        <v>97</v>
      </c>
      <c r="C97" s="67">
        <v>0.1</v>
      </c>
      <c r="D97" s="67">
        <v>0.1</v>
      </c>
      <c r="E97" s="67">
        <v>0.1</v>
      </c>
      <c r="F97" s="67">
        <v>0.1</v>
      </c>
      <c r="G97" s="67">
        <v>0.7</v>
      </c>
      <c r="H97" s="67">
        <v>0.1</v>
      </c>
      <c r="I97" s="67">
        <v>0.1</v>
      </c>
      <c r="J97" s="67">
        <v>0.1</v>
      </c>
      <c r="K97" s="67">
        <v>0.1</v>
      </c>
      <c r="L97" s="67">
        <v>0.1</v>
      </c>
      <c r="M97" s="67">
        <v>0.1</v>
      </c>
      <c r="N97" s="68">
        <v>0.2</v>
      </c>
      <c r="O97" s="69">
        <f>IFERROR(AVERAGEIF(Tabella01MarzoInverter[[#This Row],[Active power TX1-INV-1]:[Active power TX1-INV-12]], "&gt;0"), 0)</f>
        <v>0.15833333333333338</v>
      </c>
      <c r="P97" s="67">
        <f>MAX(Tabella01MarzoInverter[[#This Row],[Active power TX1-INV-1]:[Active power TX1-INV-12]])</f>
        <v>0.7</v>
      </c>
      <c r="Q97" s="70">
        <f>MIN(Tabella01MarzoInverter[[#This Row],[Active power TX1-INV-1]:[Active power TX1-INV-12]])</f>
        <v>0.1</v>
      </c>
      <c r="R97" s="71">
        <v>0.1</v>
      </c>
      <c r="S97" s="67">
        <v>0.1</v>
      </c>
      <c r="T97" s="67">
        <v>0.7</v>
      </c>
      <c r="U97" s="67">
        <v>0.1</v>
      </c>
      <c r="V97" s="67">
        <v>0.4</v>
      </c>
      <c r="W97" s="67">
        <v>0.1</v>
      </c>
      <c r="X97" s="67">
        <v>0.1</v>
      </c>
      <c r="Y97" s="67">
        <v>0.7</v>
      </c>
      <c r="Z97" s="67">
        <v>0.1</v>
      </c>
      <c r="AA97" s="67">
        <v>0.1</v>
      </c>
      <c r="AB97" s="67">
        <v>0.1</v>
      </c>
      <c r="AC97" s="68">
        <v>0.9</v>
      </c>
      <c r="AD97" s="69">
        <f>IFERROR(AVERAGEIF(Tabella01MarzoInverter[[#This Row],[Active power TX2-INV-1]:[Active power TX2-INV-12]], "&gt;0"), 0)</f>
        <v>0.29166666666666669</v>
      </c>
      <c r="AE97" s="67">
        <f>MAX(Tabella01MarzoInverter[[#This Row],[Active power TX2-INV-1]:[Active power TX2-INV-12]])</f>
        <v>0.9</v>
      </c>
      <c r="AF97" s="70">
        <f>MIN(Tabella01MarzoInverter[[#This Row],[Active power TX2-INV-1]:[Active power TX2-INV-12]])</f>
        <v>0.1</v>
      </c>
      <c r="AG97" s="71">
        <v>0.5</v>
      </c>
      <c r="AH97" s="67">
        <v>0.1</v>
      </c>
      <c r="AI97" s="67">
        <v>0.1</v>
      </c>
      <c r="AJ97" s="67">
        <v>0.1</v>
      </c>
      <c r="AK97" s="67">
        <v>0.1</v>
      </c>
      <c r="AL97" s="67">
        <v>0.1</v>
      </c>
      <c r="AM97" s="67">
        <v>0.1</v>
      </c>
      <c r="AN97" s="67">
        <v>0.1</v>
      </c>
      <c r="AO97" s="67">
        <v>0.1</v>
      </c>
      <c r="AP97" s="67">
        <v>0.1</v>
      </c>
      <c r="AQ97" s="67">
        <v>0.1</v>
      </c>
      <c r="AR97" s="68">
        <v>0.1</v>
      </c>
      <c r="AS97" s="69">
        <f>IFERROR(AVERAGEIF(Tabella01MarzoInverter[[#This Row],[Active power TX3-INV-1]:[Active power TX3-INV-12]], "&gt;0"), 0)</f>
        <v>0.13333333333333336</v>
      </c>
      <c r="AT97" s="67">
        <f>MAX(Tabella01MarzoInverter[[#This Row],[Active power TX3-INV-1]:[Active power TX3-INV-12]])</f>
        <v>0.5</v>
      </c>
      <c r="AU97" s="70">
        <f>MIN(Tabella01MarzoInverter[[#This Row],[Active power TX3-INV-1]:[Active power TX3-INV-12]])</f>
        <v>0.1</v>
      </c>
    </row>
    <row r="98" spans="1:47" x14ac:dyDescent="0.25">
      <c r="A98" s="65">
        <v>46147</v>
      </c>
      <c r="B98" s="72" t="s">
        <v>98</v>
      </c>
      <c r="C98" s="67">
        <v>0</v>
      </c>
      <c r="D98" s="67">
        <v>0</v>
      </c>
      <c r="E98" s="67">
        <v>0</v>
      </c>
      <c r="F98" s="67">
        <v>0</v>
      </c>
      <c r="G98" s="67">
        <v>0.2</v>
      </c>
      <c r="H98" s="67">
        <v>0</v>
      </c>
      <c r="I98" s="67">
        <v>0</v>
      </c>
      <c r="J98" s="67">
        <v>0</v>
      </c>
      <c r="K98" s="67">
        <v>0</v>
      </c>
      <c r="L98" s="67">
        <v>0</v>
      </c>
      <c r="M98" s="67">
        <v>0</v>
      </c>
      <c r="N98" s="68">
        <v>0</v>
      </c>
      <c r="O98" s="69">
        <f>IFERROR(AVERAGEIF(Tabella01MarzoInverter[[#This Row],[Active power TX1-INV-1]:[Active power TX1-INV-12]], "&gt;0"), 0)</f>
        <v>0.2</v>
      </c>
      <c r="P98" s="67">
        <f>MAX(Tabella01MarzoInverter[[#This Row],[Active power TX1-INV-1]:[Active power TX1-INV-12]])</f>
        <v>0.2</v>
      </c>
      <c r="Q98" s="70">
        <f>MIN(Tabella01MarzoInverter[[#This Row],[Active power TX1-INV-1]:[Active power TX1-INV-12]])</f>
        <v>0</v>
      </c>
      <c r="R98" s="71">
        <v>0</v>
      </c>
      <c r="S98" s="67">
        <v>0</v>
      </c>
      <c r="T98" s="67">
        <v>0.3</v>
      </c>
      <c r="U98" s="67">
        <v>0</v>
      </c>
      <c r="V98" s="67">
        <v>0.2</v>
      </c>
      <c r="W98" s="67">
        <v>0</v>
      </c>
      <c r="X98" s="67">
        <v>0</v>
      </c>
      <c r="Y98" s="67">
        <v>0.2</v>
      </c>
      <c r="Z98" s="67">
        <v>0</v>
      </c>
      <c r="AA98" s="67">
        <v>0</v>
      </c>
      <c r="AB98" s="67">
        <v>0</v>
      </c>
      <c r="AC98" s="68">
        <v>0.4</v>
      </c>
      <c r="AD98" s="69">
        <f>IFERROR(AVERAGEIF(Tabella01MarzoInverter[[#This Row],[Active power TX2-INV-1]:[Active power TX2-INV-12]], "&gt;0"), 0)</f>
        <v>0.27500000000000002</v>
      </c>
      <c r="AE98" s="67">
        <f>MAX(Tabella01MarzoInverter[[#This Row],[Active power TX2-INV-1]:[Active power TX2-INV-12]])</f>
        <v>0.4</v>
      </c>
      <c r="AF98" s="70">
        <f>MIN(Tabella01MarzoInverter[[#This Row],[Active power TX2-INV-1]:[Active power TX2-INV-12]])</f>
        <v>0</v>
      </c>
      <c r="AG98" s="71">
        <v>0.1</v>
      </c>
      <c r="AH98" s="67">
        <v>0</v>
      </c>
      <c r="AI98" s="67">
        <v>0</v>
      </c>
      <c r="AJ98" s="67">
        <v>0</v>
      </c>
      <c r="AK98" s="67">
        <v>0</v>
      </c>
      <c r="AL98" s="67">
        <v>0</v>
      </c>
      <c r="AM98" s="67">
        <v>0</v>
      </c>
      <c r="AN98" s="67">
        <v>0</v>
      </c>
      <c r="AO98" s="67">
        <v>0</v>
      </c>
      <c r="AP98" s="67">
        <v>0</v>
      </c>
      <c r="AQ98" s="67">
        <v>0</v>
      </c>
      <c r="AR98" s="68">
        <v>0</v>
      </c>
      <c r="AS98" s="69">
        <f>IFERROR(AVERAGEIF(Tabella01MarzoInverter[[#This Row],[Active power TX3-INV-1]:[Active power TX3-INV-12]], "&gt;0"), 0)</f>
        <v>0.1</v>
      </c>
      <c r="AT98" s="67">
        <f>MAX(Tabella01MarzoInverter[[#This Row],[Active power TX3-INV-1]:[Active power TX3-INV-12]])</f>
        <v>0.1</v>
      </c>
      <c r="AU98" s="70">
        <f>MIN(Tabella01MarzoInverter[[#This Row],[Active power TX3-INV-1]:[Active power TX3-INV-12]])</f>
        <v>0</v>
      </c>
    </row>
    <row r="99" spans="1:47" x14ac:dyDescent="0.25">
      <c r="A99" s="65">
        <v>46147</v>
      </c>
      <c r="B99" s="66" t="s">
        <v>99</v>
      </c>
      <c r="C99" s="67">
        <v>0</v>
      </c>
      <c r="D99" s="67">
        <v>0</v>
      </c>
      <c r="E99" s="67">
        <v>0</v>
      </c>
      <c r="F99" s="67">
        <v>0</v>
      </c>
      <c r="G99" s="67">
        <v>0.1</v>
      </c>
      <c r="H99" s="67">
        <v>0</v>
      </c>
      <c r="I99" s="67">
        <v>0</v>
      </c>
      <c r="J99" s="67">
        <v>0</v>
      </c>
      <c r="K99" s="67">
        <v>0</v>
      </c>
      <c r="L99" s="67">
        <v>0</v>
      </c>
      <c r="M99" s="67">
        <v>0</v>
      </c>
      <c r="N99" s="68">
        <v>0</v>
      </c>
      <c r="O99" s="69">
        <f>IFERROR(AVERAGEIF(Tabella01MarzoInverter[[#This Row],[Active power TX1-INV-1]:[Active power TX1-INV-12]], "&gt;0"), 0)</f>
        <v>0.1</v>
      </c>
      <c r="P99" s="67">
        <f>MAX(Tabella01MarzoInverter[[#This Row],[Active power TX1-INV-1]:[Active power TX1-INV-12]])</f>
        <v>0.1</v>
      </c>
      <c r="Q99" s="70">
        <f>MIN(Tabella01MarzoInverter[[#This Row],[Active power TX1-INV-1]:[Active power TX1-INV-12]])</f>
        <v>0</v>
      </c>
      <c r="R99" s="71">
        <v>0</v>
      </c>
      <c r="S99" s="67">
        <v>0</v>
      </c>
      <c r="T99" s="67">
        <v>0.1</v>
      </c>
      <c r="U99" s="67">
        <v>0</v>
      </c>
      <c r="V99" s="67">
        <v>0.1</v>
      </c>
      <c r="W99" s="67">
        <v>0</v>
      </c>
      <c r="X99" s="67">
        <v>0</v>
      </c>
      <c r="Y99" s="67">
        <v>0.1</v>
      </c>
      <c r="Z99" s="67">
        <v>0</v>
      </c>
      <c r="AA99" s="67">
        <v>0</v>
      </c>
      <c r="AB99" s="67">
        <v>0</v>
      </c>
      <c r="AC99" s="68">
        <v>0.2</v>
      </c>
      <c r="AD99" s="69">
        <f>IFERROR(AVERAGEIF(Tabella01MarzoInverter[[#This Row],[Active power TX2-INV-1]:[Active power TX2-INV-12]], "&gt;0"), 0)</f>
        <v>0.125</v>
      </c>
      <c r="AE99" s="67">
        <f>MAX(Tabella01MarzoInverter[[#This Row],[Active power TX2-INV-1]:[Active power TX2-INV-12]])</f>
        <v>0.2</v>
      </c>
      <c r="AF99" s="70">
        <f>MIN(Tabella01MarzoInverter[[#This Row],[Active power TX2-INV-1]:[Active power TX2-INV-12]])</f>
        <v>0</v>
      </c>
      <c r="AG99" s="71">
        <v>0.1</v>
      </c>
      <c r="AH99" s="67">
        <v>0</v>
      </c>
      <c r="AI99" s="67">
        <v>0</v>
      </c>
      <c r="AJ99" s="67">
        <v>0</v>
      </c>
      <c r="AK99" s="67">
        <v>0</v>
      </c>
      <c r="AL99" s="67">
        <v>0</v>
      </c>
      <c r="AM99" s="67">
        <v>0</v>
      </c>
      <c r="AN99" s="67">
        <v>0</v>
      </c>
      <c r="AO99" s="67">
        <v>0</v>
      </c>
      <c r="AP99" s="67">
        <v>0</v>
      </c>
      <c r="AQ99" s="67">
        <v>0</v>
      </c>
      <c r="AR99" s="68">
        <v>0</v>
      </c>
      <c r="AS99" s="69">
        <f>IFERROR(AVERAGEIF(Tabella01MarzoInverter[[#This Row],[Active power TX3-INV-1]:[Active power TX3-INV-12]], "&gt;0"), 0)</f>
        <v>0.1</v>
      </c>
      <c r="AT99" s="67">
        <f>MAX(Tabella01MarzoInverter[[#This Row],[Active power TX3-INV-1]:[Active power TX3-INV-12]])</f>
        <v>0.1</v>
      </c>
      <c r="AU99" s="70">
        <f>MIN(Tabella01MarzoInverter[[#This Row],[Active power TX3-INV-1]:[Active power TX3-INV-12]])</f>
        <v>0</v>
      </c>
    </row>
    <row r="100" spans="1:47" x14ac:dyDescent="0.25">
      <c r="A100" s="65">
        <v>46147</v>
      </c>
      <c r="B100" s="72" t="s">
        <v>100</v>
      </c>
      <c r="C100" s="67">
        <v>0</v>
      </c>
      <c r="D100" s="67">
        <v>0</v>
      </c>
      <c r="E100" s="67">
        <v>0</v>
      </c>
      <c r="F100" s="67">
        <v>0</v>
      </c>
      <c r="G100" s="67">
        <v>0</v>
      </c>
      <c r="H100" s="67">
        <v>0</v>
      </c>
      <c r="I100" s="67">
        <v>0</v>
      </c>
      <c r="J100" s="67">
        <v>0</v>
      </c>
      <c r="K100" s="67">
        <v>0</v>
      </c>
      <c r="L100" s="67">
        <v>0</v>
      </c>
      <c r="M100" s="67">
        <v>0</v>
      </c>
      <c r="N100" s="68">
        <v>0</v>
      </c>
      <c r="O100" s="69">
        <f>IFERROR(AVERAGEIF(Tabella01MarzoInverter[[#This Row],[Active power TX1-INV-1]:[Active power TX1-INV-12]], "&gt;0"), 0)</f>
        <v>0</v>
      </c>
      <c r="P100" s="67">
        <f>MAX(Tabella01MarzoInverter[[#This Row],[Active power TX1-INV-1]:[Active power TX1-INV-12]])</f>
        <v>0</v>
      </c>
      <c r="Q100" s="70">
        <f>MIN(Tabella01MarzoInverter[[#This Row],[Active power TX1-INV-1]:[Active power TX1-INV-12]])</f>
        <v>0</v>
      </c>
      <c r="R100" s="71">
        <v>0</v>
      </c>
      <c r="S100" s="67">
        <v>0</v>
      </c>
      <c r="T100" s="67">
        <v>0</v>
      </c>
      <c r="U100" s="67">
        <v>0</v>
      </c>
      <c r="V100" s="67">
        <v>0</v>
      </c>
      <c r="W100" s="67">
        <v>0</v>
      </c>
      <c r="X100" s="67">
        <v>0</v>
      </c>
      <c r="Y100" s="67">
        <v>0</v>
      </c>
      <c r="Z100" s="67">
        <v>0</v>
      </c>
      <c r="AA100" s="67">
        <v>0</v>
      </c>
      <c r="AB100" s="67">
        <v>0</v>
      </c>
      <c r="AC100" s="68">
        <v>0.1</v>
      </c>
      <c r="AD100" s="69">
        <f>IFERROR(AVERAGEIF(Tabella01MarzoInverter[[#This Row],[Active power TX2-INV-1]:[Active power TX2-INV-12]], "&gt;0"), 0)</f>
        <v>0.1</v>
      </c>
      <c r="AE100" s="67">
        <f>MAX(Tabella01MarzoInverter[[#This Row],[Active power TX2-INV-1]:[Active power TX2-INV-12]])</f>
        <v>0.1</v>
      </c>
      <c r="AF100" s="70">
        <f>MIN(Tabella01MarzoInverter[[#This Row],[Active power TX2-INV-1]:[Active power TX2-INV-12]])</f>
        <v>0</v>
      </c>
      <c r="AG100" s="71">
        <v>0</v>
      </c>
      <c r="AH100" s="67">
        <v>0</v>
      </c>
      <c r="AI100" s="67">
        <v>0</v>
      </c>
      <c r="AJ100" s="67">
        <v>0</v>
      </c>
      <c r="AK100" s="67">
        <v>0</v>
      </c>
      <c r="AL100" s="67">
        <v>0</v>
      </c>
      <c r="AM100" s="67">
        <v>0</v>
      </c>
      <c r="AN100" s="67">
        <v>0</v>
      </c>
      <c r="AO100" s="67">
        <v>0</v>
      </c>
      <c r="AP100" s="67">
        <v>0</v>
      </c>
      <c r="AQ100" s="67">
        <v>0</v>
      </c>
      <c r="AR100" s="68">
        <v>0</v>
      </c>
      <c r="AS100" s="69">
        <f>IFERROR(AVERAGEIF(Tabella01MarzoInverter[[#This Row],[Active power TX3-INV-1]:[Active power TX3-INV-12]], "&gt;0"), 0)</f>
        <v>0</v>
      </c>
      <c r="AT100" s="67">
        <f>MAX(Tabella01MarzoInverter[[#This Row],[Active power TX3-INV-1]:[Active power TX3-INV-12]])</f>
        <v>0</v>
      </c>
      <c r="AU100" s="70">
        <f>MIN(Tabella01MarzoInverter[[#This Row],[Active power TX3-INV-1]:[Active power TX3-INV-12]])</f>
        <v>0</v>
      </c>
    </row>
    <row r="101" spans="1:47" x14ac:dyDescent="0.25">
      <c r="A101" s="65">
        <v>46147</v>
      </c>
      <c r="B101" s="66" t="s">
        <v>101</v>
      </c>
      <c r="C101" s="67">
        <v>0</v>
      </c>
      <c r="D101" s="67">
        <v>0</v>
      </c>
      <c r="E101" s="67">
        <v>0</v>
      </c>
      <c r="F101" s="67">
        <v>0</v>
      </c>
      <c r="G101" s="67">
        <v>0</v>
      </c>
      <c r="H101" s="67">
        <v>0</v>
      </c>
      <c r="I101" s="67">
        <v>0</v>
      </c>
      <c r="J101" s="67">
        <v>0</v>
      </c>
      <c r="K101" s="67">
        <v>0</v>
      </c>
      <c r="L101" s="67">
        <v>0</v>
      </c>
      <c r="M101" s="67">
        <v>0</v>
      </c>
      <c r="N101" s="68">
        <v>0</v>
      </c>
      <c r="O101" s="69">
        <f>IFERROR(AVERAGEIF(Tabella01MarzoInverter[[#This Row],[Active power TX1-INV-1]:[Active power TX1-INV-12]], "&gt;0"), 0)</f>
        <v>0</v>
      </c>
      <c r="P101" s="67">
        <f>MAX(Tabella01MarzoInverter[[#This Row],[Active power TX1-INV-1]:[Active power TX1-INV-12]])</f>
        <v>0</v>
      </c>
      <c r="Q101" s="70">
        <f>MIN(Tabella01MarzoInverter[[#This Row],[Active power TX1-INV-1]:[Active power TX1-INV-12]])</f>
        <v>0</v>
      </c>
      <c r="R101" s="71">
        <v>0</v>
      </c>
      <c r="S101" s="67">
        <v>0</v>
      </c>
      <c r="T101" s="67">
        <v>0</v>
      </c>
      <c r="U101" s="67">
        <v>0</v>
      </c>
      <c r="V101" s="67">
        <v>0</v>
      </c>
      <c r="W101" s="67">
        <v>0</v>
      </c>
      <c r="X101" s="67">
        <v>0</v>
      </c>
      <c r="Y101" s="67">
        <v>0</v>
      </c>
      <c r="Z101" s="67">
        <v>0</v>
      </c>
      <c r="AA101" s="67">
        <v>0</v>
      </c>
      <c r="AB101" s="67">
        <v>0</v>
      </c>
      <c r="AC101" s="68">
        <v>0</v>
      </c>
      <c r="AD101" s="69">
        <f>IFERROR(AVERAGEIF(Tabella01MarzoInverter[[#This Row],[Active power TX2-INV-1]:[Active power TX2-INV-12]], "&gt;0"), 0)</f>
        <v>0</v>
      </c>
      <c r="AE101" s="67">
        <f>MAX(Tabella01MarzoInverter[[#This Row],[Active power TX2-INV-1]:[Active power TX2-INV-12]])</f>
        <v>0</v>
      </c>
      <c r="AF101" s="70">
        <f>MIN(Tabella01MarzoInverter[[#This Row],[Active power TX2-INV-1]:[Active power TX2-INV-12]])</f>
        <v>0</v>
      </c>
      <c r="AG101" s="71">
        <v>0</v>
      </c>
      <c r="AH101" s="67">
        <v>0</v>
      </c>
      <c r="AI101" s="67">
        <v>0</v>
      </c>
      <c r="AJ101" s="67">
        <v>0</v>
      </c>
      <c r="AK101" s="67">
        <v>0</v>
      </c>
      <c r="AL101" s="67">
        <v>0</v>
      </c>
      <c r="AM101" s="67">
        <v>0</v>
      </c>
      <c r="AN101" s="67">
        <v>0</v>
      </c>
      <c r="AO101" s="67">
        <v>0</v>
      </c>
      <c r="AP101" s="67">
        <v>0</v>
      </c>
      <c r="AQ101" s="67">
        <v>0</v>
      </c>
      <c r="AR101" s="68">
        <v>0</v>
      </c>
      <c r="AS101" s="69">
        <f>IFERROR(AVERAGEIF(Tabella01MarzoInverter[[#This Row],[Active power TX3-INV-1]:[Active power TX3-INV-12]], "&gt;0"), 0)</f>
        <v>0</v>
      </c>
      <c r="AT101" s="67">
        <f>MAX(Tabella01MarzoInverter[[#This Row],[Active power TX3-INV-1]:[Active power TX3-INV-12]])</f>
        <v>0</v>
      </c>
      <c r="AU101" s="70">
        <f>MIN(Tabella01MarzoInverter[[#This Row],[Active power TX3-INV-1]:[Active power TX3-INV-12]])</f>
        <v>0</v>
      </c>
    </row>
    <row r="102" spans="1:47" x14ac:dyDescent="0.25">
      <c r="A102" s="65">
        <v>46147</v>
      </c>
      <c r="B102" s="72" t="s">
        <v>102</v>
      </c>
      <c r="C102" s="67">
        <v>0</v>
      </c>
      <c r="D102" s="67">
        <v>0</v>
      </c>
      <c r="E102" s="67">
        <v>0</v>
      </c>
      <c r="F102" s="67">
        <v>0</v>
      </c>
      <c r="G102" s="67">
        <v>0</v>
      </c>
      <c r="H102" s="67">
        <v>0</v>
      </c>
      <c r="I102" s="67">
        <v>0</v>
      </c>
      <c r="J102" s="67">
        <v>0</v>
      </c>
      <c r="K102" s="67">
        <v>0</v>
      </c>
      <c r="L102" s="67">
        <v>0</v>
      </c>
      <c r="M102" s="67">
        <v>0</v>
      </c>
      <c r="N102" s="68">
        <v>0</v>
      </c>
      <c r="O102" s="69">
        <f>IFERROR(AVERAGEIF(Tabella01MarzoInverter[[#This Row],[Active power TX1-INV-1]:[Active power TX1-INV-12]], "&gt;0"), 0)</f>
        <v>0</v>
      </c>
      <c r="P102" s="67">
        <f>MAX(Tabella01MarzoInverter[[#This Row],[Active power TX1-INV-1]:[Active power TX1-INV-12]])</f>
        <v>0</v>
      </c>
      <c r="Q102" s="70">
        <f>MIN(Tabella01MarzoInverter[[#This Row],[Active power TX1-INV-1]:[Active power TX1-INV-12]])</f>
        <v>0</v>
      </c>
      <c r="R102" s="71">
        <v>0</v>
      </c>
      <c r="S102" s="67">
        <v>0</v>
      </c>
      <c r="T102" s="67">
        <v>0</v>
      </c>
      <c r="U102" s="67">
        <v>0</v>
      </c>
      <c r="V102" s="67">
        <v>0</v>
      </c>
      <c r="W102" s="67">
        <v>0</v>
      </c>
      <c r="X102" s="67">
        <v>0</v>
      </c>
      <c r="Y102" s="67">
        <v>0</v>
      </c>
      <c r="Z102" s="67">
        <v>0</v>
      </c>
      <c r="AA102" s="67">
        <v>0</v>
      </c>
      <c r="AB102" s="67">
        <v>0</v>
      </c>
      <c r="AC102" s="68">
        <v>0</v>
      </c>
      <c r="AD102" s="69">
        <f>IFERROR(AVERAGEIF(Tabella01MarzoInverter[[#This Row],[Active power TX2-INV-1]:[Active power TX2-INV-12]], "&gt;0"), 0)</f>
        <v>0</v>
      </c>
      <c r="AE102" s="67">
        <f>MAX(Tabella01MarzoInverter[[#This Row],[Active power TX2-INV-1]:[Active power TX2-INV-12]])</f>
        <v>0</v>
      </c>
      <c r="AF102" s="70">
        <f>MIN(Tabella01MarzoInverter[[#This Row],[Active power TX2-INV-1]:[Active power TX2-INV-12]])</f>
        <v>0</v>
      </c>
      <c r="AG102" s="71">
        <v>0</v>
      </c>
      <c r="AH102" s="67">
        <v>0</v>
      </c>
      <c r="AI102" s="67">
        <v>0</v>
      </c>
      <c r="AJ102" s="67">
        <v>0</v>
      </c>
      <c r="AK102" s="67">
        <v>0</v>
      </c>
      <c r="AL102" s="67">
        <v>0</v>
      </c>
      <c r="AM102" s="67">
        <v>0</v>
      </c>
      <c r="AN102" s="67">
        <v>0</v>
      </c>
      <c r="AO102" s="67">
        <v>0</v>
      </c>
      <c r="AP102" s="67">
        <v>0</v>
      </c>
      <c r="AQ102" s="67">
        <v>0</v>
      </c>
      <c r="AR102" s="68">
        <v>0</v>
      </c>
      <c r="AS102" s="69">
        <f>IFERROR(AVERAGEIF(Tabella01MarzoInverter[[#This Row],[Active power TX3-INV-1]:[Active power TX3-INV-12]], "&gt;0"), 0)</f>
        <v>0</v>
      </c>
      <c r="AT102" s="67">
        <f>MAX(Tabella01MarzoInverter[[#This Row],[Active power TX3-INV-1]:[Active power TX3-INV-12]])</f>
        <v>0</v>
      </c>
      <c r="AU102" s="70">
        <f>MIN(Tabella01MarzoInverter[[#This Row],[Active power TX3-INV-1]:[Active power TX3-INV-12]])</f>
        <v>0</v>
      </c>
    </row>
    <row r="103" spans="1:47" x14ac:dyDescent="0.25">
      <c r="A103" s="65">
        <v>46147</v>
      </c>
      <c r="B103" s="66" t="s">
        <v>103</v>
      </c>
      <c r="C103" s="67">
        <v>0</v>
      </c>
      <c r="D103" s="67">
        <v>0</v>
      </c>
      <c r="E103" s="67">
        <v>0</v>
      </c>
      <c r="F103" s="67">
        <v>0</v>
      </c>
      <c r="G103" s="67">
        <v>0</v>
      </c>
      <c r="H103" s="67">
        <v>0</v>
      </c>
      <c r="I103" s="67">
        <v>0</v>
      </c>
      <c r="J103" s="67">
        <v>0</v>
      </c>
      <c r="K103" s="67">
        <v>0</v>
      </c>
      <c r="L103" s="67">
        <v>0</v>
      </c>
      <c r="M103" s="67">
        <v>0</v>
      </c>
      <c r="N103" s="68">
        <v>0</v>
      </c>
      <c r="O103" s="69">
        <f>IFERROR(AVERAGEIF(Tabella01MarzoInverter[[#This Row],[Active power TX1-INV-1]:[Active power TX1-INV-12]], "&gt;0"), 0)</f>
        <v>0</v>
      </c>
      <c r="P103" s="67">
        <f>MAX(Tabella01MarzoInverter[[#This Row],[Active power TX1-INV-1]:[Active power TX1-INV-12]])</f>
        <v>0</v>
      </c>
      <c r="Q103" s="70">
        <f>MIN(Tabella01MarzoInverter[[#This Row],[Active power TX1-INV-1]:[Active power TX1-INV-12]])</f>
        <v>0</v>
      </c>
      <c r="R103" s="71">
        <v>0</v>
      </c>
      <c r="S103" s="67">
        <v>0</v>
      </c>
      <c r="T103" s="67">
        <v>0</v>
      </c>
      <c r="U103" s="67">
        <v>0</v>
      </c>
      <c r="V103" s="67">
        <v>0</v>
      </c>
      <c r="W103" s="67">
        <v>0</v>
      </c>
      <c r="X103" s="67">
        <v>0</v>
      </c>
      <c r="Y103" s="67">
        <v>0</v>
      </c>
      <c r="Z103" s="67">
        <v>0</v>
      </c>
      <c r="AA103" s="67">
        <v>0</v>
      </c>
      <c r="AB103" s="67">
        <v>0</v>
      </c>
      <c r="AC103" s="68">
        <v>0</v>
      </c>
      <c r="AD103" s="69">
        <f>IFERROR(AVERAGEIF(Tabella01MarzoInverter[[#This Row],[Active power TX2-INV-1]:[Active power TX2-INV-12]], "&gt;0"), 0)</f>
        <v>0</v>
      </c>
      <c r="AE103" s="67">
        <f>MAX(Tabella01MarzoInverter[[#This Row],[Active power TX2-INV-1]:[Active power TX2-INV-12]])</f>
        <v>0</v>
      </c>
      <c r="AF103" s="70">
        <f>MIN(Tabella01MarzoInverter[[#This Row],[Active power TX2-INV-1]:[Active power TX2-INV-12]])</f>
        <v>0</v>
      </c>
      <c r="AG103" s="71">
        <v>0</v>
      </c>
      <c r="AH103" s="67">
        <v>0</v>
      </c>
      <c r="AI103" s="67">
        <v>0</v>
      </c>
      <c r="AJ103" s="67">
        <v>0</v>
      </c>
      <c r="AK103" s="67">
        <v>0</v>
      </c>
      <c r="AL103" s="67">
        <v>0</v>
      </c>
      <c r="AM103" s="67">
        <v>0</v>
      </c>
      <c r="AN103" s="67">
        <v>0</v>
      </c>
      <c r="AO103" s="67">
        <v>0</v>
      </c>
      <c r="AP103" s="67">
        <v>0</v>
      </c>
      <c r="AQ103" s="67">
        <v>0</v>
      </c>
      <c r="AR103" s="68">
        <v>0</v>
      </c>
      <c r="AS103" s="69">
        <f>IFERROR(AVERAGEIF(Tabella01MarzoInverter[[#This Row],[Active power TX3-INV-1]:[Active power TX3-INV-12]], "&gt;0"), 0)</f>
        <v>0</v>
      </c>
      <c r="AT103" s="67">
        <f>MAX(Tabella01MarzoInverter[[#This Row],[Active power TX3-INV-1]:[Active power TX3-INV-12]])</f>
        <v>0</v>
      </c>
      <c r="AU103" s="70">
        <f>MIN(Tabella01MarzoInverter[[#This Row],[Active power TX3-INV-1]:[Active power TX3-INV-12]])</f>
        <v>0</v>
      </c>
    </row>
    <row r="104" spans="1:47" x14ac:dyDescent="0.25">
      <c r="A104" s="65">
        <v>46147</v>
      </c>
      <c r="B104" s="72" t="s">
        <v>104</v>
      </c>
      <c r="C104" s="67">
        <v>0</v>
      </c>
      <c r="D104" s="67">
        <v>0</v>
      </c>
      <c r="E104" s="67">
        <v>0</v>
      </c>
      <c r="F104" s="67">
        <v>0</v>
      </c>
      <c r="G104" s="67">
        <v>0</v>
      </c>
      <c r="H104" s="67">
        <v>0</v>
      </c>
      <c r="I104" s="67">
        <v>0</v>
      </c>
      <c r="J104" s="67">
        <v>0</v>
      </c>
      <c r="K104" s="67">
        <v>0</v>
      </c>
      <c r="L104" s="67">
        <v>0</v>
      </c>
      <c r="M104" s="67">
        <v>0</v>
      </c>
      <c r="N104" s="68">
        <v>0</v>
      </c>
      <c r="O104" s="69">
        <f>IFERROR(AVERAGEIF(Tabella01MarzoInverter[[#This Row],[Active power TX1-INV-1]:[Active power TX1-INV-12]], "&gt;0"), 0)</f>
        <v>0</v>
      </c>
      <c r="P104" s="67">
        <f>MAX(Tabella01MarzoInverter[[#This Row],[Active power TX1-INV-1]:[Active power TX1-INV-12]])</f>
        <v>0</v>
      </c>
      <c r="Q104" s="70">
        <f>MIN(Tabella01MarzoInverter[[#This Row],[Active power TX1-INV-1]:[Active power TX1-INV-12]])</f>
        <v>0</v>
      </c>
      <c r="R104" s="71">
        <v>0</v>
      </c>
      <c r="S104" s="67">
        <v>0</v>
      </c>
      <c r="T104" s="67">
        <v>0</v>
      </c>
      <c r="U104" s="67">
        <v>0</v>
      </c>
      <c r="V104" s="67">
        <v>0</v>
      </c>
      <c r="W104" s="67">
        <v>0</v>
      </c>
      <c r="X104" s="67">
        <v>0</v>
      </c>
      <c r="Y104" s="67">
        <v>0</v>
      </c>
      <c r="Z104" s="67">
        <v>0</v>
      </c>
      <c r="AA104" s="67">
        <v>0</v>
      </c>
      <c r="AB104" s="67">
        <v>0</v>
      </c>
      <c r="AC104" s="68">
        <v>0</v>
      </c>
      <c r="AD104" s="69">
        <f>IFERROR(AVERAGEIF(Tabella01MarzoInverter[[#This Row],[Active power TX2-INV-1]:[Active power TX2-INV-12]], "&gt;0"), 0)</f>
        <v>0</v>
      </c>
      <c r="AE104" s="67">
        <f>MAX(Tabella01MarzoInverter[[#This Row],[Active power TX2-INV-1]:[Active power TX2-INV-12]])</f>
        <v>0</v>
      </c>
      <c r="AF104" s="70">
        <f>MIN(Tabella01MarzoInverter[[#This Row],[Active power TX2-INV-1]:[Active power TX2-INV-12]])</f>
        <v>0</v>
      </c>
      <c r="AG104" s="71">
        <v>0</v>
      </c>
      <c r="AH104" s="67">
        <v>0</v>
      </c>
      <c r="AI104" s="67">
        <v>0</v>
      </c>
      <c r="AJ104" s="67">
        <v>0</v>
      </c>
      <c r="AK104" s="67">
        <v>0</v>
      </c>
      <c r="AL104" s="67">
        <v>0</v>
      </c>
      <c r="AM104" s="67">
        <v>0</v>
      </c>
      <c r="AN104" s="67">
        <v>0</v>
      </c>
      <c r="AO104" s="67">
        <v>0</v>
      </c>
      <c r="AP104" s="67">
        <v>0</v>
      </c>
      <c r="AQ104" s="67">
        <v>0</v>
      </c>
      <c r="AR104" s="68">
        <v>0</v>
      </c>
      <c r="AS104" s="69">
        <f>IFERROR(AVERAGEIF(Tabella01MarzoInverter[[#This Row],[Active power TX3-INV-1]:[Active power TX3-INV-12]], "&gt;0"), 0)</f>
        <v>0</v>
      </c>
      <c r="AT104" s="67">
        <f>MAX(Tabella01MarzoInverter[[#This Row],[Active power TX3-INV-1]:[Active power TX3-INV-12]])</f>
        <v>0</v>
      </c>
      <c r="AU104" s="70">
        <f>MIN(Tabella01MarzoInverter[[#This Row],[Active power TX3-INV-1]:[Active power TX3-INV-12]])</f>
        <v>0</v>
      </c>
    </row>
    <row r="105" spans="1:47" x14ac:dyDescent="0.25">
      <c r="A105" s="65">
        <v>46147</v>
      </c>
      <c r="B105" s="66" t="s">
        <v>105</v>
      </c>
      <c r="C105" s="67">
        <v>0</v>
      </c>
      <c r="D105" s="67">
        <v>0</v>
      </c>
      <c r="E105" s="67">
        <v>0</v>
      </c>
      <c r="F105" s="67">
        <v>0</v>
      </c>
      <c r="G105" s="67">
        <v>0</v>
      </c>
      <c r="H105" s="67">
        <v>0</v>
      </c>
      <c r="I105" s="67">
        <v>0</v>
      </c>
      <c r="J105" s="67">
        <v>0</v>
      </c>
      <c r="K105" s="67">
        <v>0</v>
      </c>
      <c r="L105" s="67">
        <v>0</v>
      </c>
      <c r="M105" s="67">
        <v>0</v>
      </c>
      <c r="N105" s="68">
        <v>0</v>
      </c>
      <c r="O105" s="69">
        <f>IFERROR(AVERAGEIF(Tabella01MarzoInverter[[#This Row],[Active power TX1-INV-1]:[Active power TX1-INV-12]], "&gt;0"), 0)</f>
        <v>0</v>
      </c>
      <c r="P105" s="67">
        <f>MAX(Tabella01MarzoInverter[[#This Row],[Active power TX1-INV-1]:[Active power TX1-INV-12]])</f>
        <v>0</v>
      </c>
      <c r="Q105" s="70">
        <f>MIN(Tabella01MarzoInverter[[#This Row],[Active power TX1-INV-1]:[Active power TX1-INV-12]])</f>
        <v>0</v>
      </c>
      <c r="R105" s="71">
        <v>0</v>
      </c>
      <c r="S105" s="67">
        <v>0</v>
      </c>
      <c r="T105" s="67">
        <v>0</v>
      </c>
      <c r="U105" s="67">
        <v>0</v>
      </c>
      <c r="V105" s="67">
        <v>0</v>
      </c>
      <c r="W105" s="67">
        <v>0</v>
      </c>
      <c r="X105" s="67">
        <v>0</v>
      </c>
      <c r="Y105" s="67">
        <v>0</v>
      </c>
      <c r="Z105" s="67">
        <v>0</v>
      </c>
      <c r="AA105" s="67">
        <v>0</v>
      </c>
      <c r="AB105" s="67">
        <v>0</v>
      </c>
      <c r="AC105" s="68">
        <v>0</v>
      </c>
      <c r="AD105" s="69">
        <f>IFERROR(AVERAGEIF(Tabella01MarzoInverter[[#This Row],[Active power TX2-INV-1]:[Active power TX2-INV-12]], "&gt;0"), 0)</f>
        <v>0</v>
      </c>
      <c r="AE105" s="67">
        <f>MAX(Tabella01MarzoInverter[[#This Row],[Active power TX2-INV-1]:[Active power TX2-INV-12]])</f>
        <v>0</v>
      </c>
      <c r="AF105" s="70">
        <f>MIN(Tabella01MarzoInverter[[#This Row],[Active power TX2-INV-1]:[Active power TX2-INV-12]])</f>
        <v>0</v>
      </c>
      <c r="AG105" s="71">
        <v>0</v>
      </c>
      <c r="AH105" s="67">
        <v>0</v>
      </c>
      <c r="AI105" s="67">
        <v>0</v>
      </c>
      <c r="AJ105" s="67">
        <v>0</v>
      </c>
      <c r="AK105" s="67">
        <v>0</v>
      </c>
      <c r="AL105" s="67">
        <v>0</v>
      </c>
      <c r="AM105" s="67">
        <v>0</v>
      </c>
      <c r="AN105" s="67">
        <v>0</v>
      </c>
      <c r="AO105" s="67">
        <v>0</v>
      </c>
      <c r="AP105" s="67">
        <v>0</v>
      </c>
      <c r="AQ105" s="67">
        <v>0</v>
      </c>
      <c r="AR105" s="68">
        <v>0</v>
      </c>
      <c r="AS105" s="69">
        <f>IFERROR(AVERAGEIF(Tabella01MarzoInverter[[#This Row],[Active power TX3-INV-1]:[Active power TX3-INV-12]], "&gt;0"), 0)</f>
        <v>0</v>
      </c>
      <c r="AT105" s="67">
        <f>MAX(Tabella01MarzoInverter[[#This Row],[Active power TX3-INV-1]:[Active power TX3-INV-12]])</f>
        <v>0</v>
      </c>
      <c r="AU105" s="70">
        <f>MIN(Tabella01MarzoInverter[[#This Row],[Active power TX3-INV-1]:[Active power TX3-INV-12]])</f>
        <v>0</v>
      </c>
    </row>
    <row r="106" spans="1:47" x14ac:dyDescent="0.25">
      <c r="A106" s="65">
        <v>46147</v>
      </c>
      <c r="B106" s="72" t="s">
        <v>106</v>
      </c>
      <c r="C106" s="67">
        <v>0</v>
      </c>
      <c r="D106" s="67">
        <v>0</v>
      </c>
      <c r="E106" s="67">
        <v>0</v>
      </c>
      <c r="F106" s="67">
        <v>0</v>
      </c>
      <c r="G106" s="67">
        <v>0</v>
      </c>
      <c r="H106" s="67">
        <v>0</v>
      </c>
      <c r="I106" s="67">
        <v>0</v>
      </c>
      <c r="J106" s="67">
        <v>0</v>
      </c>
      <c r="K106" s="67">
        <v>0</v>
      </c>
      <c r="L106" s="67">
        <v>0</v>
      </c>
      <c r="M106" s="67">
        <v>0</v>
      </c>
      <c r="N106" s="68">
        <v>0</v>
      </c>
      <c r="O106" s="69">
        <f>IFERROR(AVERAGEIF(Tabella01MarzoInverter[[#This Row],[Active power TX1-INV-1]:[Active power TX1-INV-12]], "&gt;0"), 0)</f>
        <v>0</v>
      </c>
      <c r="P106" s="67">
        <f>MAX(Tabella01MarzoInverter[[#This Row],[Active power TX1-INV-1]:[Active power TX1-INV-12]])</f>
        <v>0</v>
      </c>
      <c r="Q106" s="70">
        <f>MIN(Tabella01MarzoInverter[[#This Row],[Active power TX1-INV-1]:[Active power TX1-INV-12]])</f>
        <v>0</v>
      </c>
      <c r="R106" s="71">
        <v>0</v>
      </c>
      <c r="S106" s="67">
        <v>0</v>
      </c>
      <c r="T106" s="67">
        <v>0</v>
      </c>
      <c r="U106" s="67">
        <v>0</v>
      </c>
      <c r="V106" s="67">
        <v>0</v>
      </c>
      <c r="W106" s="67">
        <v>0</v>
      </c>
      <c r="X106" s="67">
        <v>0</v>
      </c>
      <c r="Y106" s="67">
        <v>0</v>
      </c>
      <c r="Z106" s="67">
        <v>0</v>
      </c>
      <c r="AA106" s="67">
        <v>0</v>
      </c>
      <c r="AB106" s="67">
        <v>0</v>
      </c>
      <c r="AC106" s="68">
        <v>0</v>
      </c>
      <c r="AD106" s="69">
        <f>IFERROR(AVERAGEIF(Tabella01MarzoInverter[[#This Row],[Active power TX2-INV-1]:[Active power TX2-INV-12]], "&gt;0"), 0)</f>
        <v>0</v>
      </c>
      <c r="AE106" s="67">
        <f>MAX(Tabella01MarzoInverter[[#This Row],[Active power TX2-INV-1]:[Active power TX2-INV-12]])</f>
        <v>0</v>
      </c>
      <c r="AF106" s="70">
        <f>MIN(Tabella01MarzoInverter[[#This Row],[Active power TX2-INV-1]:[Active power TX2-INV-12]])</f>
        <v>0</v>
      </c>
      <c r="AG106" s="71">
        <v>0</v>
      </c>
      <c r="AH106" s="67">
        <v>0</v>
      </c>
      <c r="AI106" s="67">
        <v>0</v>
      </c>
      <c r="AJ106" s="67">
        <v>0</v>
      </c>
      <c r="AK106" s="67">
        <v>0</v>
      </c>
      <c r="AL106" s="67">
        <v>0</v>
      </c>
      <c r="AM106" s="67">
        <v>0</v>
      </c>
      <c r="AN106" s="67">
        <v>0</v>
      </c>
      <c r="AO106" s="67">
        <v>0</v>
      </c>
      <c r="AP106" s="67">
        <v>0</v>
      </c>
      <c r="AQ106" s="67">
        <v>0</v>
      </c>
      <c r="AR106" s="68">
        <v>0</v>
      </c>
      <c r="AS106" s="69">
        <f>IFERROR(AVERAGEIF(Tabella01MarzoInverter[[#This Row],[Active power TX3-INV-1]:[Active power TX3-INV-12]], "&gt;0"), 0)</f>
        <v>0</v>
      </c>
      <c r="AT106" s="67">
        <f>MAX(Tabella01MarzoInverter[[#This Row],[Active power TX3-INV-1]:[Active power TX3-INV-12]])</f>
        <v>0</v>
      </c>
      <c r="AU106" s="70">
        <f>MIN(Tabella01MarzoInverter[[#This Row],[Active power TX3-INV-1]:[Active power TX3-INV-12]])</f>
        <v>0</v>
      </c>
    </row>
    <row r="107" spans="1:47" x14ac:dyDescent="0.25">
      <c r="A107" s="65">
        <v>46147</v>
      </c>
      <c r="B107" s="66" t="s">
        <v>107</v>
      </c>
      <c r="C107" s="67">
        <v>0</v>
      </c>
      <c r="D107" s="67">
        <v>0</v>
      </c>
      <c r="E107" s="67">
        <v>0</v>
      </c>
      <c r="F107" s="67">
        <v>0</v>
      </c>
      <c r="G107" s="67">
        <v>0</v>
      </c>
      <c r="H107" s="67">
        <v>0</v>
      </c>
      <c r="I107" s="67">
        <v>0</v>
      </c>
      <c r="J107" s="67">
        <v>0</v>
      </c>
      <c r="K107" s="67">
        <v>0</v>
      </c>
      <c r="L107" s="67">
        <v>0</v>
      </c>
      <c r="M107" s="67">
        <v>0</v>
      </c>
      <c r="N107" s="68">
        <v>0</v>
      </c>
      <c r="O107" s="69">
        <f>IFERROR(AVERAGEIF(Tabella01MarzoInverter[[#This Row],[Active power TX1-INV-1]:[Active power TX1-INV-12]], "&gt;0"), 0)</f>
        <v>0</v>
      </c>
      <c r="P107" s="67">
        <f>MAX(Tabella01MarzoInverter[[#This Row],[Active power TX1-INV-1]:[Active power TX1-INV-12]])</f>
        <v>0</v>
      </c>
      <c r="Q107" s="70">
        <f>MIN(Tabella01MarzoInverter[[#This Row],[Active power TX1-INV-1]:[Active power TX1-INV-12]])</f>
        <v>0</v>
      </c>
      <c r="R107" s="71">
        <v>0</v>
      </c>
      <c r="S107" s="67">
        <v>0</v>
      </c>
      <c r="T107" s="67">
        <v>0</v>
      </c>
      <c r="U107" s="67">
        <v>0</v>
      </c>
      <c r="V107" s="67">
        <v>0</v>
      </c>
      <c r="W107" s="67">
        <v>0</v>
      </c>
      <c r="X107" s="67">
        <v>0</v>
      </c>
      <c r="Y107" s="67">
        <v>0</v>
      </c>
      <c r="Z107" s="67">
        <v>0</v>
      </c>
      <c r="AA107" s="67">
        <v>0</v>
      </c>
      <c r="AB107" s="67">
        <v>0</v>
      </c>
      <c r="AC107" s="68">
        <v>0</v>
      </c>
      <c r="AD107" s="69">
        <f>IFERROR(AVERAGEIF(Tabella01MarzoInverter[[#This Row],[Active power TX2-INV-1]:[Active power TX2-INV-12]], "&gt;0"), 0)</f>
        <v>0</v>
      </c>
      <c r="AE107" s="67">
        <f>MAX(Tabella01MarzoInverter[[#This Row],[Active power TX2-INV-1]:[Active power TX2-INV-12]])</f>
        <v>0</v>
      </c>
      <c r="AF107" s="70">
        <f>MIN(Tabella01MarzoInverter[[#This Row],[Active power TX2-INV-1]:[Active power TX2-INV-12]])</f>
        <v>0</v>
      </c>
      <c r="AG107" s="71">
        <v>0</v>
      </c>
      <c r="AH107" s="67">
        <v>0</v>
      </c>
      <c r="AI107" s="67">
        <v>0</v>
      </c>
      <c r="AJ107" s="67">
        <v>0</v>
      </c>
      <c r="AK107" s="67">
        <v>0</v>
      </c>
      <c r="AL107" s="67">
        <v>0</v>
      </c>
      <c r="AM107" s="67">
        <v>0</v>
      </c>
      <c r="AN107" s="67">
        <v>0</v>
      </c>
      <c r="AO107" s="67">
        <v>0</v>
      </c>
      <c r="AP107" s="67">
        <v>0</v>
      </c>
      <c r="AQ107" s="67">
        <v>0</v>
      </c>
      <c r="AR107" s="68">
        <v>0</v>
      </c>
      <c r="AS107" s="69">
        <f>IFERROR(AVERAGEIF(Tabella01MarzoInverter[[#This Row],[Active power TX3-INV-1]:[Active power TX3-INV-12]], "&gt;0"), 0)</f>
        <v>0</v>
      </c>
      <c r="AT107" s="67">
        <f>MAX(Tabella01MarzoInverter[[#This Row],[Active power TX3-INV-1]:[Active power TX3-INV-12]])</f>
        <v>0</v>
      </c>
      <c r="AU107" s="70">
        <f>MIN(Tabella01MarzoInverter[[#This Row],[Active power TX3-INV-1]:[Active power TX3-INV-12]])</f>
        <v>0</v>
      </c>
    </row>
    <row r="108" spans="1:47" x14ac:dyDescent="0.25">
      <c r="A108" s="65">
        <v>46147</v>
      </c>
      <c r="B108" s="72" t="s">
        <v>108</v>
      </c>
      <c r="C108" s="67">
        <v>0</v>
      </c>
      <c r="D108" s="67">
        <v>0</v>
      </c>
      <c r="E108" s="67">
        <v>0</v>
      </c>
      <c r="F108" s="67">
        <v>0</v>
      </c>
      <c r="G108" s="67">
        <v>0</v>
      </c>
      <c r="H108" s="67">
        <v>0</v>
      </c>
      <c r="I108" s="67">
        <v>0</v>
      </c>
      <c r="J108" s="67">
        <v>0</v>
      </c>
      <c r="K108" s="67">
        <v>0</v>
      </c>
      <c r="L108" s="67">
        <v>0</v>
      </c>
      <c r="M108" s="67">
        <v>0</v>
      </c>
      <c r="N108" s="68">
        <v>0</v>
      </c>
      <c r="O108" s="69">
        <f>IFERROR(AVERAGEIF(Tabella01MarzoInverter[[#This Row],[Active power TX1-INV-1]:[Active power TX1-INV-12]], "&gt;0"), 0)</f>
        <v>0</v>
      </c>
      <c r="P108" s="67">
        <f>MAX(Tabella01MarzoInverter[[#This Row],[Active power TX1-INV-1]:[Active power TX1-INV-12]])</f>
        <v>0</v>
      </c>
      <c r="Q108" s="70">
        <f>MIN(Tabella01MarzoInverter[[#This Row],[Active power TX1-INV-1]:[Active power TX1-INV-12]])</f>
        <v>0</v>
      </c>
      <c r="R108" s="71">
        <v>0</v>
      </c>
      <c r="S108" s="67">
        <v>0</v>
      </c>
      <c r="T108" s="67">
        <v>0</v>
      </c>
      <c r="U108" s="67">
        <v>0</v>
      </c>
      <c r="V108" s="67">
        <v>0</v>
      </c>
      <c r="W108" s="67">
        <v>0</v>
      </c>
      <c r="X108" s="67">
        <v>0</v>
      </c>
      <c r="Y108" s="67">
        <v>0</v>
      </c>
      <c r="Z108" s="67">
        <v>0</v>
      </c>
      <c r="AA108" s="67">
        <v>0</v>
      </c>
      <c r="AB108" s="67">
        <v>0</v>
      </c>
      <c r="AC108" s="68">
        <v>0</v>
      </c>
      <c r="AD108" s="69">
        <f>IFERROR(AVERAGEIF(Tabella01MarzoInverter[[#This Row],[Active power TX2-INV-1]:[Active power TX2-INV-12]], "&gt;0"), 0)</f>
        <v>0</v>
      </c>
      <c r="AE108" s="67">
        <f>MAX(Tabella01MarzoInverter[[#This Row],[Active power TX2-INV-1]:[Active power TX2-INV-12]])</f>
        <v>0</v>
      </c>
      <c r="AF108" s="70">
        <f>MIN(Tabella01MarzoInverter[[#This Row],[Active power TX2-INV-1]:[Active power TX2-INV-12]])</f>
        <v>0</v>
      </c>
      <c r="AG108" s="71">
        <v>0</v>
      </c>
      <c r="AH108" s="67">
        <v>0</v>
      </c>
      <c r="AI108" s="67">
        <v>0</v>
      </c>
      <c r="AJ108" s="67">
        <v>0</v>
      </c>
      <c r="AK108" s="67">
        <v>0</v>
      </c>
      <c r="AL108" s="67">
        <v>0</v>
      </c>
      <c r="AM108" s="67">
        <v>0</v>
      </c>
      <c r="AN108" s="67">
        <v>0</v>
      </c>
      <c r="AO108" s="67">
        <v>0</v>
      </c>
      <c r="AP108" s="67">
        <v>0</v>
      </c>
      <c r="AQ108" s="67">
        <v>0</v>
      </c>
      <c r="AR108" s="68">
        <v>0</v>
      </c>
      <c r="AS108" s="69">
        <f>IFERROR(AVERAGEIF(Tabella01MarzoInverter[[#This Row],[Active power TX3-INV-1]:[Active power TX3-INV-12]], "&gt;0"), 0)</f>
        <v>0</v>
      </c>
      <c r="AT108" s="67">
        <f>MAX(Tabella01MarzoInverter[[#This Row],[Active power TX3-INV-1]:[Active power TX3-INV-12]])</f>
        <v>0</v>
      </c>
      <c r="AU108" s="70">
        <f>MIN(Tabella01MarzoInverter[[#This Row],[Active power TX3-INV-1]:[Active power TX3-INV-12]])</f>
        <v>0</v>
      </c>
    </row>
    <row r="109" spans="1:47" x14ac:dyDescent="0.25">
      <c r="A109" s="65">
        <v>46147</v>
      </c>
      <c r="B109" s="66" t="s">
        <v>109</v>
      </c>
      <c r="C109" s="67">
        <v>0</v>
      </c>
      <c r="D109" s="67">
        <v>0</v>
      </c>
      <c r="E109" s="67">
        <v>0</v>
      </c>
      <c r="F109" s="67">
        <v>0</v>
      </c>
      <c r="G109" s="67">
        <v>0</v>
      </c>
      <c r="H109" s="67">
        <v>0</v>
      </c>
      <c r="I109" s="67">
        <v>0</v>
      </c>
      <c r="J109" s="67">
        <v>0</v>
      </c>
      <c r="K109" s="67">
        <v>0</v>
      </c>
      <c r="L109" s="67">
        <v>0</v>
      </c>
      <c r="M109" s="67">
        <v>0</v>
      </c>
      <c r="N109" s="68">
        <v>0</v>
      </c>
      <c r="O109" s="69">
        <f>IFERROR(AVERAGEIF(Tabella01MarzoInverter[[#This Row],[Active power TX1-INV-1]:[Active power TX1-INV-12]], "&gt;0"), 0)</f>
        <v>0</v>
      </c>
      <c r="P109" s="67">
        <f>MAX(Tabella01MarzoInverter[[#This Row],[Active power TX1-INV-1]:[Active power TX1-INV-12]])</f>
        <v>0</v>
      </c>
      <c r="Q109" s="70">
        <f>MIN(Tabella01MarzoInverter[[#This Row],[Active power TX1-INV-1]:[Active power TX1-INV-12]])</f>
        <v>0</v>
      </c>
      <c r="R109" s="71">
        <v>0</v>
      </c>
      <c r="S109" s="67">
        <v>0</v>
      </c>
      <c r="T109" s="67">
        <v>0</v>
      </c>
      <c r="U109" s="67">
        <v>0</v>
      </c>
      <c r="V109" s="67">
        <v>0</v>
      </c>
      <c r="W109" s="67">
        <v>0</v>
      </c>
      <c r="X109" s="67">
        <v>0</v>
      </c>
      <c r="Y109" s="67">
        <v>0</v>
      </c>
      <c r="Z109" s="67">
        <v>0</v>
      </c>
      <c r="AA109" s="67">
        <v>0</v>
      </c>
      <c r="AB109" s="67">
        <v>0</v>
      </c>
      <c r="AC109" s="68">
        <v>0</v>
      </c>
      <c r="AD109" s="69">
        <f>IFERROR(AVERAGEIF(Tabella01MarzoInverter[[#This Row],[Active power TX2-INV-1]:[Active power TX2-INV-12]], "&gt;0"), 0)</f>
        <v>0</v>
      </c>
      <c r="AE109" s="67">
        <f>MAX(Tabella01MarzoInverter[[#This Row],[Active power TX2-INV-1]:[Active power TX2-INV-12]])</f>
        <v>0</v>
      </c>
      <c r="AF109" s="70">
        <f>MIN(Tabella01MarzoInverter[[#This Row],[Active power TX2-INV-1]:[Active power TX2-INV-12]])</f>
        <v>0</v>
      </c>
      <c r="AG109" s="71">
        <v>0</v>
      </c>
      <c r="AH109" s="67">
        <v>0</v>
      </c>
      <c r="AI109" s="67">
        <v>0</v>
      </c>
      <c r="AJ109" s="67">
        <v>0</v>
      </c>
      <c r="AK109" s="67">
        <v>0</v>
      </c>
      <c r="AL109" s="67">
        <v>0</v>
      </c>
      <c r="AM109" s="67">
        <v>0</v>
      </c>
      <c r="AN109" s="67">
        <v>0</v>
      </c>
      <c r="AO109" s="67">
        <v>0</v>
      </c>
      <c r="AP109" s="67">
        <v>0</v>
      </c>
      <c r="AQ109" s="67">
        <v>0</v>
      </c>
      <c r="AR109" s="68">
        <v>0</v>
      </c>
      <c r="AS109" s="69">
        <f>IFERROR(AVERAGEIF(Tabella01MarzoInverter[[#This Row],[Active power TX3-INV-1]:[Active power TX3-INV-12]], "&gt;0"), 0)</f>
        <v>0</v>
      </c>
      <c r="AT109" s="67">
        <f>MAX(Tabella01MarzoInverter[[#This Row],[Active power TX3-INV-1]:[Active power TX3-INV-12]])</f>
        <v>0</v>
      </c>
      <c r="AU109" s="70">
        <f>MIN(Tabella01MarzoInverter[[#This Row],[Active power TX3-INV-1]:[Active power TX3-INV-12]])</f>
        <v>0</v>
      </c>
    </row>
    <row r="110" spans="1:47" x14ac:dyDescent="0.25">
      <c r="A110" s="65">
        <v>46147</v>
      </c>
      <c r="B110" s="72" t="s">
        <v>110</v>
      </c>
      <c r="C110" s="67">
        <v>0</v>
      </c>
      <c r="D110" s="67">
        <v>0</v>
      </c>
      <c r="E110" s="67">
        <v>0</v>
      </c>
      <c r="F110" s="67">
        <v>0</v>
      </c>
      <c r="G110" s="67">
        <v>0</v>
      </c>
      <c r="H110" s="67">
        <v>0</v>
      </c>
      <c r="I110" s="67">
        <v>0</v>
      </c>
      <c r="J110" s="67">
        <v>0</v>
      </c>
      <c r="K110" s="67">
        <v>0</v>
      </c>
      <c r="L110" s="67">
        <v>0</v>
      </c>
      <c r="M110" s="67">
        <v>0</v>
      </c>
      <c r="N110" s="68">
        <v>0</v>
      </c>
      <c r="O110" s="69">
        <f>IFERROR(AVERAGEIF(Tabella01MarzoInverter[[#This Row],[Active power TX1-INV-1]:[Active power TX1-INV-12]], "&gt;0"), 0)</f>
        <v>0</v>
      </c>
      <c r="P110" s="67">
        <f>MAX(Tabella01MarzoInverter[[#This Row],[Active power TX1-INV-1]:[Active power TX1-INV-12]])</f>
        <v>0</v>
      </c>
      <c r="Q110" s="70">
        <f>MIN(Tabella01MarzoInverter[[#This Row],[Active power TX1-INV-1]:[Active power TX1-INV-12]])</f>
        <v>0</v>
      </c>
      <c r="R110" s="71">
        <v>0</v>
      </c>
      <c r="S110" s="67">
        <v>0</v>
      </c>
      <c r="T110" s="67">
        <v>0</v>
      </c>
      <c r="U110" s="67">
        <v>0</v>
      </c>
      <c r="V110" s="67">
        <v>0</v>
      </c>
      <c r="W110" s="67">
        <v>0</v>
      </c>
      <c r="X110" s="67">
        <v>0</v>
      </c>
      <c r="Y110" s="67">
        <v>0</v>
      </c>
      <c r="Z110" s="67">
        <v>0</v>
      </c>
      <c r="AA110" s="67">
        <v>0</v>
      </c>
      <c r="AB110" s="67">
        <v>0</v>
      </c>
      <c r="AC110" s="68">
        <v>0</v>
      </c>
      <c r="AD110" s="69">
        <f>IFERROR(AVERAGEIF(Tabella01MarzoInverter[[#This Row],[Active power TX2-INV-1]:[Active power TX2-INV-12]], "&gt;0"), 0)</f>
        <v>0</v>
      </c>
      <c r="AE110" s="67">
        <f>MAX(Tabella01MarzoInverter[[#This Row],[Active power TX2-INV-1]:[Active power TX2-INV-12]])</f>
        <v>0</v>
      </c>
      <c r="AF110" s="70">
        <f>MIN(Tabella01MarzoInverter[[#This Row],[Active power TX2-INV-1]:[Active power TX2-INV-12]])</f>
        <v>0</v>
      </c>
      <c r="AG110" s="71">
        <v>0</v>
      </c>
      <c r="AH110" s="67">
        <v>0</v>
      </c>
      <c r="AI110" s="67">
        <v>0</v>
      </c>
      <c r="AJ110" s="67">
        <v>0</v>
      </c>
      <c r="AK110" s="67">
        <v>0</v>
      </c>
      <c r="AL110" s="67">
        <v>0</v>
      </c>
      <c r="AM110" s="67">
        <v>0</v>
      </c>
      <c r="AN110" s="67">
        <v>0</v>
      </c>
      <c r="AO110" s="67">
        <v>0</v>
      </c>
      <c r="AP110" s="67">
        <v>0</v>
      </c>
      <c r="AQ110" s="67">
        <v>0</v>
      </c>
      <c r="AR110" s="68">
        <v>0</v>
      </c>
      <c r="AS110" s="69">
        <f>IFERROR(AVERAGEIF(Tabella01MarzoInverter[[#This Row],[Active power TX3-INV-1]:[Active power TX3-INV-12]], "&gt;0"), 0)</f>
        <v>0</v>
      </c>
      <c r="AT110" s="67">
        <f>MAX(Tabella01MarzoInverter[[#This Row],[Active power TX3-INV-1]:[Active power TX3-INV-12]])</f>
        <v>0</v>
      </c>
      <c r="AU110" s="70">
        <f>MIN(Tabella01MarzoInverter[[#This Row],[Active power TX3-INV-1]:[Active power TX3-INV-12]])</f>
        <v>0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2A6D-F88A-4250-88A5-8AD9FDBBE745}">
  <dimension ref="A1:D37"/>
  <sheetViews>
    <sheetView workbookViewId="0">
      <selection activeCell="B2" sqref="B2:D37"/>
    </sheetView>
  </sheetViews>
  <sheetFormatPr defaultRowHeight="15" x14ac:dyDescent="0.25"/>
  <sheetData>
    <row r="1" spans="1:4" ht="63.75" x14ac:dyDescent="0.25">
      <c r="A1" s="21" t="s">
        <v>158</v>
      </c>
      <c r="B1" s="22" t="s">
        <v>159</v>
      </c>
      <c r="C1" s="22" t="s">
        <v>160</v>
      </c>
      <c r="D1" s="22" t="s">
        <v>161</v>
      </c>
    </row>
    <row r="2" spans="1:4" x14ac:dyDescent="0.25">
      <c r="A2" s="30" t="s">
        <v>162</v>
      </c>
      <c r="B2" s="30" t="s">
        <v>163</v>
      </c>
      <c r="C2" s="31">
        <v>343.75</v>
      </c>
      <c r="D2" s="31">
        <v>320</v>
      </c>
    </row>
    <row r="3" spans="1:4" x14ac:dyDescent="0.25">
      <c r="A3" s="29"/>
      <c r="B3" s="28" t="s">
        <v>164</v>
      </c>
      <c r="C3" s="26">
        <v>343.75</v>
      </c>
      <c r="D3" s="26">
        <v>320</v>
      </c>
    </row>
    <row r="4" spans="1:4" x14ac:dyDescent="0.25">
      <c r="A4" s="29"/>
      <c r="B4" s="28" t="s">
        <v>165</v>
      </c>
      <c r="C4" s="26">
        <v>343.75</v>
      </c>
      <c r="D4" s="26">
        <v>320</v>
      </c>
    </row>
    <row r="5" spans="1:4" x14ac:dyDescent="0.25">
      <c r="A5" s="29"/>
      <c r="B5" s="28" t="s">
        <v>166</v>
      </c>
      <c r="C5" s="26">
        <v>343.75</v>
      </c>
      <c r="D5" s="26">
        <v>320</v>
      </c>
    </row>
    <row r="6" spans="1:4" x14ac:dyDescent="0.25">
      <c r="A6" s="29"/>
      <c r="B6" s="28" t="s">
        <v>167</v>
      </c>
      <c r="C6" s="26">
        <v>343.75</v>
      </c>
      <c r="D6" s="26">
        <v>320</v>
      </c>
    </row>
    <row r="7" spans="1:4" x14ac:dyDescent="0.25">
      <c r="A7" s="29"/>
      <c r="B7" s="28" t="s">
        <v>168</v>
      </c>
      <c r="C7" s="26">
        <v>343.75</v>
      </c>
      <c r="D7" s="26">
        <v>320</v>
      </c>
    </row>
    <row r="8" spans="1:4" x14ac:dyDescent="0.25">
      <c r="A8" s="29"/>
      <c r="B8" s="28" t="s">
        <v>169</v>
      </c>
      <c r="C8" s="26">
        <v>343.75</v>
      </c>
      <c r="D8" s="26">
        <v>320</v>
      </c>
    </row>
    <row r="9" spans="1:4" x14ac:dyDescent="0.25">
      <c r="A9" s="29"/>
      <c r="B9" s="28" t="s">
        <v>170</v>
      </c>
      <c r="C9" s="26">
        <v>359.375</v>
      </c>
      <c r="D9" s="26">
        <v>320</v>
      </c>
    </row>
    <row r="10" spans="1:4" x14ac:dyDescent="0.25">
      <c r="A10" s="29"/>
      <c r="B10" s="28" t="s">
        <v>171</v>
      </c>
      <c r="C10" s="26">
        <v>359.375</v>
      </c>
      <c r="D10" s="26">
        <v>320</v>
      </c>
    </row>
    <row r="11" spans="1:4" x14ac:dyDescent="0.25">
      <c r="A11" s="29"/>
      <c r="B11" s="28" t="s">
        <v>172</v>
      </c>
      <c r="C11" s="26">
        <v>359.375</v>
      </c>
      <c r="D11" s="26">
        <v>320</v>
      </c>
    </row>
    <row r="12" spans="1:4" x14ac:dyDescent="0.25">
      <c r="A12" s="29"/>
      <c r="B12" s="28" t="s">
        <v>173</v>
      </c>
      <c r="C12" s="26">
        <v>359.375</v>
      </c>
      <c r="D12" s="26">
        <v>320</v>
      </c>
    </row>
    <row r="13" spans="1:4" x14ac:dyDescent="0.25">
      <c r="A13" s="29"/>
      <c r="B13" s="28" t="s">
        <v>174</v>
      </c>
      <c r="C13" s="26">
        <v>343.75</v>
      </c>
      <c r="D13" s="26">
        <v>320</v>
      </c>
    </row>
    <row r="14" spans="1:4" x14ac:dyDescent="0.25">
      <c r="A14" s="100" t="s">
        <v>175</v>
      </c>
      <c r="B14" s="27" t="s">
        <v>176</v>
      </c>
      <c r="C14" s="26">
        <v>328.125</v>
      </c>
      <c r="D14" s="26">
        <v>320</v>
      </c>
    </row>
    <row r="15" spans="1:4" x14ac:dyDescent="0.25">
      <c r="A15" s="101"/>
      <c r="B15" s="27" t="s">
        <v>177</v>
      </c>
      <c r="C15" s="26">
        <v>343.75</v>
      </c>
      <c r="D15" s="26">
        <v>320</v>
      </c>
    </row>
    <row r="16" spans="1:4" x14ac:dyDescent="0.25">
      <c r="A16" s="101"/>
      <c r="B16" s="27" t="s">
        <v>178</v>
      </c>
      <c r="C16" s="26">
        <v>343.75</v>
      </c>
      <c r="D16" s="26">
        <v>320</v>
      </c>
    </row>
    <row r="17" spans="1:4" x14ac:dyDescent="0.25">
      <c r="A17" s="101"/>
      <c r="B17" s="27" t="s">
        <v>179</v>
      </c>
      <c r="C17" s="26">
        <v>328.125</v>
      </c>
      <c r="D17" s="26">
        <v>320</v>
      </c>
    </row>
    <row r="18" spans="1:4" x14ac:dyDescent="0.25">
      <c r="A18" s="101"/>
      <c r="B18" s="27" t="s">
        <v>180</v>
      </c>
      <c r="C18" s="26">
        <v>328.125</v>
      </c>
      <c r="D18" s="26">
        <v>320</v>
      </c>
    </row>
    <row r="19" spans="1:4" x14ac:dyDescent="0.25">
      <c r="A19" s="101"/>
      <c r="B19" s="27" t="s">
        <v>181</v>
      </c>
      <c r="C19" s="26">
        <v>359.375</v>
      </c>
      <c r="D19" s="26">
        <v>320</v>
      </c>
    </row>
    <row r="20" spans="1:4" x14ac:dyDescent="0.25">
      <c r="A20" s="101"/>
      <c r="B20" s="27" t="s">
        <v>182</v>
      </c>
      <c r="C20" s="26">
        <v>343.75</v>
      </c>
      <c r="D20" s="26">
        <v>320</v>
      </c>
    </row>
    <row r="21" spans="1:4" x14ac:dyDescent="0.25">
      <c r="A21" s="101"/>
      <c r="B21" s="27" t="s">
        <v>183</v>
      </c>
      <c r="C21" s="26">
        <v>359.375</v>
      </c>
      <c r="D21" s="26">
        <v>320</v>
      </c>
    </row>
    <row r="22" spans="1:4" x14ac:dyDescent="0.25">
      <c r="A22" s="101"/>
      <c r="B22" s="27" t="s">
        <v>184</v>
      </c>
      <c r="C22" s="26">
        <v>359.375</v>
      </c>
      <c r="D22" s="26">
        <v>320</v>
      </c>
    </row>
    <row r="23" spans="1:4" x14ac:dyDescent="0.25">
      <c r="A23" s="101"/>
      <c r="B23" s="27" t="s">
        <v>185</v>
      </c>
      <c r="C23" s="26">
        <v>343.75</v>
      </c>
      <c r="D23" s="26">
        <v>320</v>
      </c>
    </row>
    <row r="24" spans="1:4" x14ac:dyDescent="0.25">
      <c r="A24" s="101"/>
      <c r="B24" s="27" t="s">
        <v>186</v>
      </c>
      <c r="C24" s="26">
        <v>359.375</v>
      </c>
      <c r="D24" s="26">
        <v>320</v>
      </c>
    </row>
    <row r="25" spans="1:4" x14ac:dyDescent="0.25">
      <c r="A25" s="101"/>
      <c r="B25" s="27" t="s">
        <v>187</v>
      </c>
      <c r="C25" s="26">
        <v>359.375</v>
      </c>
      <c r="D25" s="26">
        <v>320</v>
      </c>
    </row>
    <row r="26" spans="1:4" x14ac:dyDescent="0.25">
      <c r="A26" s="98" t="s">
        <v>188</v>
      </c>
      <c r="B26" s="25" t="s">
        <v>189</v>
      </c>
      <c r="C26" s="26">
        <v>359.375</v>
      </c>
      <c r="D26" s="26">
        <v>320</v>
      </c>
    </row>
    <row r="27" spans="1:4" x14ac:dyDescent="0.25">
      <c r="A27" s="99"/>
      <c r="B27" s="25" t="s">
        <v>190</v>
      </c>
      <c r="C27" s="26">
        <v>359.375</v>
      </c>
      <c r="D27" s="26">
        <v>320</v>
      </c>
    </row>
    <row r="28" spans="1:4" x14ac:dyDescent="0.25">
      <c r="A28" s="99"/>
      <c r="B28" s="25" t="s">
        <v>191</v>
      </c>
      <c r="C28" s="26">
        <v>359.375</v>
      </c>
      <c r="D28" s="26">
        <v>320</v>
      </c>
    </row>
    <row r="29" spans="1:4" x14ac:dyDescent="0.25">
      <c r="A29" s="99"/>
      <c r="B29" s="25" t="s">
        <v>192</v>
      </c>
      <c r="C29" s="26">
        <v>359.375</v>
      </c>
      <c r="D29" s="26">
        <v>320</v>
      </c>
    </row>
    <row r="30" spans="1:4" x14ac:dyDescent="0.25">
      <c r="A30" s="99"/>
      <c r="B30" s="25" t="s">
        <v>193</v>
      </c>
      <c r="C30" s="26">
        <v>359.375</v>
      </c>
      <c r="D30" s="26">
        <v>320</v>
      </c>
    </row>
    <row r="31" spans="1:4" x14ac:dyDescent="0.25">
      <c r="A31" s="99"/>
      <c r="B31" s="25" t="s">
        <v>194</v>
      </c>
      <c r="C31" s="26">
        <v>359.375</v>
      </c>
      <c r="D31" s="26">
        <v>320</v>
      </c>
    </row>
    <row r="32" spans="1:4" x14ac:dyDescent="0.25">
      <c r="A32" s="99"/>
      <c r="B32" s="25" t="s">
        <v>195</v>
      </c>
      <c r="C32" s="26">
        <v>359.375</v>
      </c>
      <c r="D32" s="26">
        <v>320</v>
      </c>
    </row>
    <row r="33" spans="1:4" x14ac:dyDescent="0.25">
      <c r="A33" s="99"/>
      <c r="B33" s="25" t="s">
        <v>196</v>
      </c>
      <c r="C33" s="26">
        <v>359.375</v>
      </c>
      <c r="D33" s="26">
        <v>320</v>
      </c>
    </row>
    <row r="34" spans="1:4" x14ac:dyDescent="0.25">
      <c r="A34" s="99"/>
      <c r="B34" s="25" t="s">
        <v>197</v>
      </c>
      <c r="C34" s="26">
        <v>359.375</v>
      </c>
      <c r="D34" s="26">
        <v>320</v>
      </c>
    </row>
    <row r="35" spans="1:4" x14ac:dyDescent="0.25">
      <c r="A35" s="99"/>
      <c r="B35" s="25" t="s">
        <v>198</v>
      </c>
      <c r="C35" s="26">
        <v>359.375</v>
      </c>
      <c r="D35" s="26">
        <v>320</v>
      </c>
    </row>
    <row r="36" spans="1:4" x14ac:dyDescent="0.25">
      <c r="A36" s="99"/>
      <c r="B36" s="25" t="s">
        <v>199</v>
      </c>
      <c r="C36" s="26">
        <v>359.375</v>
      </c>
      <c r="D36" s="26">
        <v>320</v>
      </c>
    </row>
    <row r="37" spans="1:4" x14ac:dyDescent="0.25">
      <c r="A37" s="99"/>
      <c r="B37" s="25" t="s">
        <v>200</v>
      </c>
      <c r="C37" s="26">
        <v>328.125</v>
      </c>
      <c r="D37" s="26">
        <v>320</v>
      </c>
    </row>
  </sheetData>
  <mergeCells count="2">
    <mergeCell ref="A26:A37"/>
    <mergeCell ref="A14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PR_Calc</vt:lpstr>
      <vt:lpstr>Inverter_data</vt:lpstr>
      <vt:lpstr>Nominal_Values</vt:lpstr>
      <vt:lpstr>Tabella01AprileInverter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Lipari Gaspare</dc:creator>
  <cp:lastModifiedBy>Lipari Gaspare</cp:lastModifiedBy>
  <dcterms:created xsi:type="dcterms:W3CDTF">2026-03-25T08:47:59Z</dcterms:created>
  <dcterms:modified xsi:type="dcterms:W3CDTF">2026-05-18T13:26:13Z</dcterms:modified>
</cp:coreProperties>
</file>