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277E76AB-FEE3-48BD-A559-DF43B3C7C848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I40" i="1"/>
  <c r="H40" i="1"/>
  <c r="G40" i="1"/>
  <c r="M39" i="1"/>
  <c r="J39" i="1"/>
  <c r="H39" i="1"/>
  <c r="I39" i="1" s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I36" i="1"/>
  <c r="H36" i="1"/>
  <c r="G36" i="1"/>
  <c r="M35" i="1"/>
  <c r="J35" i="1"/>
  <c r="H35" i="1"/>
  <c r="I35" i="1" s="1"/>
  <c r="G35" i="1"/>
  <c r="M34" i="1"/>
  <c r="J34" i="1"/>
  <c r="I34" i="1"/>
  <c r="H34" i="1"/>
  <c r="G34" i="1"/>
  <c r="M33" i="1"/>
  <c r="J33" i="1"/>
  <c r="I33" i="1"/>
  <c r="H33" i="1"/>
  <c r="G33" i="1"/>
  <c r="M32" i="1"/>
  <c r="J32" i="1"/>
  <c r="H32" i="1"/>
  <c r="I32" i="1" s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H29" i="1"/>
  <c r="I29" i="1" s="1"/>
  <c r="G29" i="1"/>
  <c r="M28" i="1"/>
  <c r="J28" i="1"/>
  <c r="H28" i="1"/>
  <c r="I28" i="1" s="1"/>
  <c r="G28" i="1"/>
  <c r="M27" i="1"/>
  <c r="J27" i="1"/>
  <c r="H27" i="1"/>
  <c r="I27" i="1" s="1"/>
  <c r="G27" i="1"/>
  <c r="M26" i="1"/>
  <c r="J26" i="1"/>
  <c r="H26" i="1"/>
  <c r="I26" i="1" s="1"/>
  <c r="G26" i="1"/>
  <c r="M25" i="1"/>
  <c r="J25" i="1"/>
  <c r="I25" i="1"/>
  <c r="H25" i="1"/>
  <c r="G25" i="1"/>
  <c r="M24" i="1"/>
  <c r="J24" i="1"/>
  <c r="H24" i="1"/>
  <c r="I24" i="1" s="1"/>
  <c r="G24" i="1"/>
  <c r="M23" i="1"/>
  <c r="J23" i="1"/>
  <c r="H23" i="1"/>
  <c r="I23" i="1" s="1"/>
  <c r="G23" i="1"/>
  <c r="M22" i="1"/>
  <c r="J22" i="1"/>
  <c r="H22" i="1"/>
  <c r="I22" i="1" s="1"/>
  <c r="G22" i="1"/>
  <c r="M21" i="1"/>
  <c r="J21" i="1"/>
  <c r="H21" i="1"/>
  <c r="I21" i="1" s="1"/>
  <c r="G21" i="1"/>
  <c r="M20" i="1"/>
  <c r="J20" i="1"/>
  <c r="H20" i="1"/>
  <c r="I20" i="1" s="1"/>
  <c r="G20" i="1"/>
  <c r="M19" i="1"/>
  <c r="J19" i="1"/>
  <c r="H19" i="1"/>
  <c r="I19" i="1" s="1"/>
  <c r="G19" i="1"/>
  <c r="M18" i="1"/>
  <c r="J18" i="1"/>
  <c r="H18" i="1"/>
  <c r="I18" i="1" s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H15" i="1"/>
  <c r="I15" i="1" s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E111" i="1" s="1" a="1"/>
  <c r="BE111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G64" i="1"/>
  <c r="AL56" i="1"/>
  <c r="AJ56" i="1"/>
  <c r="AN56" i="1"/>
  <c r="AN111" i="1" s="1" a="1"/>
  <c r="AN111" i="1" s="1"/>
  <c r="AO56" i="1"/>
  <c r="AP56" i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A56" i="1" a="1"/>
  <c r="BA56" i="1" s="1"/>
  <c r="AZ56" i="1" a="1"/>
  <c r="AZ56" i="1" s="1"/>
  <c r="AY56" i="1" a="1"/>
  <c r="AY56" i="1" s="1"/>
  <c r="AX56" i="1" a="1"/>
  <c r="AX56" i="1" s="1"/>
  <c r="AK56" i="1"/>
  <c r="AW56" i="1" a="1"/>
  <c r="AW56" i="1" s="1"/>
  <c r="AV56" i="1" a="1"/>
  <c r="AV56" i="1" s="1"/>
  <c r="AU56" i="1" a="1"/>
  <c r="AU56" i="1" s="1"/>
  <c r="AF56" i="1"/>
  <c r="AM56" i="1"/>
  <c r="AH56" i="1"/>
  <c r="AI56" i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AZ111" i="1" l="1" a="1"/>
  <c r="AZ111" i="1" s="1"/>
  <c r="AY111" i="1" a="1"/>
  <c r="AY111" i="1" s="1"/>
  <c r="BA111" i="1" a="1"/>
  <c r="BA111" i="1" s="1"/>
  <c r="AL111" i="1" a="1"/>
  <c r="AL111" i="1" s="1"/>
  <c r="AJ111" i="1" a="1"/>
  <c r="AJ111" i="1" s="1"/>
  <c r="AI111" i="1" a="1"/>
  <c r="AI111" i="1" s="1"/>
  <c r="AO111" i="1" a="1"/>
  <c r="AO111" i="1" s="1"/>
  <c r="AP111" i="1" a="1"/>
  <c r="AP111" i="1" s="1"/>
  <c r="AK111" i="1" a="1"/>
  <c r="AK111" i="1" s="1"/>
  <c r="AU111" i="1" a="1"/>
  <c r="AU111" i="1" s="1"/>
  <c r="AM111" i="1" a="1"/>
  <c r="AM111" i="1" s="1"/>
  <c r="AV111" i="1" a="1"/>
  <c r="AV111" i="1" s="1"/>
  <c r="AH111" i="1" a="1"/>
  <c r="AH111" i="1" s="1"/>
  <c r="AG111" i="1" a="1"/>
  <c r="AG111" i="1" s="1"/>
  <c r="AF111" i="1" a="1"/>
  <c r="AF111" i="1" s="1"/>
  <c r="AW111" i="1" a="1"/>
  <c r="AW111" i="1" s="1"/>
  <c r="AX111" i="1" a="1"/>
  <c r="AX111" i="1" s="1"/>
  <c r="AE111" i="1" a="1"/>
  <c r="AE111" i="1" s="1"/>
  <c r="BC111" i="1" a="1"/>
  <c r="BC111" i="1" s="1"/>
  <c r="BB111" i="1" a="1"/>
  <c r="BB111" i="1" s="1"/>
  <c r="Z111" i="1" a="1"/>
  <c r="Z111" i="1" s="1"/>
  <c r="Y111" i="1" a="1"/>
  <c r="Y111" i="1" s="1"/>
  <c r="X111" i="1" a="1"/>
  <c r="X111" i="1" s="1"/>
  <c r="W111" i="1" a="1"/>
  <c r="W111" i="1" s="1"/>
  <c r="V111" i="1" a="1"/>
  <c r="V111" i="1" s="1"/>
  <c r="P111" i="1" a="1"/>
  <c r="P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B111" i="1" s="1" a="1"/>
  <c r="AB111" i="1" s="1"/>
  <c r="AC56" i="1"/>
  <c r="AC111" i="1" s="1" a="1"/>
  <c r="AC111" i="1" s="1"/>
  <c r="AA56" i="1"/>
  <c r="AA111" i="1" s="1" a="1"/>
  <c r="AA111" i="1" s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BN5" i="1" l="1"/>
  <c r="BW6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<sst xmlns="http://schemas.openxmlformats.org/spreadsheetml/2006/main" count="407" uniqueCount="264">
  <si>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</si>
  <si>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</si>
  <si>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</si>
  <si>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</si>
  <si>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</si>
  <si>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</si>
  <si>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</si>
  <si>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</si>
  <si>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</si>
  <si>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</si>
  <si>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</si>
  <si>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</si>
  <si>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</si>
  <si>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</si>
  <si>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</si>
  <si>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</si>
  <si>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</si>
  <si>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</si>
  <si>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</si>
  <si>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</si>
  <si>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</si>
  <si>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</si>
  <si>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</si>
  <si>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</si>
  <si>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</si>
  <si>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</si>
  <si>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</si>
  <si>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</si>
  <si>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</si>
  <si>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</si>
  <si>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</si>
  <si>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</si>
  <si>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</si>
  <si>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</si>
  <si>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</si>
  <si>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</si>
  <si>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</si>
  <si>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</si>
  <si>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</si>
  <si>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</si>
  <si>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</si>
  <si>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</si>
  <si>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</si>
  <si>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</si>
  <si>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</si>
  <si>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</si>
  <si>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</si>
  <si>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</si>
  <si>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</si>
  <si>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</si>
  <si>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</si>
  <si>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</si>
  <si>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</si>
  <si>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</si>
  <si>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</si>
  <si>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</si>
  <si>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</si>
  <si>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</si>
  <si>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</si>
  <si>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</si>
  <si>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</si>
  <si>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</si>
  <si>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</si>
  <si>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</si>
  <si>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</si>
  <si>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</si>
  <si>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</si>
  <si>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</si>
  <si>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</si>
  <si>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</si>
  <si>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</si>
  <si>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</si>
  <si>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</si>
  <si>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</si>
  <si>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</si>
  <si>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</si>
  <si>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</si>
  <si>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</si>
  <si>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</si>
  <si>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</si>
  <si>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</si>
  <si>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</si>
  <si>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</si>
  <si>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</si>
  <si>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</si>
  <si>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</si>
  <si>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</si>
  <si>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</si>
  <si>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</si>
  <si>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</si>
  <si>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</si>
  <si>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</si>
  <si>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</si>
  <si>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</si>
  <si>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</si>
  <si>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</si>
  <si>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</si>
  <si>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</si>
  <si>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</si>
  <si>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</si>
  <si>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</si>
  <si>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</si>
  <si>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</si>
  <si>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</si>
  <si>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</si>
  <si>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</si>
  <si>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</si>
  <si>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</si>
  <si>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</si>
  <si>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</si>
  <si>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</si>
  <si>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</si>
  <si>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</si>
  <si>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</si>
  <si>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</si>
  <si>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</si>
  <si>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</si>
  <si>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</si>
  <si>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</si>
  <si>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</si>
  <si>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</si>
  <si>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</si>
  <si>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</si>
  <si>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</si>
  <si>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</si>
  <si>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</si>
  <si>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</si>
  <si>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</si>
  <si>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</si>
  <si>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</si>
  <si>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</si>
  <si>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</si>
  <si>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</si>
  <si>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</si>
  <si>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</si>
  <si>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</si>
  <si>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</si>
  <si>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</si>
  <si>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</si>
  <si>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</si>
  <si>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</si>
  <si>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</si>
  <si>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</si>
  <si>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</si>
  <si>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</si>
  <si>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</si>
  <si>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</si>
  <si>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</si>
  <si>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</si>
  <si>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</si>
  <si>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</si>
  <si>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</si>
  <si>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</si>
  <si>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</si>
  <si>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</si>
  <si>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</si>
  <si>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</si>
  <si>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</si>
  <si>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</si>
  <si>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</si>
  <si>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</si>
  <si>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</si>
  <si>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</si>
  <si>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</si>
  <si>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</si>
  <si>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</si>
  <si>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</si>
  <si>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</si>
  <si>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</si>
  <si>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</si>
  <si>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</si>
  <si>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</si>
  <si>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</si>
  <si>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</si>
  <si>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</si>
  <si>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</si>
  <si>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</si>
  <si>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</si>
  <si>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</si>
  <si>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</si>
  <si>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</si>
  <si>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</si>
  <si>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</si>
  <si>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</si>
  <si>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</si>
  <si>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</si>
  <si>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</si>
  <si>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</si>
  <si>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</si>
  <si>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</si>
  <si>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</si>
  <si>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</si>
  <si>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</si>
  <si>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</si>
  <si>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</si>
  <si>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</si>
  <si>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</si>
  <si>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</si>
  <si>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</si>
  <si>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</si>
  <si>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</si>
  <si>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</si>
  <si>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</si>
  <si>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</si>
  <si>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</si>
  <si>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</si>
  <si>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</si>
  <si>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</si>
  <si>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</si>
  <si>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</si>
  <si>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</si>
  <si>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</si>
  <si>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</si>
  <si>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</si>
  <si>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</si>
  <si>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</si>
  <si>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</si>
  <si>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</si>
  <si>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</si>
  <si>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</si>
  <si>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</si>
  <si>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</si>
  <si>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</si>
  <si>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</si>
  <si>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</si>
  <si>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</si>
  <si>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</si>
  <si>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</si>
  <si>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</si>
  <si>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</si>
  <si>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</si>
  <si>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</si>
  <si>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</si>
  <si>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</si>
  <si>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</si>
  <si>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</si>
  <si>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</si>
  <si>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</si>
  <si>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</si>
  <si>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</si>
  <si>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</si>
  <si>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</si>
  <si>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</si>
  <si>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</si>
  <si>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</si>
  <si>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</si>
  <si>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</si>
  <si>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</si>
  <si>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</si>
  <si>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</si>
  <si>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</si>
  <si>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</si>
  <si>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</si>
  <si>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</si>
  <si>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</si>
  <si>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</si>
  <si>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</si>
  <si>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</si>
  <si>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</si>
  <si>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</si>
  <si>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02 MAGGIO 2026</t>
  </si>
  <si>
    <t>NOMINAL VALUES</t>
  </si>
  <si>
    <t>2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</si>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</sst>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51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0.82461475325133493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82.461475325133492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82.518887717049054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58.51272588725206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46144</v>
      </c>
      <c r="B15" t="s">
        <v>15</v>
      </c>
      <c r="C15" s="5">
        <v>-2</v>
      </c>
      <c r="D15" s="6">
        <v>-5.0000000000000001E-4</v>
      </c>
      <c r="E15" s="6">
        <v>-1.6</v>
      </c>
      <c r="F15" s="6">
        <v>-4.0000000000000002E-4</v>
      </c>
      <c r="G15" s="6">
        <f>IFERROR((D15+F15)/2, 0)</f>
        <v>-4.4999999999999999E-4</v>
      </c>
      <c r="H15" s="7">
        <f>IFERROR(IF(AVERAGE(C15,E15)&gt;$BN$7,AVERAGE(C15,E15),0), 0)</f>
        <v>0</v>
      </c>
      <c r="I15" s="7">
        <f>IFERROR(IF(AND(D15=0,F15=0),0,IF(H15&gt;$BN$6,MAX(D15,F15),G15)), 0)</f>
        <v>-4.4999999999999999E-4</v>
      </c>
      <c r="J15" s="6">
        <f>IFERROR(IF(AND(D15&gt;0,F15&gt;0),ABS(D15-F15)/AVERAGE(D15,F15),0), 0)</f>
        <v>0</v>
      </c>
      <c r="K15" s="6">
        <v>30141.3</v>
      </c>
      <c r="L15" s="6">
        <v>30141.3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8312.1999999999971</v>
      </c>
      <c r="BN15" s="8"/>
      <c r="BO15" s="8"/>
      <c r="BP15" s="19"/>
    </row>
    <row r="16" spans="1:129" s="3" customFormat="1" x14ac:dyDescent="0.25">
      <c r="A16" s="18">
        <v>46144</v>
      </c>
      <c r="B16" t="s">
        <v>16</v>
      </c>
      <c r="C16" s="5">
        <v>-1.2</v>
      </c>
      <c r="D16" s="6">
        <v>-2.9999999999999997E-4</v>
      </c>
      <c r="E16" s="6">
        <v>-1</v>
      </c>
      <c r="F16" s="6">
        <v>-2.5000000000000001E-4</v>
      </c>
      <c r="G16" s="6">
        <f>IFERROR((D16+F16)/2, 0)</f>
        <v>-2.7499999999999996E-4</v>
      </c>
      <c r="H16" s="7">
        <f>IFERROR(IF(AVERAGE(C16,E16)&gt;$BN$7,AVERAGE(C16,E16),0), 0)</f>
        <v>0</v>
      </c>
      <c r="I16" s="7">
        <f>IFERROR(IF(AND(D16=0,F16=0),0,IF(H16&gt;$BN$6,MAX(D16,F16),G16)), 0)</f>
        <v>-2.7499999999999996E-4</v>
      </c>
      <c r="J16" s="6">
        <f>IFERROR(IF(AND(D16&gt;0,F16&gt;0),ABS(D16-F16)/AVERAGE(D16,F16),0), 0)</f>
        <v>0</v>
      </c>
      <c r="K16" s="6">
        <v>30141.3</v>
      </c>
      <c r="L16" s="6">
        <v>30141.3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0.68148841785616898</v>
      </c>
      <c r="BL16" s="5"/>
      <c r="BM16" s="5"/>
      <c r="BN16" s="8"/>
      <c r="BO16" s="8"/>
      <c r="BP16" s="19"/>
    </row>
    <row r="17" spans="1:68" s="3" customFormat="1" x14ac:dyDescent="0.25">
      <c r="A17" s="18">
        <v>46144</v>
      </c>
      <c r="B17" t="s">
        <v>17</v>
      </c>
      <c r="C17" s="5">
        <v>-0.7</v>
      </c>
      <c r="D17" s="6">
        <v>-1.75E-4</v>
      </c>
      <c r="E17" s="6">
        <v>0</v>
      </c>
      <c r="F17" s="6">
        <v>0</v>
      </c>
      <c r="G17" s="6">
        <f>IFERROR((D17+F17)/2, 0)</f>
        <v>-8.7499999999999999E-5</v>
      </c>
      <c r="H17" s="7">
        <f>IFERROR(IF(AVERAGE(C17,E17)&gt;$BN$7,AVERAGE(C17,E17),0), 0)</f>
        <v>0</v>
      </c>
      <c r="I17" s="7">
        <f>IFERROR(IF(AND(D17=0,F17=0),0,IF(H17&gt;$BN$6,MAX(D17,F17),G17)), 0)</f>
        <v>-8.7499999999999999E-5</v>
      </c>
      <c r="J17" s="6">
        <f>IFERROR(IF(AND(D17&gt;0,F17&gt;0),ABS(D17-F17)/AVERAGE(D17,F17),0), 0)</f>
        <v>0</v>
      </c>
      <c r="K17" s="6">
        <v>30141.3</v>
      </c>
      <c r="L17" s="6">
        <v>30141.3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0.68148841785616898</v>
      </c>
      <c r="BL17" s="5"/>
      <c r="BM17" s="5"/>
      <c r="BN17" s="8"/>
      <c r="BO17" s="8"/>
      <c r="BP17" s="19"/>
    </row>
    <row r="18" spans="1:68" s="3" customFormat="1" x14ac:dyDescent="0.25">
      <c r="A18" s="18">
        <v>46144</v>
      </c>
      <c r="B18" t="s">
        <v>18</v>
      </c>
      <c r="C18" s="5">
        <v>-1.6</v>
      </c>
      <c r="D18" s="6">
        <v>-4.0000000000000002E-4</v>
      </c>
      <c r="E18" s="6">
        <v>0</v>
      </c>
      <c r="F18" s="6">
        <v>0</v>
      </c>
      <c r="G18" s="6">
        <f>IFERROR((D18+F18)/2, 0)</f>
        <v>-2.0000000000000001E-4</v>
      </c>
      <c r="H18" s="7">
        <f>IFERROR(IF(AVERAGE(C18,E18)&gt;$BN$7,AVERAGE(C18,E18),0), 0)</f>
        <v>0</v>
      </c>
      <c r="I18" s="7">
        <f>IFERROR(IF(AND(D18=0,F18=0),0,IF(H18&gt;$BN$6,MAX(D18,F18),G18)), 0)</f>
        <v>-2.0000000000000001E-4</v>
      </c>
      <c r="J18" s="6">
        <f>IFERROR(IF(AND(D18&gt;0,F18&gt;0),ABS(D18-F18)/AVERAGE(D18,F18),0), 0)</f>
        <v>0</v>
      </c>
      <c r="K18" s="6">
        <v>30141.3</v>
      </c>
      <c r="L18" s="6">
        <v>30141.3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0.68148841785616898</v>
      </c>
      <c r="BL18" s="5"/>
      <c r="BM18" s="5"/>
      <c r="BN18" s="8"/>
      <c r="BO18" s="8"/>
      <c r="BP18" s="19"/>
    </row>
    <row r="19" spans="1:68" s="3" customFormat="1" x14ac:dyDescent="0.25">
      <c r="A19" s="18">
        <v>46144</v>
      </c>
      <c r="B19" t="s">
        <v>19</v>
      </c>
      <c r="C19" s="5">
        <v>-1.9</v>
      </c>
      <c r="D19" s="6">
        <v>-4.75E-4</v>
      </c>
      <c r="E19" s="6">
        <v>-0.9</v>
      </c>
      <c r="F19" s="6">
        <v>-2.2499999999999999E-4</v>
      </c>
      <c r="G19" s="6">
        <f>IFERROR((D19+F19)/2, 0)</f>
        <v>-3.5E-4</v>
      </c>
      <c r="H19" s="7">
        <f>IFERROR(IF(AVERAGE(C19,E19)&gt;$BN$7,AVERAGE(C19,E19),0), 0)</f>
        <v>0</v>
      </c>
      <c r="I19" s="7">
        <f>IFERROR(IF(AND(D19=0,F19=0),0,IF(H19&gt;$BN$6,MAX(D19,F19),G19)), 0)</f>
        <v>-3.5E-4</v>
      </c>
      <c r="J19" s="6">
        <f>IFERROR(IF(AND(D19&gt;0,F19&gt;0),ABS(D19-F19)/AVERAGE(D19,F19),0), 0)</f>
        <v>0</v>
      </c>
      <c r="K19" s="6">
        <v>30141.3</v>
      </c>
      <c r="L19" s="6">
        <v>30141.3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0.68148841785616898</v>
      </c>
      <c r="BL19" s="5"/>
      <c r="BM19" s="5"/>
      <c r="BN19" s="8"/>
      <c r="BO19" s="8"/>
      <c r="BP19" s="19"/>
    </row>
    <row r="20" spans="1:68" s="3" customFormat="1" x14ac:dyDescent="0.25">
      <c r="A20" s="18">
        <v>46144</v>
      </c>
      <c r="B20" t="s">
        <v>20</v>
      </c>
      <c r="C20" s="5">
        <v>-2</v>
      </c>
      <c r="D20" s="6">
        <v>-5.0000000000000001E-4</v>
      </c>
      <c r="E20" s="6">
        <v>-1.7</v>
      </c>
      <c r="F20" s="6">
        <v>-4.2499999999999998E-4</v>
      </c>
      <c r="G20" s="6">
        <f>IFERROR((D20+F20)/2, 0)</f>
        <v>-4.6250000000000002E-4</v>
      </c>
      <c r="H20" s="7">
        <f>IFERROR(IF(AVERAGE(C20,E20)&gt;$BN$7,AVERAGE(C20,E20),0), 0)</f>
        <v>0</v>
      </c>
      <c r="I20" s="7">
        <f>IFERROR(IF(AND(D20=0,F20=0),0,IF(H20&gt;$BN$6,MAX(D20,F20),G20)), 0)</f>
        <v>-4.6250000000000002E-4</v>
      </c>
      <c r="J20" s="6">
        <f>IFERROR(IF(AND(D20&gt;0,F20&gt;0),ABS(D20-F20)/AVERAGE(D20,F20),0), 0)</f>
        <v>0</v>
      </c>
      <c r="K20" s="6">
        <v>30141.3</v>
      </c>
      <c r="L20" s="6">
        <v>30141.3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0.68148841785616898</v>
      </c>
      <c r="BL20" s="5"/>
      <c r="BM20" s="5"/>
      <c r="BN20" s="8"/>
      <c r="BO20" s="8"/>
      <c r="BP20" s="19"/>
    </row>
    <row r="21" spans="1:68" s="3" customFormat="1" x14ac:dyDescent="0.25">
      <c r="A21" s="18">
        <v>46144</v>
      </c>
      <c r="B21" t="s">
        <v>21</v>
      </c>
      <c r="C21" s="5">
        <v>-2</v>
      </c>
      <c r="D21" s="6">
        <v>-5.0000000000000001E-4</v>
      </c>
      <c r="E21" s="6">
        <v>-2</v>
      </c>
      <c r="F21" s="6">
        <v>-5.0000000000000001E-4</v>
      </c>
      <c r="G21" s="6">
        <f>IFERROR((D21+F21)/2, 0)</f>
        <v>-5.0000000000000001E-4</v>
      </c>
      <c r="H21" s="7">
        <f>IFERROR(IF(AVERAGE(C21,E21)&gt;$BN$7,AVERAGE(C21,E21),0), 0)</f>
        <v>0</v>
      </c>
      <c r="I21" s="7">
        <f>IFERROR(IF(AND(D21=0,F21=0),0,IF(H21&gt;$BN$6,MAX(D21,F21),G21)), 0)</f>
        <v>-5.0000000000000001E-4</v>
      </c>
      <c r="J21" s="6">
        <f>IFERROR(IF(AND(D21&gt;0,F21&gt;0),ABS(D21-F21)/AVERAGE(D21,F21),0), 0)</f>
        <v>0</v>
      </c>
      <c r="K21" s="6">
        <v>30141.3</v>
      </c>
      <c r="L21" s="6">
        <v>30141.3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0.68148841785616898</v>
      </c>
      <c r="BL21" s="5"/>
      <c r="BM21" s="5"/>
      <c r="BN21" s="8"/>
      <c r="BO21" s="8"/>
      <c r="BP21" s="19"/>
    </row>
    <row r="22" spans="1:68" s="3" customFormat="1" x14ac:dyDescent="0.25">
      <c r="A22" s="18">
        <v>46144</v>
      </c>
      <c r="B22" t="s">
        <v>22</v>
      </c>
      <c r="C22" s="5">
        <v>-2</v>
      </c>
      <c r="D22" s="6">
        <v>-5.0000000000000001E-4</v>
      </c>
      <c r="E22" s="6">
        <v>-1.5</v>
      </c>
      <c r="F22" s="6">
        <v>-3.7500000000000001E-4</v>
      </c>
      <c r="G22" s="6">
        <f>IFERROR((D22+F22)/2, 0)</f>
        <v>-4.3750000000000001E-4</v>
      </c>
      <c r="H22" s="7">
        <f>IFERROR(IF(AVERAGE(C22,E22)&gt;$BN$7,AVERAGE(C22,E22),0), 0)</f>
        <v>0</v>
      </c>
      <c r="I22" s="7">
        <f>IFERROR(IF(AND(D22=0,F22=0),0,IF(H22&gt;$BN$6,MAX(D22,F22),G22)), 0)</f>
        <v>-4.3750000000000001E-4</v>
      </c>
      <c r="J22" s="6">
        <f>IFERROR(IF(AND(D22&gt;0,F22&gt;0),ABS(D22-F22)/AVERAGE(D22,F22),0), 0)</f>
        <v>0</v>
      </c>
      <c r="K22" s="6">
        <v>30141.3</v>
      </c>
      <c r="L22" s="6">
        <v>30141.3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0.68148841785616898</v>
      </c>
      <c r="BL22" s="5"/>
      <c r="BM22" s="5"/>
      <c r="BN22" s="8"/>
      <c r="BO22" s="8"/>
      <c r="BP22" s="19"/>
    </row>
    <row r="23" spans="1:68" s="3" customFormat="1" x14ac:dyDescent="0.25">
      <c r="A23" s="18">
        <v>46144</v>
      </c>
      <c r="B23" t="s">
        <v>23</v>
      </c>
      <c r="C23" s="5">
        <v>-1.9</v>
      </c>
      <c r="D23" s="6">
        <v>-4.75E-4</v>
      </c>
      <c r="E23" s="6">
        <v>-1.6</v>
      </c>
      <c r="F23" s="6">
        <v>-4.0000000000000002E-4</v>
      </c>
      <c r="G23" s="6">
        <f>IFERROR((D23+F23)/2, 0)</f>
        <v>-4.3750000000000001E-4</v>
      </c>
      <c r="H23" s="7">
        <f>IFERROR(IF(AVERAGE(C23,E23)&gt;$BN$7,AVERAGE(C23,E23),0), 0)</f>
        <v>0</v>
      </c>
      <c r="I23" s="7">
        <f>IFERROR(IF(AND(D23=0,F23=0),0,IF(H23&gt;$BN$6,MAX(D23,F23),G23)), 0)</f>
        <v>-4.3750000000000001E-4</v>
      </c>
      <c r="J23" s="6">
        <f>IFERROR(IF(AND(D23&gt;0,F23&gt;0),ABS(D23-F23)/AVERAGE(D23,F23),0), 0)</f>
        <v>0</v>
      </c>
      <c r="K23" s="6">
        <v>30141.3</v>
      </c>
      <c r="L23" s="6">
        <v>30141.3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0.68148841785616898</v>
      </c>
      <c r="BL23" s="5"/>
      <c r="BM23" s="5"/>
      <c r="BN23" s="8"/>
      <c r="BO23" s="8"/>
      <c r="BP23" s="19"/>
    </row>
    <row r="24" spans="1:68" s="3" customFormat="1" x14ac:dyDescent="0.25">
      <c r="A24" s="18">
        <v>46144</v>
      </c>
      <c r="B24" t="s">
        <v>24</v>
      </c>
      <c r="C24" s="5">
        <v>-2</v>
      </c>
      <c r="D24" s="6">
        <v>-5.0000000000000001E-4</v>
      </c>
      <c r="E24" s="6">
        <v>-1.8</v>
      </c>
      <c r="F24" s="6">
        <v>-4.4999999999999999E-4</v>
      </c>
      <c r="G24" s="6">
        <f>IFERROR((D24+F24)/2, 0)</f>
        <v>-4.75E-4</v>
      </c>
      <c r="H24" s="7">
        <f>IFERROR(IF(AVERAGE(C24,E24)&gt;$BN$7,AVERAGE(C24,E24),0), 0)</f>
        <v>0</v>
      </c>
      <c r="I24" s="7">
        <f>IFERROR(IF(AND(D24=0,F24=0),0,IF(H24&gt;$BN$6,MAX(D24,F24),G24)), 0)</f>
        <v>-4.75E-4</v>
      </c>
      <c r="J24" s="6">
        <f>IFERROR(IF(AND(D24&gt;0,F24&gt;0),ABS(D24-F24)/AVERAGE(D24,F24),0), 0)</f>
        <v>0</v>
      </c>
      <c r="K24" s="6">
        <v>30141.3</v>
      </c>
      <c r="L24" s="6">
        <v>30141.3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0.68148841785616898</v>
      </c>
      <c r="BL24" s="5"/>
      <c r="BM24" s="5"/>
      <c r="BN24" s="8"/>
      <c r="BO24" s="8"/>
      <c r="BP24" s="19"/>
    </row>
    <row r="25" spans="1:68" s="3" customFormat="1" x14ac:dyDescent="0.25">
      <c r="A25" s="18">
        <v>46144</v>
      </c>
      <c r="B25" t="s">
        <v>25</v>
      </c>
      <c r="C25" s="5">
        <v>-2</v>
      </c>
      <c r="D25" s="6">
        <v>-5.0000000000000001E-4</v>
      </c>
      <c r="E25" s="6">
        <v>-1.8</v>
      </c>
      <c r="F25" s="6">
        <v>-4.4999999999999999E-4</v>
      </c>
      <c r="G25" s="6">
        <f>IFERROR((D25+F25)/2, 0)</f>
        <v>-4.75E-4</v>
      </c>
      <c r="H25" s="7">
        <f>IFERROR(IF(AVERAGE(C25,E25)&gt;$BN$7,AVERAGE(C25,E25),0), 0)</f>
        <v>0</v>
      </c>
      <c r="I25" s="7">
        <f>IFERROR(IF(AND(D25=0,F25=0),0,IF(H25&gt;$BN$6,MAX(D25,F25),G25)), 0)</f>
        <v>-4.75E-4</v>
      </c>
      <c r="J25" s="6">
        <f>IFERROR(IF(AND(D25&gt;0,F25&gt;0),ABS(D25-F25)/AVERAGE(D25,F25),0), 0)</f>
        <v>0</v>
      </c>
      <c r="K25" s="6">
        <v>30141.3</v>
      </c>
      <c r="L25" s="6">
        <v>30141.3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0.68148841785616898</v>
      </c>
      <c r="BL25" s="5"/>
      <c r="BM25" s="5"/>
      <c r="BN25" s="8"/>
      <c r="BO25" s="8"/>
      <c r="BP25" s="19"/>
    </row>
    <row r="26" spans="1:68" s="3" customFormat="1" x14ac:dyDescent="0.25">
      <c r="A26" s="18">
        <v>46144</v>
      </c>
      <c r="B26" t="s">
        <v>26</v>
      </c>
      <c r="C26" s="5">
        <v>-2.2000000000000002</v>
      </c>
      <c r="D26" s="6">
        <v>-5.5000000000000003E-4</v>
      </c>
      <c r="E26" s="6">
        <v>-1.7</v>
      </c>
      <c r="F26" s="6">
        <v>-4.2499999999999998E-4</v>
      </c>
      <c r="G26" s="6">
        <f>IFERROR((D26+F26)/2, 0)</f>
        <v>-4.8749999999999998E-4</v>
      </c>
      <c r="H26" s="7">
        <f>IFERROR(IF(AVERAGE(C26,E26)&gt;$BN$7,AVERAGE(C26,E26),0), 0)</f>
        <v>0</v>
      </c>
      <c r="I26" s="7">
        <f>IFERROR(IF(AND(D26=0,F26=0),0,IF(H26&gt;$BN$6,MAX(D26,F26),G26)), 0)</f>
        <v>-4.8749999999999998E-4</v>
      </c>
      <c r="J26" s="6">
        <f>IFERROR(IF(AND(D26&gt;0,F26&gt;0),ABS(D26-F26)/AVERAGE(D26,F26),0), 0)</f>
        <v>0</v>
      </c>
      <c r="K26" s="6">
        <v>30141.3</v>
      </c>
      <c r="L26" s="6">
        <v>30141.3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0.68148841785616898</v>
      </c>
      <c r="BL26" s="5"/>
      <c r="BM26" s="5"/>
      <c r="BN26" s="8"/>
      <c r="BO26" s="8"/>
      <c r="BP26" s="19"/>
    </row>
    <row r="27" spans="1:68" s="3" customFormat="1" x14ac:dyDescent="0.25">
      <c r="A27" s="18">
        <v>46144</v>
      </c>
      <c r="B27" t="s">
        <v>27</v>
      </c>
      <c r="C27" s="5">
        <v>-1.5</v>
      </c>
      <c r="D27" s="6">
        <v>-3.7500000000000001E-4</v>
      </c>
      <c r="E27" s="6">
        <v>-0.4</v>
      </c>
      <c r="F27" s="6">
        <v>-1E-4</v>
      </c>
      <c r="G27" s="6">
        <f>IFERROR((D27+F27)/2, 0)</f>
        <v>-2.375E-4</v>
      </c>
      <c r="H27" s="7">
        <f>IFERROR(IF(AVERAGE(C27,E27)&gt;$BN$7,AVERAGE(C27,E27),0), 0)</f>
        <v>0</v>
      </c>
      <c r="I27" s="7">
        <f>IFERROR(IF(AND(D27=0,F27=0),0,IF(H27&gt;$BN$6,MAX(D27,F27),G27)), 0)</f>
        <v>-2.375E-4</v>
      </c>
      <c r="J27" s="6">
        <f>IFERROR(IF(AND(D27&gt;0,F27&gt;0),ABS(D27-F27)/AVERAGE(D27,F27),0), 0)</f>
        <v>0</v>
      </c>
      <c r="K27" s="6">
        <v>30141.3</v>
      </c>
      <c r="L27" s="6">
        <v>30141.3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0.68148841785616898</v>
      </c>
      <c r="BL27" s="5"/>
      <c r="BM27" s="5"/>
      <c r="BN27" s="8"/>
      <c r="BO27" s="8"/>
      <c r="BP27" s="19"/>
    </row>
    <row r="28" spans="1:68" s="3" customFormat="1" x14ac:dyDescent="0.25">
      <c r="A28" s="18">
        <v>46144</v>
      </c>
      <c r="B28" t="s">
        <v>28</v>
      </c>
      <c r="C28" s="5">
        <v>-1</v>
      </c>
      <c r="D28" s="6">
        <v>-2.5000000000000001E-4</v>
      </c>
      <c r="E28" s="6">
        <v>0</v>
      </c>
      <c r="F28" s="6">
        <v>0</v>
      </c>
      <c r="G28" s="6">
        <f>IFERROR((D28+F28)/2, 0)</f>
        <v>-1.25E-4</v>
      </c>
      <c r="H28" s="7">
        <f>IFERROR(IF(AVERAGE(C28,E28)&gt;$BN$7,AVERAGE(C28,E28),0), 0)</f>
        <v>0</v>
      </c>
      <c r="I28" s="7">
        <f>IFERROR(IF(AND(D28=0,F28=0),0,IF(H28&gt;$BN$6,MAX(D28,F28),G28)), 0)</f>
        <v>-1.25E-4</v>
      </c>
      <c r="J28" s="6">
        <f>IFERROR(IF(AND(D28&gt;0,F28&gt;0),ABS(D28-F28)/AVERAGE(D28,F28),0), 0)</f>
        <v>0</v>
      </c>
      <c r="K28" s="6">
        <v>30141.3</v>
      </c>
      <c r="L28" s="6">
        <v>30141.3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0.68148841785616898</v>
      </c>
      <c r="BL28" s="5"/>
      <c r="BM28" s="5"/>
      <c r="BN28" s="8"/>
      <c r="BO28" s="8"/>
      <c r="BP28" s="19"/>
    </row>
    <row r="29" spans="1:68" s="3" customFormat="1" x14ac:dyDescent="0.25">
      <c r="A29" s="18">
        <v>46144</v>
      </c>
      <c r="B29" t="s">
        <v>29</v>
      </c>
      <c r="C29" s="5">
        <v>-1</v>
      </c>
      <c r="D29" s="6">
        <v>-2.5000000000000001E-4</v>
      </c>
      <c r="E29" s="6">
        <v>-0.1</v>
      </c>
      <c r="F29" s="6">
        <v>-2.5000000000000001E-5</v>
      </c>
      <c r="G29" s="6">
        <f>IFERROR((D29+F29)/2, 0)</f>
        <v>-1.3750000000000001E-4</v>
      </c>
      <c r="H29" s="7">
        <f>IFERROR(IF(AVERAGE(C29,E29)&gt;$BN$7,AVERAGE(C29,E29),0), 0)</f>
        <v>0</v>
      </c>
      <c r="I29" s="7">
        <f>IFERROR(IF(AND(D29=0,F29=0),0,IF(H29&gt;$BN$6,MAX(D29,F29),G29)), 0)</f>
        <v>-1.3750000000000001E-4</v>
      </c>
      <c r="J29" s="6">
        <f>IFERROR(IF(AND(D29&gt;0,F29&gt;0),ABS(D29-F29)/AVERAGE(D29,F29),0), 0)</f>
        <v>0</v>
      </c>
      <c r="K29" s="6">
        <v>30141.3</v>
      </c>
      <c r="L29" s="6">
        <v>30141.3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0.68148841785616898</v>
      </c>
      <c r="BL29" s="5"/>
      <c r="BM29" s="5"/>
      <c r="BN29" s="8"/>
      <c r="BO29" s="8"/>
      <c r="BP29" s="19"/>
    </row>
    <row r="30" spans="1:68" s="3" customFormat="1" x14ac:dyDescent="0.25">
      <c r="A30" s="18">
        <v>46144</v>
      </c>
      <c r="B30" t="s">
        <v>30</v>
      </c>
      <c r="C30" s="5">
        <v>-1.7</v>
      </c>
      <c r="D30" s="6">
        <v>-4.2499999999999998E-4</v>
      </c>
      <c r="E30" s="6">
        <v>-1</v>
      </c>
      <c r="F30" s="6">
        <v>-2.5000000000000001E-4</v>
      </c>
      <c r="G30" s="6">
        <f>IFERROR((D30+F30)/2, 0)</f>
        <v>-3.3750000000000002E-4</v>
      </c>
      <c r="H30" s="7">
        <f>IFERROR(IF(AVERAGE(C30,E30)&gt;$BN$7,AVERAGE(C30,E30),0), 0)</f>
        <v>0</v>
      </c>
      <c r="I30" s="7">
        <f>IFERROR(IF(AND(D30=0,F30=0),0,IF(H30&gt;$BN$6,MAX(D30,F30),G30)), 0)</f>
        <v>-3.3750000000000002E-4</v>
      </c>
      <c r="J30" s="6">
        <f>IFERROR(IF(AND(D30&gt;0,F30&gt;0),ABS(D30-F30)/AVERAGE(D30,F30),0), 0)</f>
        <v>0</v>
      </c>
      <c r="K30" s="6">
        <v>30141.3</v>
      </c>
      <c r="L30" s="6">
        <v>30141.3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0.68148841785616898</v>
      </c>
      <c r="BL30" s="5"/>
      <c r="BM30" s="5"/>
      <c r="BN30" s="8"/>
      <c r="BO30" s="8"/>
      <c r="BP30" s="19"/>
    </row>
    <row r="31" spans="1:68" s="3" customFormat="1" x14ac:dyDescent="0.25">
      <c r="A31" s="18">
        <v>46144</v>
      </c>
      <c r="B31" t="s">
        <v>31</v>
      </c>
      <c r="C31" s="5">
        <v>-2</v>
      </c>
      <c r="D31" s="6">
        <v>-5.0000000000000001E-4</v>
      </c>
      <c r="E31" s="6">
        <v>-1.3</v>
      </c>
      <c r="F31" s="6">
        <v>-3.2499999999999999E-4</v>
      </c>
      <c r="G31" s="6">
        <f>IFERROR((D31+F31)/2, 0)</f>
        <v>-4.125E-4</v>
      </c>
      <c r="H31" s="7">
        <f>IFERROR(IF(AVERAGE(C31,E31)&gt;$BN$7,AVERAGE(C31,E31),0), 0)</f>
        <v>0</v>
      </c>
      <c r="I31" s="7">
        <f>IFERROR(IF(AND(D31=0,F31=0),0,IF(H31&gt;$BN$6,MAX(D31,F31),G31)), 0)</f>
        <v>-4.125E-4</v>
      </c>
      <c r="J31" s="6">
        <f>IFERROR(IF(AND(D31&gt;0,F31&gt;0),ABS(D31-F31)/AVERAGE(D31,F31),0), 0)</f>
        <v>0</v>
      </c>
      <c r="K31" s="6">
        <v>30141.3</v>
      </c>
      <c r="L31" s="6">
        <v>30141.3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0.68148841785616898</v>
      </c>
      <c r="BL31" s="5"/>
      <c r="BM31" s="5"/>
      <c r="BN31" s="8"/>
      <c r="BO31" s="8"/>
      <c r="BP31" s="19"/>
    </row>
    <row r="32" spans="1:68" s="3" customFormat="1" x14ac:dyDescent="0.25">
      <c r="A32" s="18">
        <v>46144</v>
      </c>
      <c r="B32" t="s">
        <v>32</v>
      </c>
      <c r="C32" s="5">
        <v>-2</v>
      </c>
      <c r="D32" s="6">
        <v>-5.0000000000000001E-4</v>
      </c>
      <c r="E32" s="6">
        <v>-2.4</v>
      </c>
      <c r="F32" s="6">
        <v>-5.9999999999999995E-4</v>
      </c>
      <c r="G32" s="6">
        <f>IFERROR((D32+F32)/2, 0)</f>
        <v>-5.4999999999999992E-4</v>
      </c>
      <c r="H32" s="7">
        <f>IFERROR(IF(AVERAGE(C32,E32)&gt;$BN$7,AVERAGE(C32,E32),0), 0)</f>
        <v>0</v>
      </c>
      <c r="I32" s="7">
        <f>IFERROR(IF(AND(D32=0,F32=0),0,IF(H32&gt;$BN$6,MAX(D32,F32),G32)), 0)</f>
        <v>-5.4999999999999992E-4</v>
      </c>
      <c r="J32" s="6">
        <f>IFERROR(IF(AND(D32&gt;0,F32&gt;0),ABS(D32-F32)/AVERAGE(D32,F32),0), 0)</f>
        <v>0</v>
      </c>
      <c r="K32" s="6">
        <v>30141.3</v>
      </c>
      <c r="L32" s="6">
        <v>30141.3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0.68148841785616898</v>
      </c>
      <c r="BL32" s="5"/>
      <c r="BM32" s="5"/>
      <c r="BN32" s="8"/>
      <c r="BO32" s="8"/>
      <c r="BP32" s="19"/>
    </row>
    <row r="33" spans="1:68" s="3" customFormat="1" x14ac:dyDescent="0.25">
      <c r="A33" s="18">
        <v>46144</v>
      </c>
      <c r="B33" t="s">
        <v>33</v>
      </c>
      <c r="C33" s="5">
        <v>-2.4</v>
      </c>
      <c r="D33" s="6">
        <v>-5.9999999999999995E-4</v>
      </c>
      <c r="E33" s="6">
        <v>-2.2999999999999998</v>
      </c>
      <c r="F33" s="6">
        <v>-5.7499999999999999E-4</v>
      </c>
      <c r="G33" s="6">
        <f>IFERROR((D33+F33)/2, 0)</f>
        <v>-5.8749999999999991E-4</v>
      </c>
      <c r="H33" s="7">
        <f>IFERROR(IF(AVERAGE(C33,E33)&gt;$BN$7,AVERAGE(C33,E33),0), 0)</f>
        <v>0</v>
      </c>
      <c r="I33" s="7">
        <f>IFERROR(IF(AND(D33=0,F33=0),0,IF(H33&gt;$BN$6,MAX(D33,F33),G33)), 0)</f>
        <v>-5.8749999999999991E-4</v>
      </c>
      <c r="J33" s="6">
        <f>IFERROR(IF(AND(D33&gt;0,F33&gt;0),ABS(D33-F33)/AVERAGE(D33,F33),0), 0)</f>
        <v>0</v>
      </c>
      <c r="K33" s="6">
        <v>30141.3</v>
      </c>
      <c r="L33" s="6">
        <v>30141.3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0.68148841785616898</v>
      </c>
      <c r="BL33" s="5"/>
      <c r="BM33" s="5"/>
      <c r="BN33" s="8"/>
      <c r="BO33" s="8"/>
      <c r="BP33" s="19"/>
    </row>
    <row r="34" spans="1:68" s="3" customFormat="1" x14ac:dyDescent="0.25">
      <c r="A34" s="18">
        <v>46144</v>
      </c>
      <c r="B34" t="s">
        <v>34</v>
      </c>
      <c r="C34" s="5">
        <v>-2.7</v>
      </c>
      <c r="D34" s="6">
        <v>-6.7500000000000004E-4</v>
      </c>
      <c r="E34" s="6">
        <v>-3</v>
      </c>
      <c r="F34" s="6">
        <v>-7.5000000000000002E-4</v>
      </c>
      <c r="G34" s="6">
        <f>IFERROR((D34+F34)/2, 0)</f>
        <v>-7.1250000000000003E-4</v>
      </c>
      <c r="H34" s="7">
        <f>IFERROR(IF(AVERAGE(C34,E34)&gt;$BN$7,AVERAGE(C34,E34),0), 0)</f>
        <v>0</v>
      </c>
      <c r="I34" s="7">
        <f>IFERROR(IF(AND(D34=0,F34=0),0,IF(H34&gt;$BN$6,MAX(D34,F34),G34)), 0)</f>
        <v>-7.1250000000000003E-4</v>
      </c>
      <c r="J34" s="6">
        <f>IFERROR(IF(AND(D34&gt;0,F34&gt;0),ABS(D34-F34)/AVERAGE(D34,F34),0), 0)</f>
        <v>0</v>
      </c>
      <c r="K34" s="6">
        <v>30141.3</v>
      </c>
      <c r="L34" s="6">
        <v>30141.3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0.68148841785616898</v>
      </c>
      <c r="BL34" s="5"/>
      <c r="BM34" s="5"/>
      <c r="BN34" s="8"/>
      <c r="BO34" s="8"/>
      <c r="BP34" s="19"/>
    </row>
    <row r="35" spans="1:68" x14ac:dyDescent="0.25">
      <c r="A35" s="18">
        <v>46144</v>
      </c>
      <c r="B35" t="s">
        <v>35</v>
      </c>
      <c r="C35" s="5">
        <v>-1.3</v>
      </c>
      <c r="D35" s="6">
        <v>-3.2499999999999999E-4</v>
      </c>
      <c r="E35" s="6">
        <v>-1.4</v>
      </c>
      <c r="F35" s="6">
        <v>-3.5E-4</v>
      </c>
      <c r="G35" s="6">
        <f>IFERROR((D35+F35)/2, 0)</f>
        <v>-3.3750000000000002E-4</v>
      </c>
      <c r="H35" s="7">
        <f>IFERROR(IF(AVERAGE(C35,E35)&gt;$BN$7,AVERAGE(C35,E35),0), 0)</f>
        <v>0</v>
      </c>
      <c r="I35" s="7">
        <f>IFERROR(IF(AND(D35=0,F35=0),0,IF(H35&gt;$BN$6,MAX(D35,F35),G35)), 0)</f>
        <v>-3.3750000000000002E-4</v>
      </c>
      <c r="J35" s="6">
        <f>IFERROR(IF(AND(D35&gt;0,F35&gt;0),ABS(D35-F35)/AVERAGE(D35,F35),0), 0)</f>
        <v>0</v>
      </c>
      <c r="K35" s="6">
        <v>30141.3</v>
      </c>
      <c r="L35" s="6">
        <v>30141.3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0.68148841785616898</v>
      </c>
      <c r="BL35" s="5"/>
      <c r="BM35" s="5"/>
      <c r="BN35" s="8"/>
      <c r="BO35" s="8"/>
      <c r="BP35" s="19"/>
    </row>
    <row r="36" spans="1:68" x14ac:dyDescent="0.25">
      <c r="A36" s="18">
        <v>46144</v>
      </c>
      <c r="B36" t="s">
        <v>36</v>
      </c>
      <c r="C36" s="5">
        <v>-1.7</v>
      </c>
      <c r="D36" s="6">
        <v>-4.2499999999999998E-4</v>
      </c>
      <c r="E36" s="6">
        <v>-1</v>
      </c>
      <c r="F36" s="6">
        <v>-2.5000000000000001E-4</v>
      </c>
      <c r="G36" s="6">
        <f>IFERROR((D36+F36)/2, 0)</f>
        <v>-3.3750000000000002E-4</v>
      </c>
      <c r="H36" s="7">
        <f>IFERROR(IF(AVERAGE(C36,E36)&gt;$BN$7,AVERAGE(C36,E36),0), 0)</f>
        <v>0</v>
      </c>
      <c r="I36" s="7">
        <f>IFERROR(IF(AND(D36=0,F36=0),0,IF(H36&gt;$BN$6,MAX(D36,F36),G36)), 0)</f>
        <v>-3.3750000000000002E-4</v>
      </c>
      <c r="J36" s="6">
        <f>IFERROR(IF(AND(D36&gt;0,F36&gt;0),ABS(D36-F36)/AVERAGE(D36,F36),0), 0)</f>
        <v>0</v>
      </c>
      <c r="K36" s="6">
        <v>30141.3</v>
      </c>
      <c r="L36" s="6">
        <v>30141.3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0.68148841785616898</v>
      </c>
      <c r="BL36" s="5"/>
      <c r="BM36" s="5"/>
      <c r="BN36" s="8"/>
      <c r="BO36" s="8"/>
      <c r="BP36" s="19"/>
    </row>
    <row r="37" spans="1:68" x14ac:dyDescent="0.25">
      <c r="A37" s="18">
        <v>46144</v>
      </c>
      <c r="B37" t="s">
        <v>37</v>
      </c>
      <c r="C37" s="5">
        <v>-0.9</v>
      </c>
      <c r="D37" s="6">
        <v>-2.2499999999999999E-4</v>
      </c>
      <c r="E37" s="6">
        <v>-1.4</v>
      </c>
      <c r="F37" s="6">
        <v>-3.5E-4</v>
      </c>
      <c r="G37" s="6">
        <f>IFERROR((D37+F37)/2, 0)</f>
        <v>-2.875E-4</v>
      </c>
      <c r="H37" s="7">
        <f>IFERROR(IF(AVERAGE(C37,E37)&gt;$BN$7,AVERAGE(C37,E37),0), 0)</f>
        <v>0</v>
      </c>
      <c r="I37" s="7">
        <f>IFERROR(IF(AND(D37=0,F37=0),0,IF(H37&gt;$BN$6,MAX(D37,F37),G37)), 0)</f>
        <v>-2.875E-4</v>
      </c>
      <c r="J37" s="6">
        <f>IFERROR(IF(AND(D37&gt;0,F37&gt;0),ABS(D37-F37)/AVERAGE(D37,F37),0), 0)</f>
        <v>0</v>
      </c>
      <c r="K37" s="6">
        <v>30141.3</v>
      </c>
      <c r="L37" s="6">
        <v>30141.3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0.68148841785616898</v>
      </c>
      <c r="BL37" s="5"/>
      <c r="BM37" s="5"/>
      <c r="BN37" s="8"/>
      <c r="BO37" s="8"/>
      <c r="BP37" s="19"/>
    </row>
    <row r="38" spans="1:68" x14ac:dyDescent="0.25">
      <c r="A38" s="18">
        <v>46144</v>
      </c>
      <c r="B38" t="s">
        <v>38</v>
      </c>
      <c r="C38" s="5">
        <v>-1</v>
      </c>
      <c r="D38" s="6">
        <v>-2.5000000000000001E-4</v>
      </c>
      <c r="E38" s="6">
        <v>-1.3</v>
      </c>
      <c r="F38" s="6">
        <v>-3.2499999999999999E-4</v>
      </c>
      <c r="G38" s="6">
        <f>IFERROR((D38+F38)/2, 0)</f>
        <v>-2.875E-4</v>
      </c>
      <c r="H38" s="7">
        <f>IFERROR(IF(AVERAGE(C38,E38)&gt;$BN$7,AVERAGE(C38,E38),0), 0)</f>
        <v>0</v>
      </c>
      <c r="I38" s="7">
        <f>IFERROR(IF(AND(D38=0,F38=0),0,IF(H38&gt;$BN$6,MAX(D38,F38),G38)), 0)</f>
        <v>-2.875E-4</v>
      </c>
      <c r="J38" s="6">
        <f>IFERROR(IF(AND(D38&gt;0,F38&gt;0),ABS(D38-F38)/AVERAGE(D38,F38),0), 0)</f>
        <v>0</v>
      </c>
      <c r="K38" s="6">
        <v>30141.3</v>
      </c>
      <c r="L38" s="6">
        <v>30141.3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0.68148841785616898</v>
      </c>
      <c r="BL38" s="5"/>
      <c r="BM38" s="5"/>
      <c r="BN38" s="8"/>
      <c r="BO38" s="8"/>
      <c r="BP38" s="19"/>
    </row>
    <row r="39" spans="1:68" x14ac:dyDescent="0.25">
      <c r="A39" s="18">
        <v>46144</v>
      </c>
      <c r="B39" t="s">
        <v>39</v>
      </c>
      <c r="C39" s="5">
        <v>-1</v>
      </c>
      <c r="D39" s="6">
        <v>-2.5000000000000001E-4</v>
      </c>
      <c r="E39" s="6">
        <v>-1</v>
      </c>
      <c r="F39" s="6">
        <v>-2.5000000000000001E-4</v>
      </c>
      <c r="G39" s="6">
        <f>IFERROR((D39+F39)/2, 0)</f>
        <v>-2.5000000000000001E-4</v>
      </c>
      <c r="H39" s="7">
        <f>IFERROR(IF(AVERAGE(C39,E39)&gt;$BN$7,AVERAGE(C39,E39),0), 0)</f>
        <v>0</v>
      </c>
      <c r="I39" s="7">
        <f>IFERROR(IF(AND(D39=0,F39=0),0,IF(H39&gt;$BN$6,MAX(D39,F39),G39)), 0)</f>
        <v>-2.5000000000000001E-4</v>
      </c>
      <c r="J39" s="6">
        <f>IFERROR(IF(AND(D39&gt;0,F39&gt;0),ABS(D39-F39)/AVERAGE(D39,F39),0), 0)</f>
        <v>0</v>
      </c>
      <c r="K39" s="6">
        <v>30141.3</v>
      </c>
      <c r="L39" s="6">
        <v>30141.3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0.68148841785616898</v>
      </c>
      <c r="BL39" s="5"/>
      <c r="BM39" s="5"/>
      <c r="BN39" s="8"/>
      <c r="BO39" s="8"/>
      <c r="BP39" s="19"/>
    </row>
    <row r="40" spans="1:68" x14ac:dyDescent="0.25">
      <c r="A40" s="18">
        <v>46144</v>
      </c>
      <c r="B40" t="s">
        <v>40</v>
      </c>
      <c r="C40" s="5">
        <v>0.8</v>
      </c>
      <c r="D40" s="6">
        <v>2.0000000000000001E-4</v>
      </c>
      <c r="E40" s="6">
        <v>1.1000000000000001</v>
      </c>
      <c r="F40" s="6">
        <v>2.7500000000000002E-4</v>
      </c>
      <c r="G40" s="6">
        <f>IFERROR((D40+F40)/2, 0)</f>
        <v>2.3750000000000003E-4</v>
      </c>
      <c r="H40" s="7">
        <f>IFERROR(IF(AVERAGE(C40,E40)&gt;$BN$7,AVERAGE(C40,E40),0), 0)</f>
        <v>0</v>
      </c>
      <c r="I40" s="7">
        <f>IFERROR(IF(AND(D40=0,F40=0),0,IF(H40&gt;$BN$6,MAX(D40,F40),G40)), 0)</f>
        <v>2.3750000000000003E-4</v>
      </c>
      <c r="J40" s="6">
        <f>IFERROR(IF(AND(D40&gt;0,F40&gt;0),ABS(D40-F40)/AVERAGE(D40,F40),0), 0)</f>
        <v>0.31578947368421051</v>
      </c>
      <c r="K40" s="6">
        <v>30141.3</v>
      </c>
      <c r="L40" s="6">
        <v>30141.3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0.68148841785616898</v>
      </c>
      <c r="BL40" s="5"/>
      <c r="BM40" s="5"/>
      <c r="BN40" s="8"/>
      <c r="BO40" s="8"/>
      <c r="BP40" s="19"/>
    </row>
    <row r="41" spans="1:68" x14ac:dyDescent="0.25">
      <c r="A41" s="18">
        <v>46144</v>
      </c>
      <c r="B41" t="s">
        <v>41</v>
      </c>
      <c r="C41" s="5">
        <v>12.2</v>
      </c>
      <c r="D41" s="6">
        <v>3.0499999999999998E-3</v>
      </c>
      <c r="E41" s="6">
        <v>11.1</v>
      </c>
      <c r="F41" s="6">
        <v>2.7750000000000001E-3</v>
      </c>
      <c r="G41" s="6">
        <f>IFERROR((D41+F41)/2, 0)</f>
        <v>2.9125000000000002E-3</v>
      </c>
      <c r="H41" s="7">
        <f>IFERROR(IF(AVERAGE(C41,E41)&gt;$BN$7,AVERAGE(C41,E41),0), 0)</f>
        <v>0</v>
      </c>
      <c r="I41" s="7">
        <f>IFERROR(IF(AND(D41=0,F41=0),0,IF(H41&gt;$BN$6,MAX(D41,F41),G41)), 0)</f>
        <v>2.9125000000000002E-3</v>
      </c>
      <c r="J41" s="6">
        <f>IFERROR(IF(AND(D41&gt;0,F41&gt;0),ABS(D41-F41)/AVERAGE(D41,F41),0), 0)</f>
        <v>9.4420600858368967E-2</v>
      </c>
      <c r="K41" s="6">
        <v>30141.3</v>
      </c>
      <c r="L41" s="6">
        <v>30141.3</v>
      </c>
      <c r="M41" s="8">
        <f>IFERROR((L41-K41)*1000, 0)</f>
        <v>0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0.68148841785616898</v>
      </c>
      <c r="BL41" s="5"/>
      <c r="BM41" s="5"/>
      <c r="BN41" s="8"/>
      <c r="BO41" s="8"/>
      <c r="BP41" s="19"/>
    </row>
    <row r="42" spans="1:68" x14ac:dyDescent="0.25">
      <c r="A42" s="18">
        <v>46144</v>
      </c>
      <c r="B42" t="s">
        <v>42</v>
      </c>
      <c r="C42" s="5">
        <v>45.9</v>
      </c>
      <c r="D42" s="6">
        <v>1.1474999999999999E-2</v>
      </c>
      <c r="E42" s="6">
        <v>44.3</v>
      </c>
      <c r="F42" s="6">
        <v>1.1075E-2</v>
      </c>
      <c r="G42" s="6">
        <f>IFERROR((D42+F42)/2, 0)</f>
        <v>1.1275E-2</v>
      </c>
      <c r="H42" s="7">
        <f>IFERROR(IF(AVERAGE(C42,E42)&gt;$BN$7,AVERAGE(C42,E42),0), 0)</f>
        <v>0</v>
      </c>
      <c r="I42" s="7">
        <f>IFERROR(IF(AND(D42=0,F42=0),0,IF(H42&gt;$BN$6,MAX(D42,F42),G42)), 0)</f>
        <v>1.1275E-2</v>
      </c>
      <c r="J42" s="6">
        <f>IFERROR(IF(AND(D42&gt;0,F42&gt;0),ABS(D42-F42)/AVERAGE(D42,F42),0), 0)</f>
        <v>3.5476718403547609E-2</v>
      </c>
      <c r="K42" s="6">
        <v>30141.3</v>
      </c>
      <c r="L42" s="6">
        <v>30141.4</v>
      </c>
      <c r="M42" s="8">
        <f>IFERROR((L42-K42)*1000, 0)</f>
        <v>100.00000000218279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0.68148841785616898</v>
      </c>
      <c r="BL42" s="5"/>
      <c r="BM42" s="5"/>
      <c r="BN42" s="8"/>
      <c r="BO42" s="8"/>
      <c r="BP42" s="19"/>
    </row>
    <row r="43" spans="1:68" x14ac:dyDescent="0.25">
      <c r="A43" s="18">
        <v>46144</v>
      </c>
      <c r="B43" t="s">
        <v>43</v>
      </c>
      <c r="C43" s="5">
        <v>100.4</v>
      </c>
      <c r="D43" s="6">
        <v>2.5100000000000001E-2</v>
      </c>
      <c r="E43" s="6">
        <v>102.3</v>
      </c>
      <c r="F43" s="6">
        <v>2.5575000000000001E-2</v>
      </c>
      <c r="G43" s="6">
        <f>IFERROR((D43+F43)/2, 0)</f>
        <v>2.5337499999999999E-2</v>
      </c>
      <c r="H43" s="7">
        <f>IFERROR(IF(AVERAGE(C43,E43)&gt;$BN$7,AVERAGE(C43,E43),0), 0)</f>
        <v>101.35</v>
      </c>
      <c r="I43" s="7">
        <f>IFERROR(IF(AND(D43=0,F43=0),0,IF(H43&gt;$BN$6,MAX(D43,F43),G43)), 0)</f>
        <v>2.5575000000000001E-2</v>
      </c>
      <c r="J43" s="6">
        <f>IFERROR(IF(AND(D43&gt;0,F43&gt;0),ABS(D43-F43)/AVERAGE(D43,F43),0), 0)</f>
        <v>1.8746916625554999E-2</v>
      </c>
      <c r="K43" s="6">
        <v>30141.4</v>
      </c>
      <c r="L43" s="6">
        <v>30141.5</v>
      </c>
      <c r="M43" s="8">
        <f>IFERROR((L43-K43)*1000, 0)</f>
        <v>99.999999998544808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0.68148841785616898</v>
      </c>
      <c r="BL43" s="5"/>
      <c r="BM43" s="5"/>
      <c r="BN43" s="8"/>
      <c r="BO43" s="8"/>
      <c r="BP43" s="19"/>
    </row>
    <row r="44" spans="1:68" x14ac:dyDescent="0.25">
      <c r="A44" s="18">
        <v>46144</v>
      </c>
      <c r="B44" t="s">
        <v>44</v>
      </c>
      <c r="C44" s="5">
        <v>180.4</v>
      </c>
      <c r="D44" s="6">
        <v>4.5100000000000001E-2</v>
      </c>
      <c r="E44" s="6">
        <v>186.5</v>
      </c>
      <c r="F44" s="6">
        <v>4.6625E-2</v>
      </c>
      <c r="G44" s="6">
        <f>IFERROR((D44+F44)/2, 0)</f>
        <v>4.58625E-2</v>
      </c>
      <c r="H44" s="7">
        <f>IFERROR(IF(AVERAGE(C44,E44)&gt;$BN$7,AVERAGE(C44,E44),0), 0)</f>
        <v>183.45</v>
      </c>
      <c r="I44" s="7">
        <f>IFERROR(IF(AND(D44=0,F44=0),0,IF(H44&gt;$BN$6,MAX(D44,F44),G44)), 0)</f>
        <v>4.6625E-2</v>
      </c>
      <c r="J44" s="6">
        <f>IFERROR(IF(AND(D44&gt;0,F44&gt;0),ABS(D44-F44)/AVERAGE(D44,F44),0), 0)</f>
        <v>3.325156718451891E-2</v>
      </c>
      <c r="K44" s="6">
        <v>30141.5</v>
      </c>
      <c r="L44" s="6">
        <v>30141.8</v>
      </c>
      <c r="M44" s="8">
        <f>IFERROR((L44-K44)*1000, 0)</f>
        <v>299.9999999992724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0.68148841785616898</v>
      </c>
      <c r="BL44" s="5"/>
      <c r="BM44" s="5"/>
      <c r="BN44" s="8"/>
      <c r="BO44" s="8"/>
      <c r="BP44" s="19"/>
    </row>
    <row r="45" spans="1:68" x14ac:dyDescent="0.25">
      <c r="A45" s="18">
        <v>46144</v>
      </c>
      <c r="B45" t="s">
        <v>45</v>
      </c>
      <c r="C45" s="5">
        <v>276.5</v>
      </c>
      <c r="D45" s="6">
        <v>6.9125000000000006E-2</v>
      </c>
      <c r="E45" s="6">
        <v>279</v>
      </c>
      <c r="F45" s="6">
        <v>6.9750000000000006E-2</v>
      </c>
      <c r="G45" s="6">
        <f>IFERROR((D45+F45)/2, 0)</f>
        <v>6.9437500000000013E-2</v>
      </c>
      <c r="H45" s="7">
        <f>IFERROR(IF(AVERAGE(C45,E45)&gt;$BN$7,AVERAGE(C45,E45),0), 0)</f>
        <v>277.75</v>
      </c>
      <c r="I45" s="7">
        <f>IFERROR(IF(AND(D45=0,F45=0),0,IF(H45&gt;$BN$6,MAX(D45,F45),G45)), 0)</f>
        <v>6.9750000000000006E-2</v>
      </c>
      <c r="J45" s="6">
        <f>IFERROR(IF(AND(D45&gt;0,F45&gt;0),ABS(D45-F45)/AVERAGE(D45,F45),0), 0)</f>
        <v>9.0009000900090064E-3</v>
      </c>
      <c r="K45" s="6">
        <v>30141.8</v>
      </c>
      <c r="L45" s="6">
        <v>30142.400000000001</v>
      </c>
      <c r="M45" s="8">
        <f>IFERROR((L45-K45)*1000, 0)</f>
        <v>600.00000000218279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0.68148841785616898</v>
      </c>
      <c r="BL45" s="5"/>
      <c r="BM45" s="5"/>
      <c r="BN45" s="8"/>
      <c r="BO45" s="8"/>
      <c r="BP45" s="19"/>
    </row>
    <row r="46" spans="1:68" x14ac:dyDescent="0.25">
      <c r="A46" s="18">
        <v>46144</v>
      </c>
      <c r="B46" t="s">
        <v>46</v>
      </c>
      <c r="C46" s="5">
        <v>377.6</v>
      </c>
      <c r="D46" s="6">
        <v>9.4400000000000012E-2</v>
      </c>
      <c r="E46" s="6">
        <v>373.6</v>
      </c>
      <c r="F46" s="6">
        <v>9.3400000000000011E-2</v>
      </c>
      <c r="G46" s="6">
        <f>IFERROR((D46+F46)/2, 0)</f>
        <v>9.3900000000000011E-2</v>
      </c>
      <c r="H46" s="7">
        <f>IFERROR(IF(AVERAGE(C46,E46)&gt;$BN$7,AVERAGE(C46,E46),0), 0)</f>
        <v>375.6</v>
      </c>
      <c r="I46" s="7">
        <f>IFERROR(IF(AND(D46=0,F46=0),0,IF(H46&gt;$BN$6,MAX(D46,F46),G46)), 0)</f>
        <v>9.4400000000000012E-2</v>
      </c>
      <c r="J46" s="6">
        <f>IFERROR(IF(AND(D46&gt;0,F46&gt;0),ABS(D46-F46)/AVERAGE(D46,F46),0), 0)</f>
        <v>1.0649627263045802E-2</v>
      </c>
      <c r="K46" s="6">
        <v>30142.400000000001</v>
      </c>
      <c r="L46" s="6">
        <v>30143.3</v>
      </c>
      <c r="M46" s="8">
        <f>IFERROR((L46-K46)*1000, 0)</f>
        <v>899.99999999781721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0.68148841785616898</v>
      </c>
      <c r="BL46" s="5"/>
      <c r="BM46" s="5"/>
      <c r="BN46" s="8"/>
      <c r="BO46" s="8"/>
      <c r="BP46" s="19"/>
    </row>
    <row r="47" spans="1:68" x14ac:dyDescent="0.25">
      <c r="A47" s="18">
        <v>46144</v>
      </c>
      <c r="B47" t="s">
        <v>47</v>
      </c>
      <c r="C47" s="5">
        <v>479.9</v>
      </c>
      <c r="D47" s="6">
        <v>0.119975</v>
      </c>
      <c r="E47" s="6">
        <v>471.4</v>
      </c>
      <c r="F47" s="6">
        <v>0.11785</v>
      </c>
      <c r="G47" s="6">
        <f>IFERROR((D47+F47)/2, 0)</f>
        <v>0.1189125</v>
      </c>
      <c r="H47" s="7">
        <f>IFERROR(IF(AVERAGE(C47,E47)&gt;$BN$7,AVERAGE(C47,E47),0), 0)</f>
        <v>475.65</v>
      </c>
      <c r="I47" s="7">
        <f>IFERROR(IF(AND(D47=0,F47=0),0,IF(H47&gt;$BN$6,MAX(D47,F47),G47)), 0)</f>
        <v>0.119975</v>
      </c>
      <c r="J47" s="6">
        <f>IFERROR(IF(AND(D47&gt;0,F47&gt;0),ABS(D47-F47)/AVERAGE(D47,F47),0), 0)</f>
        <v>1.7870282770945038E-2</v>
      </c>
      <c r="K47" s="6">
        <v>30143.3</v>
      </c>
      <c r="L47" s="6">
        <v>30144.5</v>
      </c>
      <c r="M47" s="8">
        <f>IFERROR((L47-K47)*1000, 0)</f>
        <v>1200.0000000007276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0.68148841785616898</v>
      </c>
      <c r="BL47" s="5"/>
      <c r="BM47" s="5"/>
      <c r="BN47" s="8"/>
      <c r="BO47" s="8"/>
      <c r="BP47" s="19"/>
    </row>
    <row r="48" spans="1:68" x14ac:dyDescent="0.25">
      <c r="A48" s="18">
        <v>46144</v>
      </c>
      <c r="B48" t="s">
        <v>48</v>
      </c>
      <c r="C48" s="5">
        <v>580.1</v>
      </c>
      <c r="D48" s="6">
        <v>0.14502500000000002</v>
      </c>
      <c r="E48" s="6">
        <v>576.5</v>
      </c>
      <c r="F48" s="6">
        <v>0.144125</v>
      </c>
      <c r="G48" s="6">
        <f>IFERROR((D48+F48)/2, 0)</f>
        <v>0.14457500000000001</v>
      </c>
      <c r="H48" s="7">
        <f>IFERROR(IF(AVERAGE(C48,E48)&gt;$BN$7,AVERAGE(C48,E48),0), 0)</f>
        <v>578.29999999999995</v>
      </c>
      <c r="I48" s="7">
        <f>IFERROR(IF(AND(D48=0,F48=0),0,IF(H48&gt;$BN$6,MAX(D48,F48),G48)), 0)</f>
        <v>0.14502500000000002</v>
      </c>
      <c r="J48" s="6">
        <f>IFERROR(IF(AND(D48&gt;0,F48&gt;0),ABS(D48-F48)/AVERAGE(D48,F48),0), 0)</f>
        <v>6.2251426595193622E-3</v>
      </c>
      <c r="K48" s="6">
        <v>30144.5</v>
      </c>
      <c r="L48" s="6">
        <v>30146</v>
      </c>
      <c r="M48" s="8">
        <f>IFERROR((L48-K48)*1000, 0)</f>
        <v>1500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0.68148841785616898</v>
      </c>
      <c r="BL48" s="5"/>
      <c r="BM48" s="5"/>
      <c r="BN48" s="8"/>
      <c r="BO48" s="8"/>
      <c r="BP48" s="19"/>
    </row>
    <row r="49" spans="1:68" x14ac:dyDescent="0.25">
      <c r="A49" s="18">
        <v>46144</v>
      </c>
      <c r="B49" t="s">
        <v>49</v>
      </c>
      <c r="C49" s="5">
        <v>681</v>
      </c>
      <c r="D49" s="6">
        <v>0.17025000000000001</v>
      </c>
      <c r="E49" s="6">
        <v>681.8</v>
      </c>
      <c r="F49" s="6">
        <v>0.17044999999999999</v>
      </c>
      <c r="G49" s="6">
        <f>IFERROR((D49+F49)/2, 0)</f>
        <v>0.17035</v>
      </c>
      <c r="H49" s="7">
        <f>IFERROR(IF(AVERAGE(C49,E49)&gt;$BN$7,AVERAGE(C49,E49),0), 0)</f>
        <v>681.4</v>
      </c>
      <c r="I49" s="7">
        <f>IFERROR(IF(AND(D49=0,F49=0),0,IF(H49&gt;$BN$6,MAX(D49,F49),G49)), 0)</f>
        <v>0.17044999999999999</v>
      </c>
      <c r="J49" s="6">
        <f>IFERROR(IF(AND(D49&gt;0,F49&gt;0),ABS(D49-F49)/AVERAGE(D49,F49),0), 0)</f>
        <v>1.1740534194304548E-3</v>
      </c>
      <c r="K49" s="6">
        <v>30146</v>
      </c>
      <c r="L49" s="6">
        <v>30147.8</v>
      </c>
      <c r="M49" s="8">
        <f>IFERROR((L49-K49)*1000, 0)</f>
        <v>1799.9999999992724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0.68148841785616898</v>
      </c>
      <c r="BL49" s="5"/>
      <c r="BM49" s="5"/>
      <c r="BN49" s="8"/>
      <c r="BO49" s="8"/>
      <c r="BP49" s="19"/>
    </row>
    <row r="50" spans="1:68" x14ac:dyDescent="0.25">
      <c r="A50" s="18">
        <v>46144</v>
      </c>
      <c r="B50" t="s">
        <v>50</v>
      </c>
      <c r="C50" s="5">
        <v>778.5</v>
      </c>
      <c r="D50" s="6">
        <v>0.19462499999999999</v>
      </c>
      <c r="E50" s="6">
        <v>786.2</v>
      </c>
      <c r="F50" s="6">
        <v>0.19655</v>
      </c>
      <c r="G50" s="6">
        <f>IFERROR((D50+F50)/2, 0)</f>
        <v>0.1955875</v>
      </c>
      <c r="H50" s="7">
        <f>IFERROR(IF(AVERAGE(C50,E50)&gt;$BN$7,AVERAGE(C50,E50),0), 0)</f>
        <v>782.35</v>
      </c>
      <c r="I50" s="7">
        <f>IFERROR(IF(AND(D50=0,F50=0),0,IF(H50&gt;$BN$6,MAX(D50,F50),G50)), 0)</f>
        <v>0.19655</v>
      </c>
      <c r="J50" s="6">
        <f>IFERROR(IF(AND(D50&gt;0,F50&gt;0),ABS(D50-F50)/AVERAGE(D50,F50),0), 0)</f>
        <v>9.8421422636927724E-3</v>
      </c>
      <c r="K50" s="6">
        <v>30147.8</v>
      </c>
      <c r="L50" s="6">
        <v>30149.9</v>
      </c>
      <c r="M50" s="8">
        <f>IFERROR((L50-K50)*1000, 0)</f>
        <v>2100.0000000021828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0.68148841785616898</v>
      </c>
      <c r="BL50" s="5"/>
      <c r="BM50" s="5"/>
      <c r="BN50" s="8"/>
      <c r="BO50" s="8"/>
      <c r="BP50" s="19"/>
    </row>
    <row r="51" spans="1:68" x14ac:dyDescent="0.25">
      <c r="A51" s="18">
        <v>46144</v>
      </c>
      <c r="B51" t="s">
        <v>51</v>
      </c>
      <c r="C51" s="5">
        <v>888</v>
      </c>
      <c r="D51" s="6">
        <v>0.222</v>
      </c>
      <c r="E51" s="6">
        <v>888.7</v>
      </c>
      <c r="F51" s="6">
        <v>0.22217500000000001</v>
      </c>
      <c r="G51" s="6">
        <f>IFERROR((D51+F51)/2, 0)</f>
        <v>0.22208749999999999</v>
      </c>
      <c r="H51" s="7">
        <f>IFERROR(IF(AVERAGE(C51,E51)&gt;$BN$7,AVERAGE(C51,E51),0), 0)</f>
        <v>888.35</v>
      </c>
      <c r="I51" s="7">
        <f>IFERROR(IF(AND(D51=0,F51=0),0,IF(H51&gt;$BN$6,MAX(D51,F51),G51)), 0)</f>
        <v>0.22217500000000001</v>
      </c>
      <c r="J51" s="6">
        <f>IFERROR(IF(AND(D51&gt;0,F51&gt;0),ABS(D51-F51)/AVERAGE(D51,F51),0), 0)</f>
        <v>7.8797771148762753E-4</v>
      </c>
      <c r="K51" s="6">
        <v>30149.9</v>
      </c>
      <c r="L51" s="6">
        <v>30152.2</v>
      </c>
      <c r="M51" s="8">
        <f>IFERROR((L51-K51)*1000, 0)</f>
        <v>2299.9999999992724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0.68148841785616898</v>
      </c>
      <c r="BL51" s="5"/>
      <c r="BM51" s="5"/>
      <c r="BN51" s="8"/>
      <c r="BO51" s="8"/>
      <c r="BP51" s="19"/>
    </row>
    <row r="52" spans="1:68" x14ac:dyDescent="0.25">
      <c r="A52" s="18">
        <v>46144</v>
      </c>
      <c r="B52" t="s">
        <v>52</v>
      </c>
      <c r="C52" s="5">
        <v>949.7</v>
      </c>
      <c r="D52" s="6">
        <v>0.23742500000000002</v>
      </c>
      <c r="E52" s="6">
        <v>941</v>
      </c>
      <c r="F52" s="6">
        <v>0.23524999999999999</v>
      </c>
      <c r="G52" s="6">
        <f>IFERROR((D52+F52)/2, 0)</f>
        <v>0.23633750000000001</v>
      </c>
      <c r="H52" s="7">
        <f>IFERROR(IF(AVERAGE(C52,E52)&gt;$BN$7,AVERAGE(C52,E52),0), 0)</f>
        <v>945.35</v>
      </c>
      <c r="I52" s="7">
        <f>IFERROR(IF(AND(D52=0,F52=0),0,IF(H52&gt;$BN$6,MAX(D52,F52),G52)), 0)</f>
        <v>0.23742500000000002</v>
      </c>
      <c r="J52" s="6">
        <f>IFERROR(IF(AND(D52&gt;0,F52&gt;0),ABS(D52-F52)/AVERAGE(D52,F52),0), 0)</f>
        <v>9.2029407097901847E-3</v>
      </c>
      <c r="K52" s="6">
        <v>30152.2</v>
      </c>
      <c r="L52" s="6">
        <v>30154.7</v>
      </c>
      <c r="M52" s="8">
        <f>IFERROR((L52-K52)*1000, 0)</f>
        <v>2500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0.68148841785616898</v>
      </c>
      <c r="BL52" s="5"/>
      <c r="BM52" s="5"/>
      <c r="BN52" s="8"/>
      <c r="BO52" s="8"/>
      <c r="BP52" s="19"/>
    </row>
    <row r="53" spans="1:68" x14ac:dyDescent="0.25">
      <c r="A53" s="18">
        <v>46144</v>
      </c>
      <c r="B53" t="s">
        <v>53</v>
      </c>
      <c r="C53" s="5">
        <v>966.1</v>
      </c>
      <c r="D53" s="6">
        <v>0.24152500000000002</v>
      </c>
      <c r="E53" s="6">
        <v>957.1</v>
      </c>
      <c r="F53" s="6">
        <v>0.23927500000000002</v>
      </c>
      <c r="G53" s="6">
        <f>IFERROR((D53+F53)/2, 0)</f>
        <v>0.2404</v>
      </c>
      <c r="H53" s="7">
        <f>IFERROR(IF(AVERAGE(C53,E53)&gt;$BN$7,AVERAGE(C53,E53),0), 0)</f>
        <v>961.6</v>
      </c>
      <c r="I53" s="7">
        <f>IFERROR(IF(AND(D53=0,F53=0),0,IF(H53&gt;$BN$6,MAX(D53,F53),G53)), 0)</f>
        <v>0.24152500000000002</v>
      </c>
      <c r="J53" s="6">
        <f>IFERROR(IF(AND(D53&gt;0,F53&gt;0),ABS(D53-F53)/AVERAGE(D53,F53),0), 0)</f>
        <v>9.3594009983361155E-3</v>
      </c>
      <c r="K53" s="6">
        <v>30154.7</v>
      </c>
      <c r="L53" s="6">
        <v>30157.200000000001</v>
      </c>
      <c r="M53" s="8">
        <f>IFERROR((L53-K53)*1000, 0)</f>
        <v>2500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0.68148841785616898</v>
      </c>
      <c r="BL53" s="5"/>
      <c r="BM53" s="5"/>
      <c r="BN53" s="8"/>
      <c r="BO53" s="8"/>
      <c r="BP53" s="19"/>
    </row>
    <row r="54" spans="1:68" x14ac:dyDescent="0.25">
      <c r="A54" s="18">
        <v>46144</v>
      </c>
      <c r="B54" t="s">
        <v>54</v>
      </c>
      <c r="C54" s="5">
        <v>972.8</v>
      </c>
      <c r="D54" s="6">
        <v>0.2432</v>
      </c>
      <c r="E54" s="6">
        <v>962.1</v>
      </c>
      <c r="F54" s="6">
        <v>0.24052500000000002</v>
      </c>
      <c r="G54" s="6">
        <f>IFERROR((D54+F54)/2, 0)</f>
        <v>0.24186250000000001</v>
      </c>
      <c r="H54" s="7">
        <f>IFERROR(IF(AVERAGE(C54,E54)&gt;$BN$7,AVERAGE(C54,E54),0), 0)</f>
        <v>967.45</v>
      </c>
      <c r="I54" s="7">
        <f>IFERROR(IF(AND(D54=0,F54=0),0,IF(H54&gt;$BN$6,MAX(D54,F54),G54)), 0)</f>
        <v>0.2432</v>
      </c>
      <c r="J54" s="6">
        <f>IFERROR(IF(AND(D54&gt;0,F54&gt;0),ABS(D54-F54)/AVERAGE(D54,F54),0), 0)</f>
        <v>1.1060003100935379E-2</v>
      </c>
      <c r="K54" s="6">
        <v>30157.200000000001</v>
      </c>
      <c r="L54" s="6">
        <v>30159.7</v>
      </c>
      <c r="M54" s="8">
        <f>IFERROR((L54-K54)*1000, 0)</f>
        <v>2500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0.68148841785616898</v>
      </c>
      <c r="BL54" s="5"/>
      <c r="BM54" s="5"/>
      <c r="BN54" s="8"/>
      <c r="BO54" s="8"/>
      <c r="BP54" s="19"/>
    </row>
    <row r="55" spans="1:68" x14ac:dyDescent="0.25">
      <c r="A55" s="18">
        <v>46144</v>
      </c>
      <c r="B55" t="s">
        <v>55</v>
      </c>
      <c r="C55" s="5">
        <v>980.6</v>
      </c>
      <c r="D55" s="6">
        <v>0.24515000000000001</v>
      </c>
      <c r="E55" s="6">
        <v>968.2</v>
      </c>
      <c r="F55" s="6">
        <v>0.24205000000000002</v>
      </c>
      <c r="G55" s="6">
        <f>IFERROR((D55+F55)/2, 0)</f>
        <v>0.24360000000000001</v>
      </c>
      <c r="H55" s="7">
        <f>IFERROR(IF(AVERAGE(C55,E55)&gt;$BN$7,AVERAGE(C55,E55),0), 0)</f>
        <v>974.40000000000009</v>
      </c>
      <c r="I55" s="7">
        <f>IFERROR(IF(AND(D55=0,F55=0),0,IF(H55&gt;$BN$6,MAX(D55,F55),G55)), 0)</f>
        <v>0.24515000000000001</v>
      </c>
      <c r="J55" s="6">
        <f>IFERROR(IF(AND(D55&gt;0,F55&gt;0),ABS(D55-F55)/AVERAGE(D55,F55),0), 0)</f>
        <v>1.2725779967159243E-2</v>
      </c>
      <c r="K55" s="6">
        <v>30159.7</v>
      </c>
      <c r="L55" s="6">
        <v>30162.2</v>
      </c>
      <c r="M55" s="8">
        <f>IFERROR((L55-K55)*1000, 0)</f>
        <v>2500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0.68148841785616898</v>
      </c>
      <c r="BL55" s="5"/>
      <c r="BM55" s="5"/>
      <c r="BN55" s="8"/>
      <c r="BO55" s="8"/>
      <c r="BP55" s="19"/>
    </row>
    <row r="56" spans="1:68" x14ac:dyDescent="0.25">
      <c r="A56" s="18">
        <v>46144</v>
      </c>
      <c r="B56" t="s">
        <v>56</v>
      </c>
      <c r="C56" s="5">
        <v>984.4</v>
      </c>
      <c r="D56" s="6">
        <v>0.24609999999999999</v>
      </c>
      <c r="E56" s="6">
        <v>969.6</v>
      </c>
      <c r="F56" s="6">
        <v>0.2424</v>
      </c>
      <c r="G56" s="6">
        <f>IFERROR((D56+F56)/2, 0)</f>
        <v>0.24424999999999999</v>
      </c>
      <c r="H56" s="7">
        <f>IFERROR(IF(AVERAGE(C56,E56)&gt;$BN$7,AVERAGE(C56,E56),0), 0)</f>
        <v>977</v>
      </c>
      <c r="I56" s="7">
        <f>IFERROR(IF(AND(D56=0,F56=0),0,IF(H56&gt;$BN$6,MAX(D56,F56),G56)), 0)</f>
        <v>0.24609999999999999</v>
      </c>
      <c r="J56" s="6">
        <f>IFERROR(IF(AND(D56&gt;0,F56&gt;0),ABS(D56-F56)/AVERAGE(D56,F56),0), 0)</f>
        <v>1.5148413510747107E-2</v>
      </c>
      <c r="K56" s="6">
        <v>30162.2</v>
      </c>
      <c r="L56" s="6">
        <v>30164.7</v>
      </c>
      <c r="M56" s="8">
        <f>IFERROR((L56-K56)*1000, 0)</f>
        <v>2500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0.68148841785616898</v>
      </c>
      <c r="BL56" s="5"/>
      <c r="BM56" s="5"/>
      <c r="BN56" s="8"/>
      <c r="BO56" s="8"/>
      <c r="BP56" s="19"/>
    </row>
    <row r="57" spans="1:68" x14ac:dyDescent="0.25">
      <c r="A57" s="18">
        <v>46144</v>
      </c>
      <c r="B57" t="s">
        <v>57</v>
      </c>
      <c r="C57" s="5">
        <v>995.8</v>
      </c>
      <c r="D57" s="6">
        <v>0.24894999999999998</v>
      </c>
      <c r="E57" s="6">
        <v>978.5</v>
      </c>
      <c r="F57" s="6">
        <v>0.24462500000000001</v>
      </c>
      <c r="G57" s="6">
        <f>IFERROR((D57+F57)/2, 0)</f>
        <v>0.24678749999999999</v>
      </c>
      <c r="H57" s="7">
        <f>IFERROR(IF(AVERAGE(C57,E57)&gt;$BN$7,AVERAGE(C57,E57),0), 0)</f>
        <v>987.15</v>
      </c>
      <c r="I57" s="7">
        <f>IFERROR(IF(AND(D57=0,F57=0),0,IF(H57&gt;$BN$6,MAX(D57,F57),G57)), 0)</f>
        <v>0.24894999999999998</v>
      </c>
      <c r="J57" s="6">
        <f>IFERROR(IF(AND(D57&gt;0,F57&gt;0),ABS(D57-F57)/AVERAGE(D57,F57),0), 0)</f>
        <v>1.7525198804639489E-2</v>
      </c>
      <c r="K57" s="6">
        <v>30164.7</v>
      </c>
      <c r="L57" s="6">
        <v>30167.200000000001</v>
      </c>
      <c r="M57" s="8">
        <f>IFERROR((L57-K57)*1000, 0)</f>
        <v>2500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0.68148841785616898</v>
      </c>
      <c r="BL57" s="5"/>
      <c r="BM57" s="5"/>
      <c r="BN57" s="8"/>
      <c r="BO57" s="8"/>
      <c r="BP57" s="19"/>
    </row>
    <row r="58" spans="1:68" x14ac:dyDescent="0.25">
      <c r="A58" s="18">
        <v>46144</v>
      </c>
      <c r="B58" t="s">
        <v>58</v>
      </c>
      <c r="C58" s="5">
        <v>996.4</v>
      </c>
      <c r="D58" s="6">
        <v>0.24909999999999999</v>
      </c>
      <c r="E58" s="6">
        <v>977.1</v>
      </c>
      <c r="F58" s="6">
        <v>0.24427499999999999</v>
      </c>
      <c r="G58" s="6">
        <f>IFERROR((D58+F58)/2, 0)</f>
        <v>0.2466875</v>
      </c>
      <c r="H58" s="7">
        <f>IFERROR(IF(AVERAGE(C58,E58)&gt;$BN$7,AVERAGE(C58,E58),0), 0)</f>
        <v>986.75</v>
      </c>
      <c r="I58" s="7">
        <f>IFERROR(IF(AND(D58=0,F58=0),0,IF(H58&gt;$BN$6,MAX(D58,F58),G58)), 0)</f>
        <v>0.24909999999999999</v>
      </c>
      <c r="J58" s="6">
        <f>IFERROR(IF(AND(D58&gt;0,F58&gt;0),ABS(D58-F58)/AVERAGE(D58,F58),0), 0)</f>
        <v>1.9559158854826435E-2</v>
      </c>
      <c r="K58" s="6">
        <v>30167.200000000001</v>
      </c>
      <c r="L58" s="6">
        <v>30169.599999999999</v>
      </c>
      <c r="M58" s="8">
        <f>IFERROR((L58-K58)*1000, 0)</f>
        <v>2399.9999999978172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0.68148841785616898</v>
      </c>
      <c r="BL58" s="5"/>
      <c r="BM58" s="5"/>
      <c r="BN58" s="8"/>
      <c r="BO58" s="8"/>
      <c r="BP58" s="19"/>
    </row>
    <row r="59" spans="1:68" x14ac:dyDescent="0.25">
      <c r="A59" s="18">
        <v>46144</v>
      </c>
      <c r="B59" t="s">
        <v>59</v>
      </c>
      <c r="C59" s="5">
        <v>997.8</v>
      </c>
      <c r="D59" s="6">
        <v>0.24944999999999998</v>
      </c>
      <c r="E59" s="6">
        <v>977.4</v>
      </c>
      <c r="F59" s="6">
        <v>0.24434999999999998</v>
      </c>
      <c r="G59" s="6">
        <f>IFERROR((D59+F59)/2, 0)</f>
        <v>0.24689999999999998</v>
      </c>
      <c r="H59" s="7">
        <f>IFERROR(IF(AVERAGE(C59,E59)&gt;$BN$7,AVERAGE(C59,E59),0), 0)</f>
        <v>987.59999999999991</v>
      </c>
      <c r="I59" s="7">
        <f>IFERROR(IF(AND(D59=0,F59=0),0,IF(H59&gt;$BN$6,MAX(D59,F59),G59)), 0)</f>
        <v>0.24944999999999998</v>
      </c>
      <c r="J59" s="6">
        <f>IFERROR(IF(AND(D59&gt;0,F59&gt;0),ABS(D59-F59)/AVERAGE(D59,F59),0), 0)</f>
        <v>2.0656136087484785E-2</v>
      </c>
      <c r="K59" s="6">
        <v>30169.599999999999</v>
      </c>
      <c r="L59" s="6">
        <v>30171.8</v>
      </c>
      <c r="M59" s="8">
        <f>IFERROR((L59-K59)*1000, 0)</f>
        <v>2200.0000000007276</v>
      </c>
      <c r="N59" s="6">
        <v>0.65720000000000001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17.503999999999998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17.503999999999998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17.503999999999998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17.503999999999998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17.503999999999998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17.503999999999998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17.503999999999998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17.503999999999998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17.503999999999998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17.503999999999998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17.503999999999998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17.503999999999998</v>
      </c>
      <c r="AA59" s="8">
        <f>AVERAGE(TabellaMar2026[[#This Row],[Colonna24]:[Colonna20]])</f>
        <v>17.503999999999994</v>
      </c>
      <c r="AB59" s="8">
        <f>MAX(TabellaMar2026[[#This Row],[Colonna24]:[Colonna20]])</f>
        <v>17.503999999999998</v>
      </c>
      <c r="AC59" s="35">
        <f>MIN(TabellaMar2026[[#This Row],[Colonna24]:[Colonna20]])</f>
        <v>17.503999999999998</v>
      </c>
      <c r="AD59" s="44">
        <f>SUM(TabellaMar2026[[#This Row],[Colonna24]:[Colonna20]])</f>
        <v>210.04799999999992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17.503999999999998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17.503999999999998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17.503999999999998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17.503999999999998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17.503999999999998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17.503999999999998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17.503999999999998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17.503999999999998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17.503999999999998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17.503999999999998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17.503999999999998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17.503999999999998</v>
      </c>
      <c r="AQ59" s="8">
        <f>AVERAGE(TabellaMar2026[[#This Row],[Colonna39]:[Colonna6]])</f>
        <v>17.503999999999994</v>
      </c>
      <c r="AR59" s="8">
        <f>MAX(TabellaMar2026[[#This Row],[Colonna39]:[Colonna6]])</f>
        <v>17.503999999999998</v>
      </c>
      <c r="AS59" s="35">
        <f>MIN(TabellaMar2026[[#This Row],[Colonna39]:[Colonna6]])</f>
        <v>17.503999999999998</v>
      </c>
      <c r="AT59" s="48">
        <f>SUM(TabellaMar2026[[#This Row],[Colonna39]:[Colonna6]])</f>
        <v>210.04799999999992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17.503999999999998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17.503999999999998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17.503999999999998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17.503999999999998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17.503999999999998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17.503999999999998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17.503999999999998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17.503999999999998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17.503999999999998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17.503999999999998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17.503999999999998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17.503999999999998</v>
      </c>
      <c r="BG59" s="8">
        <f>AVERAGE(TabellaMar2026[[#This Row],[Colonna55]:[Colonna53]])</f>
        <v>17.503999999999994</v>
      </c>
      <c r="BH59" s="8">
        <f>MAX(TabellaMar2026[[#This Row],[Colonna55]:[Colonna53]])</f>
        <v>17.503999999999998</v>
      </c>
      <c r="BI59" s="35">
        <f>MIN(TabellaMar2026[[#This Row],[Colonna55]:[Colonna53]])</f>
        <v>17.503999999999998</v>
      </c>
      <c r="BJ59" s="48">
        <f>SUM(TabellaMar2026[[#This Row],[Colonna54]:[Colonna53]])</f>
        <v>210.04799999999992</v>
      </c>
      <c r="BK59" s="54">
        <f>(SUM(Tabella01MarzoInverter[[Active power TX1-INV-1]:[Active power TX3-INV-12]]) * 0.25) / (12625 * (SUM($G$15:$H$110) * 0.25 / 1000))</f>
        <v>0.68148841785616898</v>
      </c>
      <c r="BL59" s="5"/>
      <c r="BM59" s="5"/>
      <c r="BN59" s="8"/>
      <c r="BO59" s="8"/>
      <c r="BP59" s="19"/>
    </row>
    <row r="60" spans="1:68" x14ac:dyDescent="0.25">
      <c r="A60" s="18">
        <v>46144</v>
      </c>
      <c r="B60" t="s">
        <v>60</v>
      </c>
      <c r="C60" s="5">
        <v>998.4</v>
      </c>
      <c r="D60" s="6">
        <v>0.24959999999999999</v>
      </c>
      <c r="E60" s="6">
        <v>976.7</v>
      </c>
      <c r="F60" s="6">
        <v>0.244175</v>
      </c>
      <c r="G60" s="6">
        <f>IFERROR((D60+F60)/2, 0)</f>
        <v>0.24688749999999998</v>
      </c>
      <c r="H60" s="7">
        <f>IFERROR(IF(AVERAGE(C60,E60)&gt;$BN$7,AVERAGE(C60,E60),0), 0)</f>
        <v>987.55</v>
      </c>
      <c r="I60" s="7">
        <f>IFERROR(IF(AND(D60=0,F60=0),0,IF(H60&gt;$BN$6,MAX(D60,F60),G60)), 0)</f>
        <v>0.24959999999999999</v>
      </c>
      <c r="J60" s="6">
        <f>IFERROR(IF(AND(D60&gt;0,F60&gt;0),ABS(D60-F60)/AVERAGE(D60,F60),0), 0)</f>
        <v>2.1973570958432428E-2</v>
      </c>
      <c r="K60" s="6">
        <v>30171.8</v>
      </c>
      <c r="L60" s="6">
        <v>30173.200000000001</v>
      </c>
      <c r="M60" s="8">
        <f>IFERROR((L60-K60)*1000, 0)</f>
        <v>1400.0000000014552</v>
      </c>
      <c r="N60" s="6">
        <v>0.2006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54.031999999999996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54.031999999999996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54.031999999999996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54.031999999999996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54.031999999999996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54.031999999999996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54.031999999999996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54.031999999999996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54.031999999999996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54.031999999999996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54.031999999999996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54.031999999999996</v>
      </c>
      <c r="AA60" s="8">
        <f>AVERAGE(TabellaMar2026[[#This Row],[Colonna24]:[Colonna20]])</f>
        <v>54.032000000000004</v>
      </c>
      <c r="AB60" s="8">
        <f>MAX(TabellaMar2026[[#This Row],[Colonna24]:[Colonna20]])</f>
        <v>54.031999999999996</v>
      </c>
      <c r="AC60" s="35">
        <f>MIN(TabellaMar2026[[#This Row],[Colonna24]:[Colonna20]])</f>
        <v>54.031999999999996</v>
      </c>
      <c r="AD60" s="44">
        <f>SUM(TabellaMar2026[[#This Row],[Colonna24]:[Colonna20]])</f>
        <v>648.38400000000001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54.031999999999996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54.031999999999996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54.031999999999996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54.031999999999996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54.031999999999996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54.031999999999996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54.031999999999996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54.031999999999996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54.031999999999996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54.031999999999996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54.031999999999996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54.031999999999996</v>
      </c>
      <c r="AQ60" s="8">
        <f>AVERAGE(TabellaMar2026[[#This Row],[Colonna39]:[Colonna6]])</f>
        <v>54.032000000000004</v>
      </c>
      <c r="AR60" s="8">
        <f>MAX(TabellaMar2026[[#This Row],[Colonna39]:[Colonna6]])</f>
        <v>54.031999999999996</v>
      </c>
      <c r="AS60" s="35">
        <f>MIN(TabellaMar2026[[#This Row],[Colonna39]:[Colonna6]])</f>
        <v>54.031999999999996</v>
      </c>
      <c r="AT60" s="48">
        <f>SUM(TabellaMar2026[[#This Row],[Colonna39]:[Colonna6]])</f>
        <v>648.38400000000001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54.031999999999996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54.031999999999996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54.031999999999996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54.031999999999996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54.031999999999996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54.031999999999996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54.031999999999996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54.031999999999996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54.031999999999996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54.031999999999996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54.031999999999996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54.031999999999996</v>
      </c>
      <c r="BG60" s="8">
        <f>AVERAGE(TabellaMar2026[[#This Row],[Colonna55]:[Colonna53]])</f>
        <v>54.031999999999996</v>
      </c>
      <c r="BH60" s="8">
        <f>MAX(TabellaMar2026[[#This Row],[Colonna55]:[Colonna53]])</f>
        <v>54.031999999999996</v>
      </c>
      <c r="BI60" s="35">
        <f>MIN(TabellaMar2026[[#This Row],[Colonna55]:[Colonna53]])</f>
        <v>54.031999999999996</v>
      </c>
      <c r="BJ60" s="48">
        <f>SUM(TabellaMar2026[[#This Row],[Colonna54]:[Colonna53]])</f>
        <v>648.38400000000001</v>
      </c>
      <c r="BK60" s="54">
        <f>(SUM(Tabella01MarzoInverter[[Active power TX1-INV-1]:[Active power TX3-INV-12]]) * 0.25) / (12625 * (SUM($G$15:$H$110) * 0.25 / 1000))</f>
        <v>0.68148841785616898</v>
      </c>
      <c r="BL60" s="5"/>
      <c r="BM60" s="5"/>
      <c r="BN60" s="8"/>
      <c r="BO60" s="8"/>
      <c r="BP60" s="19"/>
    </row>
    <row r="61" spans="1:68" x14ac:dyDescent="0.25">
      <c r="A61" s="18">
        <v>46144</v>
      </c>
      <c r="B61" t="s">
        <v>61</v>
      </c>
      <c r="C61" s="5">
        <v>998.4</v>
      </c>
      <c r="D61" s="6">
        <v>0.24959999999999999</v>
      </c>
      <c r="E61" s="6">
        <v>976.9</v>
      </c>
      <c r="F61" s="6">
        <v>0.244225</v>
      </c>
      <c r="G61" s="6">
        <f>IFERROR((D61+F61)/2, 0)</f>
        <v>0.24691249999999998</v>
      </c>
      <c r="H61" s="7">
        <f>IFERROR(IF(AVERAGE(C61,E61)&gt;$BN$7,AVERAGE(C61,E61),0), 0)</f>
        <v>987.65</v>
      </c>
      <c r="I61" s="7">
        <f>IFERROR(IF(AND(D61=0,F61=0),0,IF(H61&gt;$BN$6,MAX(D61,F61),G61)), 0)</f>
        <v>0.24959999999999999</v>
      </c>
      <c r="J61" s="6">
        <f>IFERROR(IF(AND(D61&gt;0,F61&gt;0),ABS(D61-F61)/AVERAGE(D61,F61),0), 0)</f>
        <v>2.1768845238697883E-2</v>
      </c>
      <c r="K61" s="6">
        <v>30173.200000000001</v>
      </c>
      <c r="L61" s="6">
        <v>30173.8</v>
      </c>
      <c r="M61" s="8">
        <f>IFERROR((L61-K61)*1000, 0)</f>
        <v>599.99999999854481</v>
      </c>
      <c r="N61" s="6">
        <v>0.2006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54.031999999999996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54.031999999999996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54.031999999999996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54.031999999999996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54.031999999999996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54.031999999999996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54.031999999999996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54.031999999999996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54.031999999999996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54.031999999999996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54.031999999999996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54.031999999999996</v>
      </c>
      <c r="AA61" s="8">
        <f>AVERAGE(TabellaMar2026[[#This Row],[Colonna24]:[Colonna20]])</f>
        <v>54.032000000000004</v>
      </c>
      <c r="AB61" s="8">
        <f>MAX(TabellaMar2026[[#This Row],[Colonna24]:[Colonna20]])</f>
        <v>54.031999999999996</v>
      </c>
      <c r="AC61" s="35">
        <f>MIN(TabellaMar2026[[#This Row],[Colonna24]:[Colonna20]])</f>
        <v>54.031999999999996</v>
      </c>
      <c r="AD61" s="44">
        <f>SUM(TabellaMar2026[[#This Row],[Colonna24]:[Colonna20]])</f>
        <v>648.38400000000001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54.031999999999996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54.031999999999996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54.031999999999996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54.031999999999996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54.031999999999996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54.031999999999996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54.031999999999996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54.031999999999996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54.031999999999996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54.031999999999996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54.031999999999996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54.031999999999996</v>
      </c>
      <c r="AQ61" s="8">
        <f>AVERAGE(TabellaMar2026[[#This Row],[Colonna39]:[Colonna6]])</f>
        <v>54.032000000000004</v>
      </c>
      <c r="AR61" s="8">
        <f>MAX(TabellaMar2026[[#This Row],[Colonna39]:[Colonna6]])</f>
        <v>54.031999999999996</v>
      </c>
      <c r="AS61" s="35">
        <f>MIN(TabellaMar2026[[#This Row],[Colonna39]:[Colonna6]])</f>
        <v>54.031999999999996</v>
      </c>
      <c r="AT61" s="48">
        <f>SUM(TabellaMar2026[[#This Row],[Colonna39]:[Colonna6]])</f>
        <v>648.38400000000001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54.031999999999996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54.031999999999996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54.031999999999996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54.031999999999996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54.031999999999996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54.031999999999996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54.031999999999996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54.031999999999996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54.031999999999996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54.031999999999996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54.031999999999996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54.031999999999996</v>
      </c>
      <c r="BG61" s="8">
        <f>AVERAGE(TabellaMar2026[[#This Row],[Colonna55]:[Colonna53]])</f>
        <v>54.031999999999996</v>
      </c>
      <c r="BH61" s="8">
        <f>MAX(TabellaMar2026[[#This Row],[Colonna55]:[Colonna53]])</f>
        <v>54.031999999999996</v>
      </c>
      <c r="BI61" s="35">
        <f>MIN(TabellaMar2026[[#This Row],[Colonna55]:[Colonna53]])</f>
        <v>54.031999999999996</v>
      </c>
      <c r="BJ61" s="48">
        <f>SUM(TabellaMar2026[[#This Row],[Colonna54]:[Colonna53]])</f>
        <v>648.38400000000001</v>
      </c>
      <c r="BK61" s="54">
        <f>(SUM(Tabella01MarzoInverter[[Active power TX1-INV-1]:[Active power TX3-INV-12]]) * 0.25) / (12625 * (SUM($G$15:$H$110) * 0.25 / 1000))</f>
        <v>0.68148841785616898</v>
      </c>
      <c r="BL61" s="5"/>
      <c r="BM61" s="5"/>
      <c r="BN61" s="8"/>
      <c r="BO61" s="8"/>
      <c r="BP61" s="19"/>
    </row>
    <row r="62" spans="1:68" x14ac:dyDescent="0.25">
      <c r="A62" s="18">
        <v>46144</v>
      </c>
      <c r="B62" t="s">
        <v>62</v>
      </c>
      <c r="C62" s="5">
        <v>996.8</v>
      </c>
      <c r="D62" s="6">
        <v>0.24919999999999998</v>
      </c>
      <c r="E62" s="6">
        <v>974.8</v>
      </c>
      <c r="F62" s="6">
        <v>0.2437</v>
      </c>
      <c r="G62" s="6">
        <f>IFERROR((D62+F62)/2, 0)</f>
        <v>0.24645</v>
      </c>
      <c r="H62" s="7">
        <f>IFERROR(IF(AVERAGE(C62,E62)&gt;$BN$7,AVERAGE(C62,E62),0), 0)</f>
        <v>985.8</v>
      </c>
      <c r="I62" s="7">
        <f>IFERROR(IF(AND(D62=0,F62=0),0,IF(H62&gt;$BN$6,MAX(D62,F62),G62)), 0)</f>
        <v>0.24919999999999998</v>
      </c>
      <c r="J62" s="6">
        <f>IFERROR(IF(AND(D62&gt;0,F62&gt;0),ABS(D62-F62)/AVERAGE(D62,F62),0), 0)</f>
        <v>2.2316899979711816E-2</v>
      </c>
      <c r="K62" s="6">
        <v>30173.8</v>
      </c>
      <c r="L62" s="6">
        <v>30174.400000000001</v>
      </c>
      <c r="M62" s="8">
        <f>IFERROR((L62-K62)*1000, 0)</f>
        <v>600.00000000218279</v>
      </c>
      <c r="N62" s="6">
        <v>0.2006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54.031999999999996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54.031999999999996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54.031999999999996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54.031999999999996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54.031999999999996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54.031999999999996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54.031999999999996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54.031999999999996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54.031999999999996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54.031999999999996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54.031999999999996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54.031999999999996</v>
      </c>
      <c r="AA62" s="8">
        <f>AVERAGE(TabellaMar2026[[#This Row],[Colonna24]:[Colonna20]])</f>
        <v>54.032000000000004</v>
      </c>
      <c r="AB62" s="8">
        <f>MAX(TabellaMar2026[[#This Row],[Colonna24]:[Colonna20]])</f>
        <v>54.031999999999996</v>
      </c>
      <c r="AC62" s="35">
        <f>MIN(TabellaMar2026[[#This Row],[Colonna24]:[Colonna20]])</f>
        <v>54.031999999999996</v>
      </c>
      <c r="AD62" s="44">
        <f>SUM(TabellaMar2026[[#This Row],[Colonna24]:[Colonna20]])</f>
        <v>648.38400000000001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54.031999999999996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54.031999999999996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54.031999999999996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54.031999999999996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54.031999999999996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54.031999999999996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54.031999999999996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54.031999999999996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54.031999999999996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54.031999999999996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54.031999999999996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54.031999999999996</v>
      </c>
      <c r="AQ62" s="8">
        <f>AVERAGE(TabellaMar2026[[#This Row],[Colonna39]:[Colonna6]])</f>
        <v>54.032000000000004</v>
      </c>
      <c r="AR62" s="8">
        <f>MAX(TabellaMar2026[[#This Row],[Colonna39]:[Colonna6]])</f>
        <v>54.031999999999996</v>
      </c>
      <c r="AS62" s="35">
        <f>MIN(TabellaMar2026[[#This Row],[Colonna39]:[Colonna6]])</f>
        <v>54.031999999999996</v>
      </c>
      <c r="AT62" s="48">
        <f>SUM(TabellaMar2026[[#This Row],[Colonna39]:[Colonna6]])</f>
        <v>648.38400000000001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54.031999999999996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54.031999999999996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54.031999999999996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54.031999999999996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54.031999999999996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54.031999999999996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54.031999999999996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54.031999999999996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54.031999999999996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54.031999999999996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54.031999999999996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54.031999999999996</v>
      </c>
      <c r="BG62" s="8">
        <f>AVERAGE(TabellaMar2026[[#This Row],[Colonna55]:[Colonna53]])</f>
        <v>54.031999999999996</v>
      </c>
      <c r="BH62" s="8">
        <f>MAX(TabellaMar2026[[#This Row],[Colonna55]:[Colonna53]])</f>
        <v>54.031999999999996</v>
      </c>
      <c r="BI62" s="35">
        <f>MIN(TabellaMar2026[[#This Row],[Colonna55]:[Colonna53]])</f>
        <v>54.031999999999996</v>
      </c>
      <c r="BJ62" s="48">
        <f>SUM(TabellaMar2026[[#This Row],[Colonna54]:[Colonna53]])</f>
        <v>648.38400000000001</v>
      </c>
      <c r="BK62" s="54">
        <f>(SUM(Tabella01MarzoInverter[[Active power TX1-INV-1]:[Active power TX3-INV-12]]) * 0.25) / (12625 * (SUM($G$15:$H$110) * 0.25 / 1000))</f>
        <v>0.68148841785616898</v>
      </c>
      <c r="BL62" s="5"/>
      <c r="BM62" s="5"/>
      <c r="BN62" s="8"/>
      <c r="BO62" s="8"/>
      <c r="BP62" s="19"/>
    </row>
    <row r="63" spans="1:68" x14ac:dyDescent="0.25">
      <c r="A63" s="18">
        <v>46144</v>
      </c>
      <c r="B63" t="s">
        <v>63</v>
      </c>
      <c r="C63" s="5">
        <v>995.5</v>
      </c>
      <c r="D63" s="6">
        <v>0.24887500000000001</v>
      </c>
      <c r="E63" s="6">
        <v>972.4</v>
      </c>
      <c r="F63" s="6">
        <v>0.24309999999999998</v>
      </c>
      <c r="G63" s="6">
        <f>IFERROR((D63+F63)/2, 0)</f>
        <v>0.2459875</v>
      </c>
      <c r="H63" s="7">
        <f>IFERROR(IF(AVERAGE(C63,E63)&gt;$BN$7,AVERAGE(C63,E63),0), 0)</f>
        <v>983.95</v>
      </c>
      <c r="I63" s="7">
        <f>IFERROR(IF(AND(D63=0,F63=0),0,IF(H63&gt;$BN$6,MAX(D63,F63),G63)), 0)</f>
        <v>0.24887500000000001</v>
      </c>
      <c r="J63" s="6">
        <f>IFERROR(IF(AND(D63&gt;0,F63&gt;0),ABS(D63-F63)/AVERAGE(D63,F63),0), 0)</f>
        <v>2.3476802683063288E-2</v>
      </c>
      <c r="K63" s="6">
        <v>30174.400000000001</v>
      </c>
      <c r="L63" s="6">
        <v>30175</v>
      </c>
      <c r="M63" s="8">
        <f>IFERROR((L63-K63)*1000, 0)</f>
        <v>599.99999999854481</v>
      </c>
      <c r="N63" s="6">
        <v>0.20050000000000001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54.04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54.04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54.04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54.04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54.04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54.04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54.04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54.04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54.04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54.04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54.04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54.04</v>
      </c>
      <c r="AA63" s="8">
        <f>AVERAGE(TabellaMar2026[[#This Row],[Colonna24]:[Colonna20]])</f>
        <v>54.04</v>
      </c>
      <c r="AB63" s="8">
        <f>MAX(TabellaMar2026[[#This Row],[Colonna24]:[Colonna20]])</f>
        <v>54.04</v>
      </c>
      <c r="AC63" s="35">
        <f>MIN(TabellaMar2026[[#This Row],[Colonna24]:[Colonna20]])</f>
        <v>54.04</v>
      </c>
      <c r="AD63" s="44">
        <f>SUM(TabellaMar2026[[#This Row],[Colonna24]:[Colonna20]])</f>
        <v>648.48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54.04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54.04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54.04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54.04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54.04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54.04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54.04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54.04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54.04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54.04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54.04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54.04</v>
      </c>
      <c r="AQ63" s="8">
        <f>AVERAGE(TabellaMar2026[[#This Row],[Colonna39]:[Colonna6]])</f>
        <v>54.04</v>
      </c>
      <c r="AR63" s="8">
        <f>MAX(TabellaMar2026[[#This Row],[Colonna39]:[Colonna6]])</f>
        <v>54.04</v>
      </c>
      <c r="AS63" s="35">
        <f>MIN(TabellaMar2026[[#This Row],[Colonna39]:[Colonna6]])</f>
        <v>54.04</v>
      </c>
      <c r="AT63" s="48">
        <f>SUM(TabellaMar2026[[#This Row],[Colonna39]:[Colonna6]])</f>
        <v>648.48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54.04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54.04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54.04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54.04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54.04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54.04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54.04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54.04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54.04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54.04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54.04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54.04</v>
      </c>
      <c r="BG63" s="8">
        <f>AVERAGE(TabellaMar2026[[#This Row],[Colonna55]:[Colonna53]])</f>
        <v>54.040000000000006</v>
      </c>
      <c r="BH63" s="8">
        <f>MAX(TabellaMar2026[[#This Row],[Colonna55]:[Colonna53]])</f>
        <v>54.04</v>
      </c>
      <c r="BI63" s="35">
        <f>MIN(TabellaMar2026[[#This Row],[Colonna55]:[Colonna53]])</f>
        <v>54.04</v>
      </c>
      <c r="BJ63" s="48">
        <f>SUM(TabellaMar2026[[#This Row],[Colonna54]:[Colonna53]])</f>
        <v>648.48</v>
      </c>
      <c r="BK63" s="54">
        <f>(SUM(Tabella01MarzoInverter[[Active power TX1-INV-1]:[Active power TX3-INV-12]]) * 0.25) / (12625 * (SUM($G$15:$H$110) * 0.25 / 1000))</f>
        <v>0.68148841785616898</v>
      </c>
      <c r="BL63" s="5"/>
      <c r="BM63" s="5"/>
      <c r="BN63" s="8"/>
      <c r="BO63" s="8"/>
      <c r="BP63" s="19"/>
    </row>
    <row r="64" spans="1:68" x14ac:dyDescent="0.25">
      <c r="A64" s="18">
        <v>46144</v>
      </c>
      <c r="B64" t="s">
        <v>64</v>
      </c>
      <c r="C64" s="5">
        <v>998</v>
      </c>
      <c r="D64" s="6">
        <v>0.2495</v>
      </c>
      <c r="E64" s="6">
        <v>973.3</v>
      </c>
      <c r="F64" s="6">
        <v>0.24332499999999999</v>
      </c>
      <c r="G64" s="6">
        <f>IFERROR((D64+F64)/2, 0)</f>
        <v>0.24641249999999998</v>
      </c>
      <c r="H64" s="7">
        <f>IFERROR(IF(AVERAGE(C64,E64)&gt;$BN$7,AVERAGE(C64,E64),0), 0)</f>
        <v>985.65</v>
      </c>
      <c r="I64" s="7">
        <f>IFERROR(IF(AND(D64=0,F64=0),0,IF(H64&gt;$BN$6,MAX(D64,F64),G64)), 0)</f>
        <v>0.2495</v>
      </c>
      <c r="J64" s="6">
        <f>IFERROR(IF(AND(D64&gt;0,F64&gt;0),ABS(D64-F64)/AVERAGE(D64,F64),0), 0)</f>
        <v>2.5059605336579981E-2</v>
      </c>
      <c r="K64" s="6">
        <v>30175</v>
      </c>
      <c r="L64" s="6">
        <v>30175.599999999999</v>
      </c>
      <c r="M64" s="8">
        <f>IFERROR((L64-K64)*1000, 0)</f>
        <v>599.99999999854481</v>
      </c>
      <c r="N64" s="6">
        <v>0.20050000000000001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54.04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54.04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54.04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54.04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54.04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54.04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54.04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54.04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54.04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54.04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54.04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54.04</v>
      </c>
      <c r="AA64" s="8">
        <f>AVERAGE(TabellaMar2026[[#This Row],[Colonna24]:[Colonna20]])</f>
        <v>54.04</v>
      </c>
      <c r="AB64" s="8">
        <f>MAX(TabellaMar2026[[#This Row],[Colonna24]:[Colonna20]])</f>
        <v>54.04</v>
      </c>
      <c r="AC64" s="35">
        <f>MIN(TabellaMar2026[[#This Row],[Colonna24]:[Colonna20]])</f>
        <v>54.04</v>
      </c>
      <c r="AD64" s="44">
        <f>SUM(TabellaMar2026[[#This Row],[Colonna24]:[Colonna20]])</f>
        <v>648.48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54.04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54.04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54.04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54.04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54.04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54.04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54.04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54.04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54.04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54.04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54.04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54.04</v>
      </c>
      <c r="AQ64" s="8">
        <f>AVERAGE(TabellaMar2026[[#This Row],[Colonna39]:[Colonna6]])</f>
        <v>54.04</v>
      </c>
      <c r="AR64" s="8">
        <f>MAX(TabellaMar2026[[#This Row],[Colonna39]:[Colonna6]])</f>
        <v>54.04</v>
      </c>
      <c r="AS64" s="35">
        <f>MIN(TabellaMar2026[[#This Row],[Colonna39]:[Colonna6]])</f>
        <v>54.04</v>
      </c>
      <c r="AT64" s="48">
        <f>SUM(TabellaMar2026[[#This Row],[Colonna39]:[Colonna6]])</f>
        <v>648.48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54.04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54.04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54.04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54.04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54.04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54.04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54.04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54.04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54.04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54.04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54.04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54.04</v>
      </c>
      <c r="BG64" s="8">
        <f>AVERAGE(TabellaMar2026[[#This Row],[Colonna55]:[Colonna53]])</f>
        <v>54.040000000000006</v>
      </c>
      <c r="BH64" s="8">
        <f>MAX(TabellaMar2026[[#This Row],[Colonna55]:[Colonna53]])</f>
        <v>54.04</v>
      </c>
      <c r="BI64" s="35">
        <f>MIN(TabellaMar2026[[#This Row],[Colonna55]:[Colonna53]])</f>
        <v>54.04</v>
      </c>
      <c r="BJ64" s="48">
        <f>SUM(TabellaMar2026[[#This Row],[Colonna54]:[Colonna53]])</f>
        <v>648.48</v>
      </c>
      <c r="BK64" s="54">
        <f>(SUM(Tabella01MarzoInverter[[Active power TX1-INV-1]:[Active power TX3-INV-12]]) * 0.25) / (12625 * (SUM($G$15:$H$110) * 0.25 / 1000))</f>
        <v>0.68148841785616898</v>
      </c>
      <c r="BL64" s="5"/>
      <c r="BM64" s="5"/>
      <c r="BN64" s="8"/>
      <c r="BO64" s="8"/>
      <c r="BP64" s="19"/>
    </row>
    <row r="65" spans="1:68" x14ac:dyDescent="0.25">
      <c r="A65" s="18">
        <v>46144</v>
      </c>
      <c r="B65" t="s">
        <v>65</v>
      </c>
      <c r="C65" s="5">
        <v>991.1</v>
      </c>
      <c r="D65" s="6">
        <v>0.247775</v>
      </c>
      <c r="E65" s="6">
        <v>965.9</v>
      </c>
      <c r="F65" s="6">
        <v>0.241475</v>
      </c>
      <c r="G65" s="6">
        <f>IFERROR((D65+F65)/2, 0)</f>
        <v>0.24462499999999998</v>
      </c>
      <c r="H65" s="7">
        <f>IFERROR(IF(AVERAGE(C65,E65)&gt;$BN$7,AVERAGE(C65,E65),0), 0)</f>
        <v>978.5</v>
      </c>
      <c r="I65" s="7">
        <f>IFERROR(IF(AND(D65=0,F65=0),0,IF(H65&gt;$BN$6,MAX(D65,F65),G65)), 0)</f>
        <v>0.247775</v>
      </c>
      <c r="J65" s="6">
        <f>IFERROR(IF(AND(D65&gt;0,F65&gt;0),ABS(D65-F65)/AVERAGE(D65,F65),0), 0)</f>
        <v>2.5753704649974452E-2</v>
      </c>
      <c r="K65" s="6">
        <v>30175.599999999999</v>
      </c>
      <c r="L65" s="6">
        <v>30176.1</v>
      </c>
      <c r="M65" s="8">
        <f>IFERROR((L65-K65)*1000, 0)</f>
        <v>500</v>
      </c>
      <c r="N65" s="6">
        <v>0.2006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54.031999999999996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54.031999999999996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54.031999999999996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54.031999999999996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54.031999999999996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54.031999999999996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54.031999999999996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54.031999999999996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54.031999999999996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54.031999999999996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54.031999999999996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54.031999999999996</v>
      </c>
      <c r="AA65" s="8">
        <f>AVERAGE(TabellaMar2026[[#This Row],[Colonna24]:[Colonna20]])</f>
        <v>54.032000000000004</v>
      </c>
      <c r="AB65" s="8">
        <f>MAX(TabellaMar2026[[#This Row],[Colonna24]:[Colonna20]])</f>
        <v>54.031999999999996</v>
      </c>
      <c r="AC65" s="35">
        <f>MIN(TabellaMar2026[[#This Row],[Colonna24]:[Colonna20]])</f>
        <v>54.031999999999996</v>
      </c>
      <c r="AD65" s="44">
        <f>SUM(TabellaMar2026[[#This Row],[Colonna24]:[Colonna20]])</f>
        <v>648.38400000000001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54.031999999999996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54.031999999999996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54.031999999999996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54.031999999999996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54.031999999999996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54.031999999999996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54.031999999999996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54.031999999999996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54.031999999999996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54.031999999999996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54.031999999999996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54.031999999999996</v>
      </c>
      <c r="AQ65" s="8">
        <f>AVERAGE(TabellaMar2026[[#This Row],[Colonna39]:[Colonna6]])</f>
        <v>54.032000000000004</v>
      </c>
      <c r="AR65" s="8">
        <f>MAX(TabellaMar2026[[#This Row],[Colonna39]:[Colonna6]])</f>
        <v>54.031999999999996</v>
      </c>
      <c r="AS65" s="35">
        <f>MIN(TabellaMar2026[[#This Row],[Colonna39]:[Colonna6]])</f>
        <v>54.031999999999996</v>
      </c>
      <c r="AT65" s="48">
        <f>SUM(TabellaMar2026[[#This Row],[Colonna39]:[Colonna6]])</f>
        <v>648.38400000000001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54.031999999999996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54.031999999999996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54.031999999999996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54.031999999999996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54.031999999999996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54.031999999999996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54.031999999999996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54.031999999999996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54.031999999999996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54.031999999999996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54.031999999999996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54.031999999999996</v>
      </c>
      <c r="BG65" s="8">
        <f>AVERAGE(TabellaMar2026[[#This Row],[Colonna55]:[Colonna53]])</f>
        <v>54.031999999999996</v>
      </c>
      <c r="BH65" s="8">
        <f>MAX(TabellaMar2026[[#This Row],[Colonna55]:[Colonna53]])</f>
        <v>54.031999999999996</v>
      </c>
      <c r="BI65" s="35">
        <f>MIN(TabellaMar2026[[#This Row],[Colonna55]:[Colonna53]])</f>
        <v>54.031999999999996</v>
      </c>
      <c r="BJ65" s="48">
        <f>SUM(TabellaMar2026[[#This Row],[Colonna54]:[Colonna53]])</f>
        <v>648.38400000000001</v>
      </c>
      <c r="BK65" s="54">
        <f>(SUM(Tabella01MarzoInverter[[Active power TX1-INV-1]:[Active power TX3-INV-12]]) * 0.25) / (12625 * (SUM($G$15:$H$110) * 0.25 / 1000))</f>
        <v>0.68148841785616898</v>
      </c>
      <c r="BL65" s="5"/>
      <c r="BM65" s="5"/>
      <c r="BN65" s="8"/>
      <c r="BO65" s="8"/>
      <c r="BP65" s="19"/>
    </row>
    <row r="66" spans="1:68" x14ac:dyDescent="0.25">
      <c r="A66" s="18">
        <v>46144</v>
      </c>
      <c r="B66" t="s">
        <v>66</v>
      </c>
      <c r="C66" s="5">
        <v>985</v>
      </c>
      <c r="D66" s="6">
        <v>0.24625</v>
      </c>
      <c r="E66" s="6">
        <v>949.8</v>
      </c>
      <c r="F66" s="6">
        <v>0.23744999999999999</v>
      </c>
      <c r="G66" s="6">
        <f>IFERROR((D66+F66)/2, 0)</f>
        <v>0.24185000000000001</v>
      </c>
      <c r="H66" s="7">
        <f>IFERROR(IF(AVERAGE(C66,E66)&gt;$BN$7,AVERAGE(C66,E66),0), 0)</f>
        <v>967.4</v>
      </c>
      <c r="I66" s="7">
        <f>IFERROR(IF(AND(D66=0,F66=0),0,IF(H66&gt;$BN$6,MAX(D66,F66),G66)), 0)</f>
        <v>0.24625</v>
      </c>
      <c r="J66" s="6">
        <f>IFERROR(IF(AND(D66&gt;0,F66&gt;0),ABS(D66-F66)/AVERAGE(D66,F66),0), 0)</f>
        <v>3.6386189787058099E-2</v>
      </c>
      <c r="K66" s="6">
        <v>30176.1</v>
      </c>
      <c r="L66" s="6">
        <v>30176.7</v>
      </c>
      <c r="M66" s="8">
        <f>IFERROR((L66-K66)*1000, 0)</f>
        <v>600.00000000218279</v>
      </c>
      <c r="N66" s="6">
        <v>0.20050000000000001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54.04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54.04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54.04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54.04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54.04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54.04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54.04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54.04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54.04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54.04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54.04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54.04</v>
      </c>
      <c r="AA66" s="8">
        <f>AVERAGE(TabellaMar2026[[#This Row],[Colonna24]:[Colonna20]])</f>
        <v>54.04</v>
      </c>
      <c r="AB66" s="8">
        <f>MAX(TabellaMar2026[[#This Row],[Colonna24]:[Colonna20]])</f>
        <v>54.04</v>
      </c>
      <c r="AC66" s="35">
        <f>MIN(TabellaMar2026[[#This Row],[Colonna24]:[Colonna20]])</f>
        <v>54.04</v>
      </c>
      <c r="AD66" s="44">
        <f>SUM(TabellaMar2026[[#This Row],[Colonna24]:[Colonna20]])</f>
        <v>648.48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54.04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54.04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54.04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54.04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54.04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54.04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54.04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54.04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54.04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54.04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54.04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54.04</v>
      </c>
      <c r="AQ66" s="8">
        <f>AVERAGE(TabellaMar2026[[#This Row],[Colonna39]:[Colonna6]])</f>
        <v>54.04</v>
      </c>
      <c r="AR66" s="8">
        <f>MAX(TabellaMar2026[[#This Row],[Colonna39]:[Colonna6]])</f>
        <v>54.04</v>
      </c>
      <c r="AS66" s="35">
        <f>MIN(TabellaMar2026[[#This Row],[Colonna39]:[Colonna6]])</f>
        <v>54.04</v>
      </c>
      <c r="AT66" s="48">
        <f>SUM(TabellaMar2026[[#This Row],[Colonna39]:[Colonna6]])</f>
        <v>648.48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54.04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54.04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54.04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54.04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54.04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54.04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54.04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54.04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54.04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54.04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54.04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54.04</v>
      </c>
      <c r="BG66" s="8">
        <f>AVERAGE(TabellaMar2026[[#This Row],[Colonna55]:[Colonna53]])</f>
        <v>54.040000000000006</v>
      </c>
      <c r="BH66" s="8">
        <f>MAX(TabellaMar2026[[#This Row],[Colonna55]:[Colonna53]])</f>
        <v>54.04</v>
      </c>
      <c r="BI66" s="35">
        <f>MIN(TabellaMar2026[[#This Row],[Colonna55]:[Colonna53]])</f>
        <v>54.04</v>
      </c>
      <c r="BJ66" s="48">
        <f>SUM(TabellaMar2026[[#This Row],[Colonna54]:[Colonna53]])</f>
        <v>648.48</v>
      </c>
      <c r="BK66" s="54">
        <f>(SUM(Tabella01MarzoInverter[[Active power TX1-INV-1]:[Active power TX3-INV-12]]) * 0.25) / (12625 * (SUM($G$15:$H$110) * 0.25 / 1000))</f>
        <v>0.68148841785616898</v>
      </c>
      <c r="BL66" s="5"/>
      <c r="BM66" s="5"/>
      <c r="BN66" s="8"/>
      <c r="BO66" s="8"/>
      <c r="BP66" s="19"/>
    </row>
    <row r="67" spans="1:68" x14ac:dyDescent="0.25">
      <c r="A67" s="18">
        <v>46144</v>
      </c>
      <c r="B67" t="s">
        <v>67</v>
      </c>
      <c r="C67" s="5">
        <v>991.6</v>
      </c>
      <c r="D67" s="6">
        <v>0.24790000000000001</v>
      </c>
      <c r="E67" s="6">
        <v>965.7</v>
      </c>
      <c r="F67" s="6">
        <v>0.241425</v>
      </c>
      <c r="G67" s="6">
        <f>IFERROR((D67+F67)/2, 0)</f>
        <v>0.2446625</v>
      </c>
      <c r="H67" s="7">
        <f>IFERROR(IF(AVERAGE(C67,E67)&gt;$BN$7,AVERAGE(C67,E67),0), 0)</f>
        <v>978.65000000000009</v>
      </c>
      <c r="I67" s="7">
        <f>IFERROR(IF(AND(D67=0,F67=0),0,IF(H67&gt;$BN$6,MAX(D67,F67),G67)), 0)</f>
        <v>0.24790000000000001</v>
      </c>
      <c r="J67" s="6">
        <f>IFERROR(IF(AND(D67&gt;0,F67&gt;0),ABS(D67-F67)/AVERAGE(D67,F67),0), 0)</f>
        <v>2.6465028355387558E-2</v>
      </c>
      <c r="K67" s="6">
        <v>30176.7</v>
      </c>
      <c r="L67" s="6">
        <v>30177.3</v>
      </c>
      <c r="M67" s="8">
        <f>IFERROR((L67-K67)*1000, 0)</f>
        <v>599.99999999854481</v>
      </c>
      <c r="N67" s="6">
        <v>0.20050000000000001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54.04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54.04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54.04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54.04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54.04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54.04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54.04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54.04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54.04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54.04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54.04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54.04</v>
      </c>
      <c r="AA67" s="8">
        <f>AVERAGE(TabellaMar2026[[#This Row],[Colonna24]:[Colonna20]])</f>
        <v>54.04</v>
      </c>
      <c r="AB67" s="8">
        <f>MAX(TabellaMar2026[[#This Row],[Colonna24]:[Colonna20]])</f>
        <v>54.04</v>
      </c>
      <c r="AC67" s="35">
        <f>MIN(TabellaMar2026[[#This Row],[Colonna24]:[Colonna20]])</f>
        <v>54.04</v>
      </c>
      <c r="AD67" s="44">
        <f>SUM(TabellaMar2026[[#This Row],[Colonna24]:[Colonna20]])</f>
        <v>648.48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54.04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54.04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54.04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54.04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54.04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54.04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54.04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54.04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54.04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54.04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54.04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54.04</v>
      </c>
      <c r="AQ67" s="8">
        <f>AVERAGE(TabellaMar2026[[#This Row],[Colonna39]:[Colonna6]])</f>
        <v>54.04</v>
      </c>
      <c r="AR67" s="8">
        <f>MAX(TabellaMar2026[[#This Row],[Colonna39]:[Colonna6]])</f>
        <v>54.04</v>
      </c>
      <c r="AS67" s="35">
        <f>MIN(TabellaMar2026[[#This Row],[Colonna39]:[Colonna6]])</f>
        <v>54.04</v>
      </c>
      <c r="AT67" s="48">
        <f>SUM(TabellaMar2026[[#This Row],[Colonna39]:[Colonna6]])</f>
        <v>648.48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54.04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54.04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54.04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54.04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54.04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54.04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54.04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54.04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54.04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54.04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54.04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54.04</v>
      </c>
      <c r="BG67" s="8">
        <f>AVERAGE(TabellaMar2026[[#This Row],[Colonna55]:[Colonna53]])</f>
        <v>54.040000000000006</v>
      </c>
      <c r="BH67" s="8">
        <f>MAX(TabellaMar2026[[#This Row],[Colonna55]:[Colonna53]])</f>
        <v>54.04</v>
      </c>
      <c r="BI67" s="35">
        <f>MIN(TabellaMar2026[[#This Row],[Colonna55]:[Colonna53]])</f>
        <v>54.04</v>
      </c>
      <c r="BJ67" s="48">
        <f>SUM(TabellaMar2026[[#This Row],[Colonna54]:[Colonna53]])</f>
        <v>648.48</v>
      </c>
      <c r="BK67" s="54">
        <f>(SUM(Tabella01MarzoInverter[[Active power TX1-INV-1]:[Active power TX3-INV-12]]) * 0.25) / (12625 * (SUM($G$15:$H$110) * 0.25 / 1000))</f>
        <v>0.68148841785616898</v>
      </c>
      <c r="BL67" s="5"/>
      <c r="BM67" s="5"/>
      <c r="BN67" s="5"/>
      <c r="BO67" s="8"/>
      <c r="BP67" s="19"/>
    </row>
    <row r="68" spans="1:68" x14ac:dyDescent="0.25">
      <c r="A68" s="18">
        <v>46144</v>
      </c>
      <c r="B68" t="s">
        <v>68</v>
      </c>
      <c r="C68" s="5">
        <v>992.6</v>
      </c>
      <c r="D68" s="6">
        <v>0.24815000000000001</v>
      </c>
      <c r="E68" s="6">
        <v>966.1</v>
      </c>
      <c r="F68" s="6">
        <v>0.24152500000000002</v>
      </c>
      <c r="G68" s="6">
        <f>IFERROR((D68+F68)/2, 0)</f>
        <v>0.24483750000000001</v>
      </c>
      <c r="H68" s="7">
        <f>IFERROR(IF(AVERAGE(C68,E68)&gt;$BN$7,AVERAGE(C68,E68),0), 0)</f>
        <v>979.35</v>
      </c>
      <c r="I68" s="7">
        <f>IFERROR(IF(AND(D68=0,F68=0),0,IF(H68&gt;$BN$6,MAX(D68,F68),G68)), 0)</f>
        <v>0.24815000000000001</v>
      </c>
      <c r="J68" s="6">
        <f>IFERROR(IF(AND(D68&gt;0,F68&gt;0),ABS(D68-F68)/AVERAGE(D68,F68),0), 0)</f>
        <v>2.7058763465563861E-2</v>
      </c>
      <c r="K68" s="6">
        <v>30177.3</v>
      </c>
      <c r="L68" s="6">
        <v>30177.9</v>
      </c>
      <c r="M68" s="8">
        <f>IFERROR((L68-K68)*1000, 0)</f>
        <v>600.00000000218279</v>
      </c>
      <c r="N68" s="6">
        <v>0.20050000000000001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54.04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54.04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54.04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54.04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54.04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54.04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54.04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54.04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54.04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54.04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54.04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54.04</v>
      </c>
      <c r="AA68" s="8">
        <f>AVERAGE(TabellaMar2026[[#This Row],[Colonna24]:[Colonna20]])</f>
        <v>54.04</v>
      </c>
      <c r="AB68" s="8">
        <f>MAX(TabellaMar2026[[#This Row],[Colonna24]:[Colonna20]])</f>
        <v>54.04</v>
      </c>
      <c r="AC68" s="35">
        <f>MIN(TabellaMar2026[[#This Row],[Colonna24]:[Colonna20]])</f>
        <v>54.04</v>
      </c>
      <c r="AD68" s="44">
        <f>SUM(TabellaMar2026[[#This Row],[Colonna24]:[Colonna20]])</f>
        <v>648.48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54.04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54.04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54.04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54.04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54.04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54.04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54.04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54.04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54.04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54.04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54.04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54.04</v>
      </c>
      <c r="AQ68" s="8">
        <f>AVERAGE(TabellaMar2026[[#This Row],[Colonna39]:[Colonna6]])</f>
        <v>54.04</v>
      </c>
      <c r="AR68" s="8">
        <f>MAX(TabellaMar2026[[#This Row],[Colonna39]:[Colonna6]])</f>
        <v>54.04</v>
      </c>
      <c r="AS68" s="35">
        <f>MIN(TabellaMar2026[[#This Row],[Colonna39]:[Colonna6]])</f>
        <v>54.04</v>
      </c>
      <c r="AT68" s="48">
        <f>SUM(TabellaMar2026[[#This Row],[Colonna39]:[Colonna6]])</f>
        <v>648.48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54.04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54.04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54.04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54.04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54.04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54.04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54.04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54.04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54.04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54.04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54.04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54.04</v>
      </c>
      <c r="BG68" s="8">
        <f>AVERAGE(TabellaMar2026[[#This Row],[Colonna55]:[Colonna53]])</f>
        <v>54.040000000000006</v>
      </c>
      <c r="BH68" s="8">
        <f>MAX(TabellaMar2026[[#This Row],[Colonna55]:[Colonna53]])</f>
        <v>54.04</v>
      </c>
      <c r="BI68" s="35">
        <f>MIN(TabellaMar2026[[#This Row],[Colonna55]:[Colonna53]])</f>
        <v>54.04</v>
      </c>
      <c r="BJ68" s="48">
        <f>SUM(TabellaMar2026[[#This Row],[Colonna54]:[Colonna53]])</f>
        <v>648.48</v>
      </c>
      <c r="BK68" s="54">
        <f>(SUM(Tabella01MarzoInverter[[Active power TX1-INV-1]:[Active power TX3-INV-12]]) * 0.25) / (12625 * (SUM($G$15:$H$110) * 0.25 / 1000))</f>
        <v>0.68148841785616898</v>
      </c>
      <c r="BL68" s="5"/>
      <c r="BM68" s="5"/>
      <c r="BN68" s="5"/>
      <c r="BO68" s="8"/>
      <c r="BP68" s="19"/>
    </row>
    <row r="69" spans="1:68" x14ac:dyDescent="0.25">
      <c r="A69" s="18">
        <v>46144</v>
      </c>
      <c r="B69" t="s">
        <v>69</v>
      </c>
      <c r="C69" s="5">
        <v>996.6</v>
      </c>
      <c r="D69" s="6">
        <v>0.24915000000000001</v>
      </c>
      <c r="E69" s="6">
        <v>970.6</v>
      </c>
      <c r="F69" s="6">
        <v>0.24265</v>
      </c>
      <c r="G69" s="6">
        <f>IFERROR((D69+F69)/2, 0)</f>
        <v>0.24590000000000001</v>
      </c>
      <c r="H69" s="7">
        <f>IFERROR(IF(AVERAGE(C69,E69)&gt;$BN$7,AVERAGE(C69,E69),0), 0)</f>
        <v>983.6</v>
      </c>
      <c r="I69" s="7">
        <f>IFERROR(IF(AND(D69=0,F69=0),0,IF(H69&gt;$BN$6,MAX(D69,F69),G69)), 0)</f>
        <v>0.24915000000000001</v>
      </c>
      <c r="J69" s="6">
        <f>IFERROR(IF(AND(D69&gt;0,F69&gt;0),ABS(D69-F69)/AVERAGE(D69,F69),0), 0)</f>
        <v>2.6433509556730402E-2</v>
      </c>
      <c r="K69" s="6">
        <v>30177.9</v>
      </c>
      <c r="L69" s="6">
        <v>30178.5</v>
      </c>
      <c r="M69" s="8">
        <f>IFERROR((L69-K69)*1000, 0)</f>
        <v>599.99999999854481</v>
      </c>
      <c r="N69" s="6">
        <v>0.2006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54.031999999999996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54.031999999999996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54.031999999999996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54.031999999999996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54.031999999999996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54.031999999999996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54.031999999999996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54.031999999999996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54.031999999999996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54.031999999999996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54.031999999999996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54.031999999999996</v>
      </c>
      <c r="AA69" s="8">
        <f>AVERAGE(TabellaMar2026[[#This Row],[Colonna24]:[Colonna20]])</f>
        <v>54.032000000000004</v>
      </c>
      <c r="AB69" s="8">
        <f>MAX(TabellaMar2026[[#This Row],[Colonna24]:[Colonna20]])</f>
        <v>54.031999999999996</v>
      </c>
      <c r="AC69" s="35">
        <f>MIN(TabellaMar2026[[#This Row],[Colonna24]:[Colonna20]])</f>
        <v>54.031999999999996</v>
      </c>
      <c r="AD69" s="44">
        <f>SUM(TabellaMar2026[[#This Row],[Colonna24]:[Colonna20]])</f>
        <v>648.38400000000001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54.031999999999996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54.031999999999996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54.031999999999996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54.031999999999996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54.031999999999996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54.031999999999996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54.031999999999996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54.031999999999996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54.031999999999996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54.031999999999996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54.031999999999996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54.031999999999996</v>
      </c>
      <c r="AQ69" s="8">
        <f>AVERAGE(TabellaMar2026[[#This Row],[Colonna39]:[Colonna6]])</f>
        <v>54.032000000000004</v>
      </c>
      <c r="AR69" s="8">
        <f>MAX(TabellaMar2026[[#This Row],[Colonna39]:[Colonna6]])</f>
        <v>54.031999999999996</v>
      </c>
      <c r="AS69" s="35">
        <f>MIN(TabellaMar2026[[#This Row],[Colonna39]:[Colonna6]])</f>
        <v>54.031999999999996</v>
      </c>
      <c r="AT69" s="48">
        <f>SUM(TabellaMar2026[[#This Row],[Colonna39]:[Colonna6]])</f>
        <v>648.38400000000001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54.031999999999996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54.031999999999996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54.031999999999996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54.031999999999996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54.031999999999996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54.031999999999996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54.031999999999996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54.031999999999996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54.031999999999996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54.031999999999996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54.031999999999996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54.031999999999996</v>
      </c>
      <c r="BG69" s="8">
        <f>AVERAGE(TabellaMar2026[[#This Row],[Colonna55]:[Colonna53]])</f>
        <v>54.031999999999996</v>
      </c>
      <c r="BH69" s="8">
        <f>MAX(TabellaMar2026[[#This Row],[Colonna55]:[Colonna53]])</f>
        <v>54.031999999999996</v>
      </c>
      <c r="BI69" s="35">
        <f>MIN(TabellaMar2026[[#This Row],[Colonna55]:[Colonna53]])</f>
        <v>54.031999999999996</v>
      </c>
      <c r="BJ69" s="48">
        <f>SUM(TabellaMar2026[[#This Row],[Colonna54]:[Colonna53]])</f>
        <v>648.38400000000001</v>
      </c>
      <c r="BK69" s="54">
        <f>(SUM(Tabella01MarzoInverter[[Active power TX1-INV-1]:[Active power TX3-INV-12]]) * 0.25) / (12625 * (SUM($G$15:$H$110) * 0.25 / 1000))</f>
        <v>0.68148841785616898</v>
      </c>
      <c r="BL69" s="5"/>
      <c r="BM69" s="5"/>
      <c r="BN69" s="5"/>
      <c r="BO69" s="8"/>
      <c r="BP69" s="19"/>
    </row>
    <row r="70" spans="1:68" x14ac:dyDescent="0.25">
      <c r="A70" s="18">
        <v>46144</v>
      </c>
      <c r="B70" t="s">
        <v>70</v>
      </c>
      <c r="C70" s="5">
        <v>994.3</v>
      </c>
      <c r="D70" s="6">
        <v>0.24857499999999999</v>
      </c>
      <c r="E70" s="6">
        <v>969.5</v>
      </c>
      <c r="F70" s="6">
        <v>0.24237500000000001</v>
      </c>
      <c r="G70" s="6">
        <f>IFERROR((D70+F70)/2, 0)</f>
        <v>0.245475</v>
      </c>
      <c r="H70" s="7">
        <f>IFERROR(IF(AVERAGE(C70,E70)&gt;$BN$7,AVERAGE(C70,E70),0), 0)</f>
        <v>981.9</v>
      </c>
      <c r="I70" s="7">
        <f>IFERROR(IF(AND(D70=0,F70=0),0,IF(H70&gt;$BN$6,MAX(D70,F70),G70)), 0)</f>
        <v>0.24857499999999999</v>
      </c>
      <c r="J70" s="6">
        <f>IFERROR(IF(AND(D70&gt;0,F70&gt;0),ABS(D70-F70)/AVERAGE(D70,F70),0), 0)</f>
        <v>2.5257154496384493E-2</v>
      </c>
      <c r="K70" s="6">
        <v>30178.5</v>
      </c>
      <c r="L70" s="6">
        <v>30179.1</v>
      </c>
      <c r="M70" s="8">
        <f>IFERROR((L70-K70)*1000, 0)</f>
        <v>599.99999999854481</v>
      </c>
      <c r="N70" s="6">
        <v>0.2006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54.031999999999996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54.031999999999996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54.031999999999996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54.031999999999996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54.031999999999996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54.031999999999996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54.031999999999996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54.031999999999996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54.031999999999996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54.031999999999996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54.031999999999996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54.031999999999996</v>
      </c>
      <c r="AA70" s="8">
        <f>AVERAGE(TabellaMar2026[[#This Row],[Colonna24]:[Colonna20]])</f>
        <v>54.032000000000004</v>
      </c>
      <c r="AB70" s="8">
        <f>MAX(TabellaMar2026[[#This Row],[Colonna24]:[Colonna20]])</f>
        <v>54.031999999999996</v>
      </c>
      <c r="AC70" s="35">
        <f>MIN(TabellaMar2026[[#This Row],[Colonna24]:[Colonna20]])</f>
        <v>54.031999999999996</v>
      </c>
      <c r="AD70" s="44">
        <f>SUM(TabellaMar2026[[#This Row],[Colonna24]:[Colonna20]])</f>
        <v>648.38400000000001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54.031999999999996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54.031999999999996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54.031999999999996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54.031999999999996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54.031999999999996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54.031999999999996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54.031999999999996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54.031999999999996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54.031999999999996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54.031999999999996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54.031999999999996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54.031999999999996</v>
      </c>
      <c r="AQ70" s="8">
        <f>AVERAGE(TabellaMar2026[[#This Row],[Colonna39]:[Colonna6]])</f>
        <v>54.032000000000004</v>
      </c>
      <c r="AR70" s="8">
        <f>MAX(TabellaMar2026[[#This Row],[Colonna39]:[Colonna6]])</f>
        <v>54.031999999999996</v>
      </c>
      <c r="AS70" s="35">
        <f>MIN(TabellaMar2026[[#This Row],[Colonna39]:[Colonna6]])</f>
        <v>54.031999999999996</v>
      </c>
      <c r="AT70" s="48">
        <f>SUM(TabellaMar2026[[#This Row],[Colonna39]:[Colonna6]])</f>
        <v>648.38400000000001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54.031999999999996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54.031999999999996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54.031999999999996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54.031999999999996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54.031999999999996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54.031999999999996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54.031999999999996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54.031999999999996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54.031999999999996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54.031999999999996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54.031999999999996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54.031999999999996</v>
      </c>
      <c r="BG70" s="8">
        <f>AVERAGE(TabellaMar2026[[#This Row],[Colonna55]:[Colonna53]])</f>
        <v>54.031999999999996</v>
      </c>
      <c r="BH70" s="8">
        <f>MAX(TabellaMar2026[[#This Row],[Colonna55]:[Colonna53]])</f>
        <v>54.031999999999996</v>
      </c>
      <c r="BI70" s="35">
        <f>MIN(TabellaMar2026[[#This Row],[Colonna55]:[Colonna53]])</f>
        <v>54.031999999999996</v>
      </c>
      <c r="BJ70" s="48">
        <f>SUM(TabellaMar2026[[#This Row],[Colonna54]:[Colonna53]])</f>
        <v>648.38400000000001</v>
      </c>
      <c r="BK70" s="54">
        <f>(SUM(Tabella01MarzoInverter[[Active power TX1-INV-1]:[Active power TX3-INV-12]]) * 0.25) / (12625 * (SUM($G$15:$H$110) * 0.25 / 1000))</f>
        <v>0.68148841785616898</v>
      </c>
      <c r="BL70" s="5"/>
      <c r="BM70" s="5"/>
      <c r="BN70" s="5"/>
      <c r="BO70" s="8"/>
      <c r="BP70" s="19"/>
    </row>
    <row r="71" spans="1:68" x14ac:dyDescent="0.25">
      <c r="A71" s="18">
        <v>46144</v>
      </c>
      <c r="B71" t="s">
        <v>71</v>
      </c>
      <c r="C71" s="5">
        <v>994.7</v>
      </c>
      <c r="D71" s="6">
        <v>0.24867500000000001</v>
      </c>
      <c r="E71" s="6">
        <v>971</v>
      </c>
      <c r="F71" s="6">
        <v>0.24274999999999999</v>
      </c>
      <c r="G71" s="6">
        <f>IFERROR((D71+F71)/2, 0)</f>
        <v>0.2457125</v>
      </c>
      <c r="H71" s="7">
        <f>IFERROR(IF(AVERAGE(C71,E71)&gt;$BN$7,AVERAGE(C71,E71),0), 0)</f>
        <v>982.85</v>
      </c>
      <c r="I71" s="7">
        <f>IFERROR(IF(AND(D71=0,F71=0),0,IF(H71&gt;$BN$6,MAX(D71,F71),G71)), 0)</f>
        <v>0.24867500000000001</v>
      </c>
      <c r="J71" s="6">
        <f>IFERROR(IF(AND(D71&gt;0,F71&gt;0),ABS(D71-F71)/AVERAGE(D71,F71),0), 0)</f>
        <v>2.4113547336826632E-2</v>
      </c>
      <c r="K71" s="6">
        <v>30179.1</v>
      </c>
      <c r="L71" s="6">
        <v>30179.599999999999</v>
      </c>
      <c r="M71" s="8">
        <f>IFERROR((L71-K71)*1000, 0)</f>
        <v>500</v>
      </c>
      <c r="N71" s="6">
        <v>0.2006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54.031999999999996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54.031999999999996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54.031999999999996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54.031999999999996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54.031999999999996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54.031999999999996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54.031999999999996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54.031999999999996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54.031999999999996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54.031999999999996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54.031999999999996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54.031999999999996</v>
      </c>
      <c r="AA71" s="8">
        <f>AVERAGE(TabellaMar2026[[#This Row],[Colonna24]:[Colonna20]])</f>
        <v>54.032000000000004</v>
      </c>
      <c r="AB71" s="8">
        <f>MAX(TabellaMar2026[[#This Row],[Colonna24]:[Colonna20]])</f>
        <v>54.031999999999996</v>
      </c>
      <c r="AC71" s="35">
        <f>MIN(TabellaMar2026[[#This Row],[Colonna24]:[Colonna20]])</f>
        <v>54.031999999999996</v>
      </c>
      <c r="AD71" s="44">
        <f>SUM(TabellaMar2026[[#This Row],[Colonna24]:[Colonna20]])</f>
        <v>648.38400000000001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54.031999999999996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54.031999999999996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54.031999999999996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54.031999999999996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54.031999999999996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54.031999999999996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54.031999999999996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54.031999999999996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54.031999999999996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54.031999999999996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54.031999999999996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54.031999999999996</v>
      </c>
      <c r="AQ71" s="8">
        <f>AVERAGE(TabellaMar2026[[#This Row],[Colonna39]:[Colonna6]])</f>
        <v>54.032000000000004</v>
      </c>
      <c r="AR71" s="8">
        <f>MAX(TabellaMar2026[[#This Row],[Colonna39]:[Colonna6]])</f>
        <v>54.031999999999996</v>
      </c>
      <c r="AS71" s="35">
        <f>MIN(TabellaMar2026[[#This Row],[Colonna39]:[Colonna6]])</f>
        <v>54.031999999999996</v>
      </c>
      <c r="AT71" s="48">
        <f>SUM(TabellaMar2026[[#This Row],[Colonna39]:[Colonna6]])</f>
        <v>648.38400000000001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54.031999999999996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54.031999999999996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54.031999999999996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54.031999999999996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54.031999999999996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54.031999999999996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54.031999999999996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54.031999999999996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54.031999999999996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54.031999999999996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54.031999999999996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54.031999999999996</v>
      </c>
      <c r="BG71" s="8">
        <f>AVERAGE(TabellaMar2026[[#This Row],[Colonna55]:[Colonna53]])</f>
        <v>54.031999999999996</v>
      </c>
      <c r="BH71" s="8">
        <f>MAX(TabellaMar2026[[#This Row],[Colonna55]:[Colonna53]])</f>
        <v>54.031999999999996</v>
      </c>
      <c r="BI71" s="35">
        <f>MIN(TabellaMar2026[[#This Row],[Colonna55]:[Colonna53]])</f>
        <v>54.031999999999996</v>
      </c>
      <c r="BJ71" s="48">
        <f>SUM(TabellaMar2026[[#This Row],[Colonna54]:[Colonna53]])</f>
        <v>648.38400000000001</v>
      </c>
      <c r="BK71" s="54">
        <f>(SUM(Tabella01MarzoInverter[[Active power TX1-INV-1]:[Active power TX3-INV-12]]) * 0.25) / (12625 * (SUM($G$15:$H$110) * 0.25 / 1000))</f>
        <v>0.68148841785616898</v>
      </c>
      <c r="BL71" s="5"/>
      <c r="BM71" s="5"/>
      <c r="BN71" s="5"/>
      <c r="BO71" s="8"/>
      <c r="BP71" s="19"/>
    </row>
    <row r="72" spans="1:68" x14ac:dyDescent="0.25">
      <c r="A72" s="18">
        <v>46144</v>
      </c>
      <c r="B72" t="s">
        <v>72</v>
      </c>
      <c r="C72" s="5">
        <v>1006.9</v>
      </c>
      <c r="D72" s="6">
        <v>0.25172499999999998</v>
      </c>
      <c r="E72" s="6">
        <v>983.6</v>
      </c>
      <c r="F72" s="6">
        <v>0.24590000000000001</v>
      </c>
      <c r="G72" s="6">
        <f>IFERROR((D72+F72)/2, 0)</f>
        <v>0.24881249999999999</v>
      </c>
      <c r="H72" s="7">
        <f>IFERROR(IF(AVERAGE(C72,E72)&gt;$BN$7,AVERAGE(C72,E72),0), 0)</f>
        <v>995.25</v>
      </c>
      <c r="I72" s="7">
        <f>IFERROR(IF(AND(D72=0,F72=0),0,IF(H72&gt;$BN$6,MAX(D72,F72),G72)), 0)</f>
        <v>0.25172499999999998</v>
      </c>
      <c r="J72" s="6">
        <f>IFERROR(IF(AND(D72&gt;0,F72&gt;0),ABS(D72-F72)/AVERAGE(D72,F72),0), 0)</f>
        <v>2.341120321527242E-2</v>
      </c>
      <c r="K72" s="6">
        <v>30179.599999999999</v>
      </c>
      <c r="L72" s="6">
        <v>30180.2</v>
      </c>
      <c r="M72" s="8">
        <f>IFERROR((L72-K72)*1000, 0)</f>
        <v>600.00000000218279</v>
      </c>
      <c r="N72" s="6">
        <v>0.2006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54.031999999999996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54.031999999999996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54.031999999999996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54.031999999999996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54.031999999999996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54.031999999999996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54.031999999999996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54.031999999999996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54.031999999999996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54.031999999999996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54.031999999999996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54.031999999999996</v>
      </c>
      <c r="AA72" s="8">
        <f>AVERAGE(TabellaMar2026[[#This Row],[Colonna24]:[Colonna20]])</f>
        <v>54.032000000000004</v>
      </c>
      <c r="AB72" s="8">
        <f>MAX(TabellaMar2026[[#This Row],[Colonna24]:[Colonna20]])</f>
        <v>54.031999999999996</v>
      </c>
      <c r="AC72" s="35">
        <f>MIN(TabellaMar2026[[#This Row],[Colonna24]:[Colonna20]])</f>
        <v>54.031999999999996</v>
      </c>
      <c r="AD72" s="44">
        <f>SUM(TabellaMar2026[[#This Row],[Colonna24]:[Colonna20]])</f>
        <v>648.38400000000001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54.031999999999996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54.031999999999996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54.031999999999996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54.031999999999996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54.031999999999996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54.031999999999996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54.031999999999996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54.031999999999996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54.031999999999996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54.031999999999996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54.031999999999996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54.031999999999996</v>
      </c>
      <c r="AQ72" s="8">
        <f>AVERAGE(TabellaMar2026[[#This Row],[Colonna39]:[Colonna6]])</f>
        <v>54.032000000000004</v>
      </c>
      <c r="AR72" s="8">
        <f>MAX(TabellaMar2026[[#This Row],[Colonna39]:[Colonna6]])</f>
        <v>54.031999999999996</v>
      </c>
      <c r="AS72" s="35">
        <f>MIN(TabellaMar2026[[#This Row],[Colonna39]:[Colonna6]])</f>
        <v>54.031999999999996</v>
      </c>
      <c r="AT72" s="48">
        <f>SUM(TabellaMar2026[[#This Row],[Colonna39]:[Colonna6]])</f>
        <v>648.38400000000001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54.031999999999996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54.031999999999996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54.031999999999996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54.031999999999996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54.031999999999996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54.031999999999996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54.031999999999996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54.031999999999996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54.031999999999996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54.031999999999996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54.031999999999996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54.031999999999996</v>
      </c>
      <c r="BG72" s="8">
        <f>AVERAGE(TabellaMar2026[[#This Row],[Colonna55]:[Colonna53]])</f>
        <v>54.031999999999996</v>
      </c>
      <c r="BH72" s="8">
        <f>MAX(TabellaMar2026[[#This Row],[Colonna55]:[Colonna53]])</f>
        <v>54.031999999999996</v>
      </c>
      <c r="BI72" s="35">
        <f>MIN(TabellaMar2026[[#This Row],[Colonna55]:[Colonna53]])</f>
        <v>54.031999999999996</v>
      </c>
      <c r="BJ72" s="48">
        <f>SUM(TabellaMar2026[[#This Row],[Colonna54]:[Colonna53]])</f>
        <v>648.38400000000001</v>
      </c>
      <c r="BK72" s="54">
        <f>(SUM(Tabella01MarzoInverter[[Active power TX1-INV-1]:[Active power TX3-INV-12]]) * 0.25) / (12625 * (SUM($G$15:$H$110) * 0.25 / 1000))</f>
        <v>0.68148841785616898</v>
      </c>
      <c r="BL72" s="5"/>
      <c r="BM72" s="5"/>
      <c r="BN72" s="5"/>
      <c r="BO72" s="8"/>
      <c r="BP72" s="19"/>
    </row>
    <row r="73" spans="1:68" x14ac:dyDescent="0.25">
      <c r="A73" s="18">
        <v>46144</v>
      </c>
      <c r="B73" t="s">
        <v>73</v>
      </c>
      <c r="C73" s="5">
        <v>1005.8</v>
      </c>
      <c r="D73" s="6">
        <v>0.25145000000000001</v>
      </c>
      <c r="E73" s="6">
        <v>983.4</v>
      </c>
      <c r="F73" s="6">
        <v>0.24584999999999999</v>
      </c>
      <c r="G73" s="6">
        <f>IFERROR((D73+F73)/2, 0)</f>
        <v>0.24864999999999998</v>
      </c>
      <c r="H73" s="7">
        <f>IFERROR(IF(AVERAGE(C73,E73)&gt;$BN$7,AVERAGE(C73,E73),0), 0)</f>
        <v>994.59999999999991</v>
      </c>
      <c r="I73" s="7">
        <f>IFERROR(IF(AND(D73=0,F73=0),0,IF(H73&gt;$BN$6,MAX(D73,F73),G73)), 0)</f>
        <v>0.25145000000000001</v>
      </c>
      <c r="J73" s="6">
        <f>IFERROR(IF(AND(D73&gt;0,F73&gt;0),ABS(D73-F73)/AVERAGE(D73,F73),0), 0)</f>
        <v>2.2521616730343946E-2</v>
      </c>
      <c r="K73" s="6">
        <v>30180.2</v>
      </c>
      <c r="L73" s="6">
        <v>30180.799999999999</v>
      </c>
      <c r="M73" s="8">
        <f>IFERROR((L73-K73)*1000, 0)</f>
        <v>599.99999999854481</v>
      </c>
      <c r="N73" s="6">
        <v>0.20050000000000001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54.04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54.04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54.04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54.04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54.04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54.04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54.04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54.04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54.04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54.04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54.04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54.04</v>
      </c>
      <c r="AA73" s="8">
        <f>AVERAGE(TabellaMar2026[[#This Row],[Colonna24]:[Colonna20]])</f>
        <v>54.04</v>
      </c>
      <c r="AB73" s="8">
        <f>MAX(TabellaMar2026[[#This Row],[Colonna24]:[Colonna20]])</f>
        <v>54.04</v>
      </c>
      <c r="AC73" s="35">
        <f>MIN(TabellaMar2026[[#This Row],[Colonna24]:[Colonna20]])</f>
        <v>54.04</v>
      </c>
      <c r="AD73" s="44">
        <f>SUM(TabellaMar2026[[#This Row],[Colonna24]:[Colonna20]])</f>
        <v>648.48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54.04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54.04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54.04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54.04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54.04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54.04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54.04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54.04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54.04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54.04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54.04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54.04</v>
      </c>
      <c r="AQ73" s="8">
        <f>AVERAGE(TabellaMar2026[[#This Row],[Colonna39]:[Colonna6]])</f>
        <v>54.04</v>
      </c>
      <c r="AR73" s="8">
        <f>MAX(TabellaMar2026[[#This Row],[Colonna39]:[Colonna6]])</f>
        <v>54.04</v>
      </c>
      <c r="AS73" s="35">
        <f>MIN(TabellaMar2026[[#This Row],[Colonna39]:[Colonna6]])</f>
        <v>54.04</v>
      </c>
      <c r="AT73" s="48">
        <f>SUM(TabellaMar2026[[#This Row],[Colonna39]:[Colonna6]])</f>
        <v>648.48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54.04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54.04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54.04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54.04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54.04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54.04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54.04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54.04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54.04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54.04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54.04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54.04</v>
      </c>
      <c r="BG73" s="8">
        <f>AVERAGE(TabellaMar2026[[#This Row],[Colonna55]:[Colonna53]])</f>
        <v>54.040000000000006</v>
      </c>
      <c r="BH73" s="8">
        <f>MAX(TabellaMar2026[[#This Row],[Colonna55]:[Colonna53]])</f>
        <v>54.04</v>
      </c>
      <c r="BI73" s="35">
        <f>MIN(TabellaMar2026[[#This Row],[Colonna55]:[Colonna53]])</f>
        <v>54.04</v>
      </c>
      <c r="BJ73" s="48">
        <f>SUM(TabellaMar2026[[#This Row],[Colonna54]:[Colonna53]])</f>
        <v>648.48</v>
      </c>
      <c r="BK73" s="54">
        <f>(SUM(Tabella01MarzoInverter[[Active power TX1-INV-1]:[Active power TX3-INV-12]]) * 0.25) / (12625 * (SUM($G$15:$H$110) * 0.25 / 1000))</f>
        <v>0.68148841785616898</v>
      </c>
      <c r="BL73" s="5"/>
      <c r="BM73" s="5"/>
      <c r="BN73" s="5"/>
      <c r="BO73" s="8"/>
      <c r="BP73" s="19"/>
    </row>
    <row r="74" spans="1:68" x14ac:dyDescent="0.25">
      <c r="A74" s="18">
        <v>46144</v>
      </c>
      <c r="B74" t="s">
        <v>74</v>
      </c>
      <c r="C74" s="5">
        <v>1006</v>
      </c>
      <c r="D74" s="6">
        <v>0.2515</v>
      </c>
      <c r="E74" s="6">
        <v>983.4</v>
      </c>
      <c r="F74" s="6">
        <v>0.24584999999999999</v>
      </c>
      <c r="G74" s="6">
        <f>IFERROR((D74+F74)/2, 0)</f>
        <v>0.24867499999999998</v>
      </c>
      <c r="H74" s="7">
        <f>IFERROR(IF(AVERAGE(C74,E74)&gt;$BN$7,AVERAGE(C74,E74),0), 0)</f>
        <v>994.7</v>
      </c>
      <c r="I74" s="7">
        <f>IFERROR(IF(AND(D74=0,F74=0),0,IF(H74&gt;$BN$6,MAX(D74,F74),G74)), 0)</f>
        <v>0.2515</v>
      </c>
      <c r="J74" s="6">
        <f>IFERROR(IF(AND(D74&gt;0,F74&gt;0),ABS(D74-F74)/AVERAGE(D74,F74),0), 0)</f>
        <v>2.2720418216547768E-2</v>
      </c>
      <c r="K74" s="6">
        <v>30180.799999999999</v>
      </c>
      <c r="L74" s="6">
        <v>30181.4</v>
      </c>
      <c r="M74" s="8">
        <f>IFERROR((L74-K74)*1000, 0)</f>
        <v>600.00000000218279</v>
      </c>
      <c r="N74" s="6">
        <v>0.20050000000000001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54.04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54.04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54.04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54.04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54.04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54.04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54.04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54.04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54.04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54.04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54.04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54.04</v>
      </c>
      <c r="AA74" s="8">
        <f>AVERAGE(TabellaMar2026[[#This Row],[Colonna24]:[Colonna20]])</f>
        <v>54.04</v>
      </c>
      <c r="AB74" s="8">
        <f>MAX(TabellaMar2026[[#This Row],[Colonna24]:[Colonna20]])</f>
        <v>54.04</v>
      </c>
      <c r="AC74" s="35">
        <f>MIN(TabellaMar2026[[#This Row],[Colonna24]:[Colonna20]])</f>
        <v>54.04</v>
      </c>
      <c r="AD74" s="44">
        <f>SUM(TabellaMar2026[[#This Row],[Colonna24]:[Colonna20]])</f>
        <v>648.48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54.04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54.04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54.04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54.04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54.04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54.04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54.04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54.04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54.04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54.04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54.04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54.04</v>
      </c>
      <c r="AQ74" s="8">
        <f>AVERAGE(TabellaMar2026[[#This Row],[Colonna39]:[Colonna6]])</f>
        <v>54.04</v>
      </c>
      <c r="AR74" s="8">
        <f>MAX(TabellaMar2026[[#This Row],[Colonna39]:[Colonna6]])</f>
        <v>54.04</v>
      </c>
      <c r="AS74" s="35">
        <f>MIN(TabellaMar2026[[#This Row],[Colonna39]:[Colonna6]])</f>
        <v>54.04</v>
      </c>
      <c r="AT74" s="48">
        <f>SUM(TabellaMar2026[[#This Row],[Colonna39]:[Colonna6]])</f>
        <v>648.48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54.04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54.04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54.04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54.04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54.04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54.04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54.04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54.04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54.04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54.04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54.04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54.04</v>
      </c>
      <c r="BG74" s="8">
        <f>AVERAGE(TabellaMar2026[[#This Row],[Colonna55]:[Colonna53]])</f>
        <v>54.040000000000006</v>
      </c>
      <c r="BH74" s="8">
        <f>MAX(TabellaMar2026[[#This Row],[Colonna55]:[Colonna53]])</f>
        <v>54.04</v>
      </c>
      <c r="BI74" s="35">
        <f>MIN(TabellaMar2026[[#This Row],[Colonna55]:[Colonna53]])</f>
        <v>54.04</v>
      </c>
      <c r="BJ74" s="48">
        <f>SUM(TabellaMar2026[[#This Row],[Colonna54]:[Colonna53]])</f>
        <v>648.48</v>
      </c>
      <c r="BK74" s="54">
        <f>(SUM(Tabella01MarzoInverter[[Active power TX1-INV-1]:[Active power TX3-INV-12]]) * 0.25) / (12625 * (SUM($G$15:$H$110) * 0.25 / 1000))</f>
        <v>0.68148841785616898</v>
      </c>
      <c r="BL74" s="5"/>
      <c r="BM74" s="5"/>
      <c r="BN74" s="5"/>
      <c r="BO74" s="8"/>
      <c r="BP74" s="19"/>
    </row>
    <row r="75" spans="1:68" x14ac:dyDescent="0.25">
      <c r="A75" s="18">
        <v>46144</v>
      </c>
      <c r="B75" t="s">
        <v>75</v>
      </c>
      <c r="C75" s="5">
        <v>1012</v>
      </c>
      <c r="D75" s="6">
        <v>0.253</v>
      </c>
      <c r="E75" s="6">
        <v>990.5</v>
      </c>
      <c r="F75" s="6">
        <v>0.24762500000000001</v>
      </c>
      <c r="G75" s="6">
        <f>IFERROR((D75+F75)/2, 0)</f>
        <v>0.25031249999999999</v>
      </c>
      <c r="H75" s="7">
        <f>IFERROR(IF(AVERAGE(C75,E75)&gt;$BN$7,AVERAGE(C75,E75),0), 0)</f>
        <v>1001.25</v>
      </c>
      <c r="I75" s="7">
        <f>IFERROR(IF(AND(D75=0,F75=0),0,IF(H75&gt;$BN$6,MAX(D75,F75),G75)), 0)</f>
        <v>0.253</v>
      </c>
      <c r="J75" s="6">
        <f>IFERROR(IF(AND(D75&gt;0,F75&gt;0),ABS(D75-F75)/AVERAGE(D75,F75),0), 0)</f>
        <v>2.1473158551810201E-2</v>
      </c>
      <c r="K75" s="6">
        <v>30181.4</v>
      </c>
      <c r="L75" s="6">
        <v>30182.3</v>
      </c>
      <c r="M75" s="8">
        <f>IFERROR((L75-K75)*1000, 0)</f>
        <v>899.99999999781721</v>
      </c>
      <c r="N75" s="6">
        <v>0.5202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28.463999999999999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28.463999999999999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28.463999999999999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28.463999999999999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28.463999999999999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28.463999999999999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28.463999999999999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28.463999999999999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28.463999999999999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28.463999999999999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28.463999999999999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28.463999999999999</v>
      </c>
      <c r="AA75" s="8">
        <f>AVERAGE(TabellaMar2026[[#This Row],[Colonna24]:[Colonna20]])</f>
        <v>28.463999999999999</v>
      </c>
      <c r="AB75" s="8">
        <f>MAX(TabellaMar2026[[#This Row],[Colonna24]:[Colonna20]])</f>
        <v>28.463999999999999</v>
      </c>
      <c r="AC75" s="35">
        <f>MIN(TabellaMar2026[[#This Row],[Colonna24]:[Colonna20]])</f>
        <v>28.463999999999999</v>
      </c>
      <c r="AD75" s="44">
        <f>SUM(TabellaMar2026[[#This Row],[Colonna24]:[Colonna20]])</f>
        <v>341.56799999999998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28.463999999999999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28.463999999999999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28.463999999999999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28.463999999999999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28.463999999999999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28.463999999999999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28.463999999999999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28.463999999999999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28.463999999999999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28.463999999999999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28.463999999999999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28.463999999999999</v>
      </c>
      <c r="AQ75" s="8">
        <f>AVERAGE(TabellaMar2026[[#This Row],[Colonna39]:[Colonna6]])</f>
        <v>28.463999999999999</v>
      </c>
      <c r="AR75" s="8">
        <f>MAX(TabellaMar2026[[#This Row],[Colonna39]:[Colonna6]])</f>
        <v>28.463999999999999</v>
      </c>
      <c r="AS75" s="35">
        <f>MIN(TabellaMar2026[[#This Row],[Colonna39]:[Colonna6]])</f>
        <v>28.463999999999999</v>
      </c>
      <c r="AT75" s="48">
        <f>SUM(TabellaMar2026[[#This Row],[Colonna39]:[Colonna6]])</f>
        <v>341.56799999999998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28.463999999999999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28.463999999999999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28.463999999999999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28.463999999999999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28.463999999999999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28.463999999999999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28.463999999999999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28.463999999999999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28.463999999999999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28.463999999999999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28.463999999999999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28.463999999999999</v>
      </c>
      <c r="BG75" s="8">
        <f>AVERAGE(TabellaMar2026[[#This Row],[Colonna55]:[Colonna53]])</f>
        <v>28.463999999999999</v>
      </c>
      <c r="BH75" s="8">
        <f>MAX(TabellaMar2026[[#This Row],[Colonna55]:[Colonna53]])</f>
        <v>28.463999999999999</v>
      </c>
      <c r="BI75" s="35">
        <f>MIN(TabellaMar2026[[#This Row],[Colonna55]:[Colonna53]])</f>
        <v>28.463999999999999</v>
      </c>
      <c r="BJ75" s="48">
        <f>SUM(TabellaMar2026[[#This Row],[Colonna54]:[Colonna53]])</f>
        <v>341.56799999999998</v>
      </c>
      <c r="BK75" s="54">
        <f>(SUM(Tabella01MarzoInverter[[Active power TX1-INV-1]:[Active power TX3-INV-12]]) * 0.25) / (12625 * (SUM($G$15:$H$110) * 0.25 / 1000))</f>
        <v>0.68148841785616898</v>
      </c>
      <c r="BL75" s="5"/>
      <c r="BM75" s="5"/>
      <c r="BN75" s="5"/>
      <c r="BO75" s="8"/>
      <c r="BP75" s="19"/>
    </row>
    <row r="76" spans="1:68" x14ac:dyDescent="0.25">
      <c r="A76" s="18">
        <v>46144</v>
      </c>
      <c r="B76" t="s">
        <v>76</v>
      </c>
      <c r="C76" s="5">
        <v>1015</v>
      </c>
      <c r="D76" s="6">
        <v>0.25374999999999998</v>
      </c>
      <c r="E76" s="6">
        <v>994.1</v>
      </c>
      <c r="F76" s="6">
        <v>0.248525</v>
      </c>
      <c r="G76" s="6">
        <f>IFERROR((D76+F76)/2, 0)</f>
        <v>0.25113750000000001</v>
      </c>
      <c r="H76" s="7">
        <f>IFERROR(IF(AVERAGE(C76,E76)&gt;$BN$7,AVERAGE(C76,E76),0), 0)</f>
        <v>1004.55</v>
      </c>
      <c r="I76" s="7">
        <f>IFERROR(IF(AND(D76=0,F76=0),0,IF(H76&gt;$BN$6,MAX(D76,F76),G76)), 0)</f>
        <v>0.25374999999999998</v>
      </c>
      <c r="J76" s="6">
        <f>IFERROR(IF(AND(D76&gt;0,F76&gt;0),ABS(D76-F76)/AVERAGE(D76,F76),0), 0)</f>
        <v>2.0805335722462712E-2</v>
      </c>
      <c r="K76" s="6">
        <v>30182.3</v>
      </c>
      <c r="L76" s="6">
        <v>30183.9</v>
      </c>
      <c r="M76" s="8">
        <f>IFERROR((L76-K76)*1000, 0)</f>
        <v>1600.0000000021828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0.68148841785616898</v>
      </c>
      <c r="BL76" s="5"/>
      <c r="BM76" s="5"/>
      <c r="BN76" s="5"/>
      <c r="BO76" s="8"/>
      <c r="BP76" s="19"/>
    </row>
    <row r="77" spans="1:68" x14ac:dyDescent="0.25">
      <c r="A77" s="18">
        <v>46144</v>
      </c>
      <c r="B77" t="s">
        <v>77</v>
      </c>
      <c r="C77" s="5">
        <v>1018.6</v>
      </c>
      <c r="D77" s="6">
        <v>0.25464999999999999</v>
      </c>
      <c r="E77" s="6">
        <v>997.7</v>
      </c>
      <c r="F77" s="6">
        <v>0.24942500000000001</v>
      </c>
      <c r="G77" s="6">
        <f>IFERROR((D77+F77)/2, 0)</f>
        <v>0.25203750000000003</v>
      </c>
      <c r="H77" s="7">
        <f>IFERROR(IF(AVERAGE(C77,E77)&gt;$BN$7,AVERAGE(C77,E77),0), 0)</f>
        <v>1008.1500000000001</v>
      </c>
      <c r="I77" s="7">
        <f>IFERROR(IF(AND(D77=0,F77=0),0,IF(H77&gt;$BN$6,MAX(D77,F77),G77)), 0)</f>
        <v>0.25464999999999999</v>
      </c>
      <c r="J77" s="6">
        <f>IFERROR(IF(AND(D77&gt;0,F77&gt;0),ABS(D77-F77)/AVERAGE(D77,F77),0), 0)</f>
        <v>2.073104200763767E-2</v>
      </c>
      <c r="K77" s="6">
        <v>30183.9</v>
      </c>
      <c r="L77" s="6">
        <v>30186.400000000001</v>
      </c>
      <c r="M77" s="8">
        <f>IFERROR((L77-K77)*1000, 0)</f>
        <v>2500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0.68148841785616898</v>
      </c>
      <c r="BL77" s="5"/>
      <c r="BM77" s="5"/>
      <c r="BN77" s="5"/>
      <c r="BO77" s="8"/>
      <c r="BP77" s="19"/>
    </row>
    <row r="78" spans="1:68" x14ac:dyDescent="0.25">
      <c r="A78" s="18">
        <v>46144</v>
      </c>
      <c r="B78" t="s">
        <v>78</v>
      </c>
      <c r="C78" s="5">
        <v>1015.8</v>
      </c>
      <c r="D78" s="6">
        <v>0.25395000000000001</v>
      </c>
      <c r="E78" s="6">
        <v>996.6</v>
      </c>
      <c r="F78" s="6">
        <v>0.24915000000000001</v>
      </c>
      <c r="G78" s="6">
        <f>IFERROR((D78+F78)/2, 0)</f>
        <v>0.25155</v>
      </c>
      <c r="H78" s="7">
        <f>IFERROR(IF(AVERAGE(C78,E78)&gt;$BN$7,AVERAGE(C78,E78),0), 0)</f>
        <v>1006.2</v>
      </c>
      <c r="I78" s="7">
        <f>IFERROR(IF(AND(D78=0,F78=0),0,IF(H78&gt;$BN$6,MAX(D78,F78),G78)), 0)</f>
        <v>0.25395000000000001</v>
      </c>
      <c r="J78" s="6">
        <f>IFERROR(IF(AND(D78&gt;0,F78&gt;0),ABS(D78-F78)/AVERAGE(D78,F78),0), 0)</f>
        <v>1.9081693500298147E-2</v>
      </c>
      <c r="K78" s="6">
        <v>30186.400000000001</v>
      </c>
      <c r="L78" s="6">
        <v>30188.799999999999</v>
      </c>
      <c r="M78" s="8">
        <f>IFERROR((L78-K78)*1000, 0)</f>
        <v>2399.9999999978172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0.68148841785616898</v>
      </c>
      <c r="BL78" s="5"/>
      <c r="BM78" s="5"/>
      <c r="BN78" s="5"/>
      <c r="BO78" s="8"/>
      <c r="BP78" s="19"/>
    </row>
    <row r="79" spans="1:68" x14ac:dyDescent="0.25">
      <c r="A79" s="18">
        <v>46144</v>
      </c>
      <c r="B79" t="s">
        <v>79</v>
      </c>
      <c r="C79" s="5">
        <v>1014.5</v>
      </c>
      <c r="D79" s="6">
        <v>0.25362499999999999</v>
      </c>
      <c r="E79" s="6">
        <v>993.4</v>
      </c>
      <c r="F79" s="6">
        <v>0.24834999999999999</v>
      </c>
      <c r="G79" s="6">
        <f>IFERROR((D79+F79)/2, 0)</f>
        <v>0.25098749999999997</v>
      </c>
      <c r="H79" s="7">
        <f>IFERROR(IF(AVERAGE(C79,E79)&gt;$BN$7,AVERAGE(C79,E79),0), 0)</f>
        <v>1003.95</v>
      </c>
      <c r="I79" s="7">
        <f>IFERROR(IF(AND(D79=0,F79=0),0,IF(H79&gt;$BN$6,MAX(D79,F79),G79)), 0)</f>
        <v>0.25362499999999999</v>
      </c>
      <c r="J79" s="6">
        <f>IFERROR(IF(AND(D79&gt;0,F79&gt;0),ABS(D79-F79)/AVERAGE(D79,F79),0), 0)</f>
        <v>2.1016982917475981E-2</v>
      </c>
      <c r="K79" s="6">
        <v>30188.799999999999</v>
      </c>
      <c r="L79" s="6">
        <v>30191.3</v>
      </c>
      <c r="M79" s="8">
        <f>IFERROR((L79-K79)*1000, 0)</f>
        <v>2500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0.68148841785616898</v>
      </c>
      <c r="BL79" s="5"/>
      <c r="BM79" s="5"/>
      <c r="BN79" s="5"/>
      <c r="BO79" s="8"/>
      <c r="BP79" s="19"/>
    </row>
    <row r="80" spans="1:68" x14ac:dyDescent="0.25">
      <c r="A80" s="18">
        <v>46144</v>
      </c>
      <c r="B80" t="s">
        <v>80</v>
      </c>
      <c r="C80" s="5">
        <v>1016.4</v>
      </c>
      <c r="D80" s="6">
        <v>0.25409999999999999</v>
      </c>
      <c r="E80" s="6">
        <v>995.8</v>
      </c>
      <c r="F80" s="6">
        <v>0.24894999999999998</v>
      </c>
      <c r="G80" s="6">
        <f>IFERROR((D80+F80)/2, 0)</f>
        <v>0.251525</v>
      </c>
      <c r="H80" s="7">
        <f>IFERROR(IF(AVERAGE(C80,E80)&gt;$BN$7,AVERAGE(C80,E80),0), 0)</f>
        <v>1006.0999999999999</v>
      </c>
      <c r="I80" s="7">
        <f>IFERROR(IF(AND(D80=0,F80=0),0,IF(H80&gt;$BN$6,MAX(D80,F80),G80)), 0)</f>
        <v>0.25409999999999999</v>
      </c>
      <c r="J80" s="6">
        <f>IFERROR(IF(AND(D80&gt;0,F80&gt;0),ABS(D80-F80)/AVERAGE(D80,F80),0), 0)</f>
        <v>2.0475101878540961E-2</v>
      </c>
      <c r="K80" s="6">
        <v>30191.3</v>
      </c>
      <c r="L80" s="6">
        <v>30193.8</v>
      </c>
      <c r="M80" s="8">
        <f>IFERROR((L80-K80)*1000, 0)</f>
        <v>2500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0.68148841785616898</v>
      </c>
      <c r="BL80" s="5"/>
      <c r="BM80" s="5"/>
      <c r="BN80" s="5"/>
      <c r="BO80" s="8"/>
      <c r="BP80" s="19"/>
    </row>
    <row r="81" spans="1:68" x14ac:dyDescent="0.25">
      <c r="A81" s="18">
        <v>46144</v>
      </c>
      <c r="B81" t="s">
        <v>81</v>
      </c>
      <c r="C81" s="5">
        <v>1014.1</v>
      </c>
      <c r="D81" s="6">
        <v>0.253525</v>
      </c>
      <c r="E81" s="6">
        <v>992.6</v>
      </c>
      <c r="F81" s="6">
        <v>0.24815000000000001</v>
      </c>
      <c r="G81" s="6">
        <f>IFERROR((D81+F81)/2, 0)</f>
        <v>0.25083749999999999</v>
      </c>
      <c r="H81" s="7">
        <f>IFERROR(IF(AVERAGE(C81,E81)&gt;$BN$7,AVERAGE(C81,E81),0), 0)</f>
        <v>1003.35</v>
      </c>
      <c r="I81" s="7">
        <f>IFERROR(IF(AND(D81=0,F81=0),0,IF(H81&gt;$BN$6,MAX(D81,F81),G81)), 0)</f>
        <v>0.253525</v>
      </c>
      <c r="J81" s="6">
        <f>IFERROR(IF(AND(D81&gt;0,F81&gt;0),ABS(D81-F81)/AVERAGE(D81,F81),0), 0)</f>
        <v>2.1428215478148167E-2</v>
      </c>
      <c r="K81" s="6">
        <v>30193.8</v>
      </c>
      <c r="L81" s="6">
        <v>30196.3</v>
      </c>
      <c r="M81" s="8">
        <f>IFERROR((L81-K81)*1000, 0)</f>
        <v>2500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0.68148841785616898</v>
      </c>
      <c r="BL81" s="5"/>
      <c r="BM81" s="5"/>
      <c r="BN81" s="5"/>
      <c r="BO81" s="8"/>
      <c r="BP81" s="19"/>
    </row>
    <row r="82" spans="1:68" x14ac:dyDescent="0.25">
      <c r="A82" s="18">
        <v>46144</v>
      </c>
      <c r="B82" t="s">
        <v>82</v>
      </c>
      <c r="C82" s="5">
        <v>1009.8</v>
      </c>
      <c r="D82" s="6">
        <v>0.25245000000000001</v>
      </c>
      <c r="E82" s="6">
        <v>987.4</v>
      </c>
      <c r="F82" s="6">
        <v>0.24684999999999999</v>
      </c>
      <c r="G82" s="6">
        <f>IFERROR((D82+F82)/2, 0)</f>
        <v>0.24964999999999998</v>
      </c>
      <c r="H82" s="7">
        <f>IFERROR(IF(AVERAGE(C82,E82)&gt;$BN$7,AVERAGE(C82,E82),0), 0)</f>
        <v>998.59999999999991</v>
      </c>
      <c r="I82" s="7">
        <f>IFERROR(IF(AND(D82=0,F82=0),0,IF(H82&gt;$BN$6,MAX(D82,F82),G82)), 0)</f>
        <v>0.25245000000000001</v>
      </c>
      <c r="J82" s="6">
        <f>IFERROR(IF(AND(D82&gt;0,F82&gt;0),ABS(D82-F82)/AVERAGE(D82,F82),0), 0)</f>
        <v>2.243140396555186E-2</v>
      </c>
      <c r="K82" s="6">
        <v>30196.3</v>
      </c>
      <c r="L82" s="6">
        <v>30198.799999999999</v>
      </c>
      <c r="M82" s="8">
        <f>IFERROR((L82-K82)*1000, 0)</f>
        <v>2500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0.68148841785616898</v>
      </c>
      <c r="BL82" s="5"/>
      <c r="BM82" s="5"/>
      <c r="BN82" s="5"/>
      <c r="BO82" s="8"/>
      <c r="BP82" s="19"/>
    </row>
    <row r="83" spans="1:68" x14ac:dyDescent="0.25">
      <c r="A83" s="18">
        <v>46144</v>
      </c>
      <c r="B83" t="s">
        <v>83</v>
      </c>
      <c r="C83" s="5">
        <v>996.4</v>
      </c>
      <c r="D83" s="6">
        <v>0.24909999999999999</v>
      </c>
      <c r="E83" s="6">
        <v>974.8</v>
      </c>
      <c r="F83" s="6">
        <v>0.2437</v>
      </c>
      <c r="G83" s="6">
        <f>IFERROR((D83+F83)/2, 0)</f>
        <v>0.24640000000000001</v>
      </c>
      <c r="H83" s="7">
        <f>IFERROR(IF(AVERAGE(C83,E83)&gt;$BN$7,AVERAGE(C83,E83),0), 0)</f>
        <v>985.59999999999991</v>
      </c>
      <c r="I83" s="7">
        <f>IFERROR(IF(AND(D83=0,F83=0),0,IF(H83&gt;$BN$6,MAX(D83,F83),G83)), 0)</f>
        <v>0.24909999999999999</v>
      </c>
      <c r="J83" s="6">
        <f>IFERROR(IF(AND(D83&gt;0,F83&gt;0),ABS(D83-F83)/AVERAGE(D83,F83),0), 0)</f>
        <v>2.1915584415584367E-2</v>
      </c>
      <c r="K83" s="6">
        <v>30198.799999999999</v>
      </c>
      <c r="L83" s="6">
        <v>30201.3</v>
      </c>
      <c r="M83" s="8">
        <f>IFERROR((L83-K83)*1000, 0)</f>
        <v>2500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0.68148841785616898</v>
      </c>
      <c r="BL83" s="5"/>
      <c r="BM83" s="5"/>
      <c r="BN83" s="5"/>
      <c r="BO83" s="8"/>
      <c r="BP83" s="19"/>
    </row>
    <row r="84" spans="1:68" x14ac:dyDescent="0.25">
      <c r="A84" s="18">
        <v>46144</v>
      </c>
      <c r="B84" t="s">
        <v>84</v>
      </c>
      <c r="C84" s="5">
        <v>937.4</v>
      </c>
      <c r="D84" s="6">
        <v>0.23435</v>
      </c>
      <c r="E84" s="6">
        <v>954.2</v>
      </c>
      <c r="F84" s="6">
        <v>0.23855000000000001</v>
      </c>
      <c r="G84" s="6">
        <f>IFERROR((D84+F84)/2, 0)</f>
        <v>0.23644999999999999</v>
      </c>
      <c r="H84" s="7">
        <f>IFERROR(IF(AVERAGE(C84,E84)&gt;$BN$7,AVERAGE(C84,E84),0), 0)</f>
        <v>945.8</v>
      </c>
      <c r="I84" s="7">
        <f>IFERROR(IF(AND(D84=0,F84=0),0,IF(H84&gt;$BN$6,MAX(D84,F84),G84)), 0)</f>
        <v>0.23855000000000001</v>
      </c>
      <c r="J84" s="6">
        <f>IFERROR(IF(AND(D84&gt;0,F84&gt;0),ABS(D84-F84)/AVERAGE(D84,F84),0), 0)</f>
        <v>1.7762740537111479E-2</v>
      </c>
      <c r="K84" s="6">
        <v>30201.3</v>
      </c>
      <c r="L84" s="6">
        <v>30203.7</v>
      </c>
      <c r="M84" s="8">
        <f>IFERROR((L84-K84)*1000, 0)</f>
        <v>2400.0000000014552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0.68148841785616898</v>
      </c>
      <c r="BL84" s="5"/>
      <c r="BM84" s="5"/>
      <c r="BN84" s="5"/>
      <c r="BO84" s="8"/>
      <c r="BP84" s="19"/>
    </row>
    <row r="85" spans="1:68" x14ac:dyDescent="0.25">
      <c r="A85" s="18">
        <v>46144</v>
      </c>
      <c r="B85" t="s">
        <v>85</v>
      </c>
      <c r="C85" s="5">
        <v>821.3</v>
      </c>
      <c r="D85" s="6">
        <v>0.20532499999999998</v>
      </c>
      <c r="E85" s="6">
        <v>869.5</v>
      </c>
      <c r="F85" s="6">
        <v>0.21737500000000001</v>
      </c>
      <c r="G85" s="6">
        <f>IFERROR((D85+F85)/2, 0)</f>
        <v>0.21134999999999998</v>
      </c>
      <c r="H85" s="7">
        <f>IFERROR(IF(AVERAGE(C85,E85)&gt;$BN$7,AVERAGE(C85,E85),0), 0)</f>
        <v>845.4</v>
      </c>
      <c r="I85" s="7">
        <f>IFERROR(IF(AND(D85=0,F85=0),0,IF(H85&gt;$BN$6,MAX(D85,F85),G85)), 0)</f>
        <v>0.21737500000000001</v>
      </c>
      <c r="J85" s="6">
        <f>IFERROR(IF(AND(D85&gt;0,F85&gt;0),ABS(D85-F85)/AVERAGE(D85,F85),0), 0)</f>
        <v>5.701443103856179E-2</v>
      </c>
      <c r="K85" s="6">
        <v>30203.7</v>
      </c>
      <c r="L85" s="6">
        <v>30206.2</v>
      </c>
      <c r="M85" s="8">
        <f>IFERROR((L85-K85)*1000, 0)</f>
        <v>2500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0.68148841785616898</v>
      </c>
      <c r="BL85" s="5"/>
      <c r="BM85" s="5"/>
      <c r="BN85" s="5"/>
      <c r="BO85" s="8"/>
      <c r="BP85" s="19"/>
    </row>
    <row r="86" spans="1:68" x14ac:dyDescent="0.25">
      <c r="A86" s="18">
        <v>46144</v>
      </c>
      <c r="B86" t="s">
        <v>86</v>
      </c>
      <c r="C86" s="5">
        <v>711.7</v>
      </c>
      <c r="D86" s="6">
        <v>0.177925</v>
      </c>
      <c r="E86" s="6">
        <v>770.2</v>
      </c>
      <c r="F86" s="6">
        <v>0.19255</v>
      </c>
      <c r="G86" s="6">
        <f>IFERROR((D86+F86)/2, 0)</f>
        <v>0.1852375</v>
      </c>
      <c r="H86" s="7">
        <f>IFERROR(IF(AVERAGE(C86,E86)&gt;$BN$7,AVERAGE(C86,E86),0), 0)</f>
        <v>740.95</v>
      </c>
      <c r="I86" s="7">
        <f>IFERROR(IF(AND(D86=0,F86=0),0,IF(H86&gt;$BN$6,MAX(D86,F86),G86)), 0)</f>
        <v>0.19255</v>
      </c>
      <c r="J86" s="6">
        <f>IFERROR(IF(AND(D86&gt;0,F86&gt;0),ABS(D86-F86)/AVERAGE(D86,F86),0), 0)</f>
        <v>7.8952695863418576E-2</v>
      </c>
      <c r="K86" s="6">
        <v>30206.2</v>
      </c>
      <c r="L86" s="6">
        <v>30208.400000000001</v>
      </c>
      <c r="M86" s="8">
        <f>IFERROR((L86-K86)*1000, 0)</f>
        <v>2200.0000000007276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0.68148841785616898</v>
      </c>
      <c r="BL86" s="5"/>
      <c r="BM86" s="5"/>
      <c r="BN86" s="5"/>
      <c r="BO86" s="8"/>
      <c r="BP86" s="19"/>
    </row>
    <row r="87" spans="1:68" x14ac:dyDescent="0.25">
      <c r="A87" s="18">
        <v>46144</v>
      </c>
      <c r="B87" t="s">
        <v>87</v>
      </c>
      <c r="C87" s="5">
        <v>601</v>
      </c>
      <c r="D87" s="6">
        <v>0.15024999999999999</v>
      </c>
      <c r="E87" s="6">
        <v>667.9</v>
      </c>
      <c r="F87" s="6">
        <v>0.16697499999999998</v>
      </c>
      <c r="G87" s="6">
        <f>IFERROR((D87+F87)/2, 0)</f>
        <v>0.15861249999999999</v>
      </c>
      <c r="H87" s="7">
        <f>IFERROR(IF(AVERAGE(C87,E87)&gt;$BN$7,AVERAGE(C87,E87),0), 0)</f>
        <v>634.45000000000005</v>
      </c>
      <c r="I87" s="7">
        <f>IFERROR(IF(AND(D87=0,F87=0),0,IF(H87&gt;$BN$6,MAX(D87,F87),G87)), 0)</f>
        <v>0.16697499999999998</v>
      </c>
      <c r="J87" s="6">
        <f>IFERROR(IF(AND(D87&gt;0,F87&gt;0),ABS(D87-F87)/AVERAGE(D87,F87),0), 0)</f>
        <v>0.10544566159665847</v>
      </c>
      <c r="K87" s="6">
        <v>30208.400000000001</v>
      </c>
      <c r="L87" s="6">
        <v>30210.3</v>
      </c>
      <c r="M87" s="8">
        <f>IFERROR((L87-K87)*1000, 0)</f>
        <v>1899.9999999978172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0.68148841785616898</v>
      </c>
      <c r="BL87" s="5"/>
      <c r="BM87" s="5"/>
      <c r="BN87" s="5"/>
      <c r="BO87" s="8"/>
      <c r="BP87" s="19"/>
    </row>
    <row r="88" spans="1:68" x14ac:dyDescent="0.25">
      <c r="A88" s="18">
        <v>46144</v>
      </c>
      <c r="B88" t="s">
        <v>88</v>
      </c>
      <c r="C88" s="5">
        <v>490.3</v>
      </c>
      <c r="D88" s="6">
        <v>0.122575</v>
      </c>
      <c r="E88" s="6">
        <v>562</v>
      </c>
      <c r="F88" s="6">
        <v>0.14050000000000001</v>
      </c>
      <c r="G88" s="6">
        <f>IFERROR((D88+F88)/2, 0)</f>
        <v>0.1315375</v>
      </c>
      <c r="H88" s="7">
        <f>IFERROR(IF(AVERAGE(C88,E88)&gt;$BN$7,AVERAGE(C88,E88),0), 0)</f>
        <v>526.15</v>
      </c>
      <c r="I88" s="7">
        <f>IFERROR(IF(AND(D88=0,F88=0),0,IF(H88&gt;$BN$6,MAX(D88,F88),G88)), 0)</f>
        <v>0.14050000000000001</v>
      </c>
      <c r="J88" s="6">
        <f>IFERROR(IF(AND(D88&gt;0,F88&gt;0),ABS(D88-F88)/AVERAGE(D88,F88),0), 0)</f>
        <v>0.13627292597168117</v>
      </c>
      <c r="K88" s="6">
        <v>30210.3</v>
      </c>
      <c r="L88" s="6">
        <v>30211.9</v>
      </c>
      <c r="M88" s="8">
        <f>IFERROR((L88-K88)*1000, 0)</f>
        <v>1600.0000000021828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0.68148841785616898</v>
      </c>
      <c r="BL88" s="5"/>
      <c r="BM88" s="5"/>
      <c r="BN88" s="5"/>
      <c r="BO88" s="8"/>
      <c r="BP88" s="19"/>
    </row>
    <row r="89" spans="1:68" x14ac:dyDescent="0.25">
      <c r="A89" s="18">
        <v>46144</v>
      </c>
      <c r="B89" t="s">
        <v>89</v>
      </c>
      <c r="C89" s="5">
        <v>387.7</v>
      </c>
      <c r="D89" s="6">
        <v>9.6924999999999997E-2</v>
      </c>
      <c r="E89" s="6">
        <v>457.4</v>
      </c>
      <c r="F89" s="6">
        <v>0.11434999999999999</v>
      </c>
      <c r="G89" s="6">
        <f>IFERROR((D89+F89)/2, 0)</f>
        <v>0.1056375</v>
      </c>
      <c r="H89" s="7">
        <f>IFERROR(IF(AVERAGE(C89,E89)&gt;$BN$7,AVERAGE(C89,E89),0), 0)</f>
        <v>422.54999999999995</v>
      </c>
      <c r="I89" s="7">
        <f>IFERROR(IF(AND(D89=0,F89=0),0,IF(H89&gt;$BN$6,MAX(D89,F89),G89)), 0)</f>
        <v>0.11434999999999999</v>
      </c>
      <c r="J89" s="6">
        <f>IFERROR(IF(AND(D89&gt;0,F89&gt;0),ABS(D89-F89)/AVERAGE(D89,F89),0), 0)</f>
        <v>0.16495089338539815</v>
      </c>
      <c r="K89" s="6">
        <v>30211.9</v>
      </c>
      <c r="L89" s="6">
        <v>30213.200000000001</v>
      </c>
      <c r="M89" s="8">
        <f>IFERROR((L89-K89)*1000, 0)</f>
        <v>1299.9999999992724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0.68148841785616898</v>
      </c>
      <c r="BL89" s="5"/>
      <c r="BM89" s="5"/>
      <c r="BN89" s="5"/>
      <c r="BO89" s="8"/>
      <c r="BP89" s="19"/>
    </row>
    <row r="90" spans="1:68" x14ac:dyDescent="0.25">
      <c r="A90" s="18">
        <v>46144</v>
      </c>
      <c r="B90" t="s">
        <v>90</v>
      </c>
      <c r="C90" s="5">
        <v>283.3</v>
      </c>
      <c r="D90" s="6">
        <v>7.0824999999999999E-2</v>
      </c>
      <c r="E90" s="6">
        <v>353.1</v>
      </c>
      <c r="F90" s="6">
        <v>8.8275000000000006E-2</v>
      </c>
      <c r="G90" s="6">
        <f>IFERROR((D90+F90)/2, 0)</f>
        <v>7.955000000000001E-2</v>
      </c>
      <c r="H90" s="7">
        <f>IFERROR(IF(AVERAGE(C90,E90)&gt;$BN$7,AVERAGE(C90,E90),0), 0)</f>
        <v>318.20000000000005</v>
      </c>
      <c r="I90" s="7">
        <f>IFERROR(IF(AND(D90=0,F90=0),0,IF(H90&gt;$BN$6,MAX(D90,F90),G90)), 0)</f>
        <v>8.8275000000000006E-2</v>
      </c>
      <c r="J90" s="6">
        <f>IFERROR(IF(AND(D90&gt;0,F90&gt;0),ABS(D90-F90)/AVERAGE(D90,F90),0), 0)</f>
        <v>0.21935889377749848</v>
      </c>
      <c r="K90" s="6">
        <v>30213.200000000001</v>
      </c>
      <c r="L90" s="6">
        <v>30214.3</v>
      </c>
      <c r="M90" s="8">
        <f>IFERROR((L90-K90)*1000, 0)</f>
        <v>1099.9999999985448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0.68148841785616898</v>
      </c>
      <c r="BL90" s="5"/>
      <c r="BM90" s="5"/>
      <c r="BN90" s="5"/>
      <c r="BO90" s="8"/>
      <c r="BP90" s="19"/>
    </row>
    <row r="91" spans="1:68" x14ac:dyDescent="0.25">
      <c r="A91" s="18">
        <v>46144</v>
      </c>
      <c r="B91" t="s">
        <v>91</v>
      </c>
      <c r="C91" s="5">
        <v>192</v>
      </c>
      <c r="D91" s="6">
        <v>4.8000000000000001E-2</v>
      </c>
      <c r="E91" s="6">
        <v>256.2</v>
      </c>
      <c r="F91" s="6">
        <v>6.4049999999999996E-2</v>
      </c>
      <c r="G91" s="6">
        <f>IFERROR((D91+F91)/2, 0)</f>
        <v>5.6024999999999998E-2</v>
      </c>
      <c r="H91" s="7">
        <f>IFERROR(IF(AVERAGE(C91,E91)&gt;$BN$7,AVERAGE(C91,E91),0), 0)</f>
        <v>224.1</v>
      </c>
      <c r="I91" s="7">
        <f>IFERROR(IF(AND(D91=0,F91=0),0,IF(H91&gt;$BN$6,MAX(D91,F91),G91)), 0)</f>
        <v>6.4049999999999996E-2</v>
      </c>
      <c r="J91" s="6">
        <f>IFERROR(IF(AND(D91&gt;0,F91&gt;0),ABS(D91-F91)/AVERAGE(D91,F91),0), 0)</f>
        <v>0.28647925033467192</v>
      </c>
      <c r="K91" s="6">
        <v>30214.3</v>
      </c>
      <c r="L91" s="6">
        <v>30215</v>
      </c>
      <c r="M91" s="8">
        <f>IFERROR((L91-K91)*1000, 0)</f>
        <v>700.0000000007276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0.68148841785616898</v>
      </c>
      <c r="BL91" s="5"/>
      <c r="BM91" s="5"/>
      <c r="BN91" s="5"/>
      <c r="BO91" s="8"/>
      <c r="BP91" s="19"/>
    </row>
    <row r="92" spans="1:68" x14ac:dyDescent="0.25">
      <c r="A92" s="18">
        <v>46144</v>
      </c>
      <c r="B92" t="s">
        <v>92</v>
      </c>
      <c r="C92" s="5">
        <v>116.2</v>
      </c>
      <c r="D92" s="6">
        <v>2.9049999999999999E-2</v>
      </c>
      <c r="E92" s="6">
        <v>170.2</v>
      </c>
      <c r="F92" s="6">
        <v>4.2549999999999998E-2</v>
      </c>
      <c r="G92" s="6">
        <f>IFERROR((D92+F92)/2, 0)</f>
        <v>3.5799999999999998E-2</v>
      </c>
      <c r="H92" s="7">
        <f>IFERROR(IF(AVERAGE(C92,E92)&gt;$BN$7,AVERAGE(C92,E92),0), 0)</f>
        <v>143.19999999999999</v>
      </c>
      <c r="I92" s="7">
        <f>IFERROR(IF(AND(D92=0,F92=0),0,IF(H92&gt;$BN$6,MAX(D92,F92),G92)), 0)</f>
        <v>4.2549999999999998E-2</v>
      </c>
      <c r="J92" s="6">
        <f>IFERROR(IF(AND(D92&gt;0,F92&gt;0),ABS(D92-F92)/AVERAGE(D92,F92),0), 0)</f>
        <v>0.37709497206703907</v>
      </c>
      <c r="K92" s="6">
        <v>30215</v>
      </c>
      <c r="L92" s="6">
        <v>30215.4</v>
      </c>
      <c r="M92" s="8">
        <f>IFERROR((L92-K92)*1000, 0)</f>
        <v>400.00000000145519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0.68148841785616898</v>
      </c>
      <c r="BL92" s="5"/>
      <c r="BM92" s="5"/>
      <c r="BN92" s="5"/>
      <c r="BO92" s="8"/>
      <c r="BP92" s="19"/>
    </row>
    <row r="93" spans="1:68" x14ac:dyDescent="0.25">
      <c r="A93" s="18">
        <v>46144</v>
      </c>
      <c r="B93" t="s">
        <v>93</v>
      </c>
      <c r="C93" s="5">
        <v>54.5</v>
      </c>
      <c r="D93" s="6">
        <v>1.3625E-2</v>
      </c>
      <c r="E93" s="6">
        <v>95.1</v>
      </c>
      <c r="F93" s="6">
        <v>2.3774999999999998E-2</v>
      </c>
      <c r="G93" s="6">
        <f>IFERROR((D93+F93)/2, 0)</f>
        <v>1.8699999999999998E-2</v>
      </c>
      <c r="H93" s="7">
        <f>IFERROR(IF(AVERAGE(C93,E93)&gt;$BN$7,AVERAGE(C93,E93),0), 0)</f>
        <v>74.8</v>
      </c>
      <c r="I93" s="7">
        <f>IFERROR(IF(AND(D93=0,F93=0),0,IF(H93&gt;$BN$6,MAX(D93,F93),G93)), 0)</f>
        <v>2.3774999999999998E-2</v>
      </c>
      <c r="J93" s="6">
        <f>IFERROR(IF(AND(D93&gt;0,F93&gt;0),ABS(D93-F93)/AVERAGE(D93,F93),0), 0)</f>
        <v>0.54278074866310155</v>
      </c>
      <c r="K93" s="6">
        <v>30215.4</v>
      </c>
      <c r="L93" s="6">
        <v>30215.599999999999</v>
      </c>
      <c r="M93" s="8">
        <f>IFERROR((L93-K93)*1000, 0)</f>
        <v>199.99999999708962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0.68148841785616898</v>
      </c>
      <c r="BL93" s="5"/>
      <c r="BM93" s="5"/>
      <c r="BN93" s="5"/>
      <c r="BO93" s="8"/>
      <c r="BP93" s="19"/>
    </row>
    <row r="94" spans="1:68" x14ac:dyDescent="0.25">
      <c r="A94" s="18">
        <v>46144</v>
      </c>
      <c r="B94" t="s">
        <v>94</v>
      </c>
      <c r="C94" s="5">
        <v>26.4</v>
      </c>
      <c r="D94" s="6">
        <v>6.6E-3</v>
      </c>
      <c r="E94" s="6">
        <v>33</v>
      </c>
      <c r="F94" s="6">
        <v>8.2500000000000004E-3</v>
      </c>
      <c r="G94" s="6">
        <f>IFERROR((D94+F94)/2, 0)</f>
        <v>7.4250000000000002E-3</v>
      </c>
      <c r="H94" s="7">
        <f>IFERROR(IF(AVERAGE(C94,E94)&gt;$BN$7,AVERAGE(C94,E94),0), 0)</f>
        <v>0</v>
      </c>
      <c r="I94" s="7">
        <f>IFERROR(IF(AND(D94=0,F94=0),0,IF(H94&gt;$BN$6,MAX(D94,F94),G94)), 0)</f>
        <v>7.4250000000000002E-3</v>
      </c>
      <c r="J94" s="6">
        <f>IFERROR(IF(AND(D94&gt;0,F94&gt;0),ABS(D94-F94)/AVERAGE(D94,F94),0), 0)</f>
        <v>0.22222222222222227</v>
      </c>
      <c r="K94" s="6">
        <v>30215.599999999999</v>
      </c>
      <c r="L94" s="6">
        <v>30215.7</v>
      </c>
      <c r="M94" s="8">
        <f>IFERROR((L94-K94)*1000, 0)</f>
        <v>100.00000000218279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0.68148841785616898</v>
      </c>
      <c r="BL94" s="5"/>
      <c r="BM94" s="5"/>
      <c r="BN94" s="5"/>
      <c r="BO94" s="8"/>
      <c r="BP94" s="19"/>
    </row>
    <row r="95" spans="1:68" x14ac:dyDescent="0.25">
      <c r="A95" s="18">
        <v>46144</v>
      </c>
      <c r="B95" t="s">
        <v>95</v>
      </c>
      <c r="C95" s="5">
        <v>6.2</v>
      </c>
      <c r="D95" s="6">
        <v>1.5499999999999999E-3</v>
      </c>
      <c r="E95" s="6">
        <v>6.6</v>
      </c>
      <c r="F95" s="6">
        <v>1.65E-3</v>
      </c>
      <c r="G95" s="6">
        <f>IFERROR((D95+F95)/2, 0)</f>
        <v>1.5999999999999999E-3</v>
      </c>
      <c r="H95" s="7">
        <f>IFERROR(IF(AVERAGE(C95,E95)&gt;$BN$7,AVERAGE(C95,E95),0), 0)</f>
        <v>0</v>
      </c>
      <c r="I95" s="7">
        <f>IFERROR(IF(AND(D95=0,F95=0),0,IF(H95&gt;$BN$6,MAX(D95,F95),G95)), 0)</f>
        <v>1.5999999999999999E-3</v>
      </c>
      <c r="J95" s="6">
        <f>IFERROR(IF(AND(D95&gt;0,F95&gt;0),ABS(D95-F95)/AVERAGE(D95,F95),0), 0)</f>
        <v>6.2500000000000028E-2</v>
      </c>
      <c r="K95" s="6">
        <v>30215.7</v>
      </c>
      <c r="L95" s="6">
        <v>30215.7</v>
      </c>
      <c r="M95" s="8">
        <f>IFERROR((L95-K95)*1000, 0)</f>
        <v>0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0.68148841785616898</v>
      </c>
      <c r="BL95" s="5"/>
      <c r="BM95" s="5"/>
      <c r="BN95" s="5"/>
      <c r="BO95" s="8"/>
      <c r="BP95" s="19"/>
    </row>
    <row r="96" spans="1:68" x14ac:dyDescent="0.25">
      <c r="A96" s="18">
        <v>46144</v>
      </c>
      <c r="B96" t="s">
        <v>96</v>
      </c>
      <c r="C96" s="5">
        <v>-0.7</v>
      </c>
      <c r="D96" s="6">
        <v>-1.75E-4</v>
      </c>
      <c r="E96" s="6">
        <v>-0.5</v>
      </c>
      <c r="F96" s="6">
        <v>-1.25E-4</v>
      </c>
      <c r="G96" s="6">
        <f>IFERROR((D96+F96)/2, 0)</f>
        <v>-1.5000000000000001E-4</v>
      </c>
      <c r="H96" s="7">
        <f>IFERROR(IF(AVERAGE(C96,E96)&gt;$BN$7,AVERAGE(C96,E96),0), 0)</f>
        <v>0</v>
      </c>
      <c r="I96" s="7">
        <f>IFERROR(IF(AND(D96=0,F96=0),0,IF(H96&gt;$BN$6,MAX(D96,F96),G96)), 0)</f>
        <v>-1.5000000000000001E-4</v>
      </c>
      <c r="J96" s="6">
        <f>IFERROR(IF(AND(D96&gt;0,F96&gt;0),ABS(D96-F96)/AVERAGE(D96,F96),0), 0)</f>
        <v>0</v>
      </c>
      <c r="K96" s="6">
        <v>30215.7</v>
      </c>
      <c r="L96" s="6">
        <v>30215.7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0.68148841785616898</v>
      </c>
      <c r="BL96" s="5"/>
      <c r="BM96" s="5"/>
      <c r="BN96" s="5"/>
      <c r="BO96" s="8"/>
      <c r="BP96" s="19"/>
    </row>
    <row r="97" spans="1:68" x14ac:dyDescent="0.25">
      <c r="A97" s="18">
        <v>46144</v>
      </c>
      <c r="B97" t="s">
        <v>97</v>
      </c>
      <c r="C97" s="5">
        <v>-2</v>
      </c>
      <c r="D97" s="6">
        <v>-5.0000000000000001E-4</v>
      </c>
      <c r="E97" s="6">
        <v>-2</v>
      </c>
      <c r="F97" s="6">
        <v>-5.0000000000000001E-4</v>
      </c>
      <c r="G97" s="6">
        <f>IFERROR((D97+F97)/2, 0)</f>
        <v>-5.0000000000000001E-4</v>
      </c>
      <c r="H97" s="7">
        <f>IFERROR(IF(AVERAGE(C97,E97)&gt;$BN$7,AVERAGE(C97,E97),0), 0)</f>
        <v>0</v>
      </c>
      <c r="I97" s="7">
        <f>IFERROR(IF(AND(D97=0,F97=0),0,IF(H97&gt;$BN$6,MAX(D97,F97),G97)), 0)</f>
        <v>-5.0000000000000001E-4</v>
      </c>
      <c r="J97" s="6">
        <f>IFERROR(IF(AND(D97&gt;0,F97&gt;0),ABS(D97-F97)/AVERAGE(D97,F97),0), 0)</f>
        <v>0</v>
      </c>
      <c r="K97" s="6">
        <v>30215.7</v>
      </c>
      <c r="L97" s="6">
        <v>30215.7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0.68148841785616898</v>
      </c>
      <c r="BL97" s="5"/>
      <c r="BM97" s="5"/>
      <c r="BN97" s="5"/>
      <c r="BO97" s="8"/>
      <c r="BP97" s="19"/>
    </row>
    <row r="98" spans="1:68" x14ac:dyDescent="0.25">
      <c r="A98" s="18">
        <v>46144</v>
      </c>
      <c r="B98" t="s">
        <v>98</v>
      </c>
      <c r="C98" s="5">
        <v>-2.2999999999999998</v>
      </c>
      <c r="D98" s="6">
        <v>-5.7499999999999999E-4</v>
      </c>
      <c r="E98" s="6">
        <v>-2</v>
      </c>
      <c r="F98" s="6">
        <v>-5.0000000000000001E-4</v>
      </c>
      <c r="G98" s="6">
        <f>IFERROR((D98+F98)/2, 0)</f>
        <v>-5.375E-4</v>
      </c>
      <c r="H98" s="7">
        <f>IFERROR(IF(AVERAGE(C98,E98)&gt;$BN$7,AVERAGE(C98,E98),0), 0)</f>
        <v>0</v>
      </c>
      <c r="I98" s="7">
        <f>IFERROR(IF(AND(D98=0,F98=0),0,IF(H98&gt;$BN$6,MAX(D98,F98),G98)), 0)</f>
        <v>-5.375E-4</v>
      </c>
      <c r="J98" s="6">
        <f>IFERROR(IF(AND(D98&gt;0,F98&gt;0),ABS(D98-F98)/AVERAGE(D98,F98),0), 0)</f>
        <v>0</v>
      </c>
      <c r="K98" s="6">
        <v>30215.7</v>
      </c>
      <c r="L98" s="6">
        <v>30215.7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0.68148841785616898</v>
      </c>
      <c r="BL98" s="5"/>
      <c r="BM98" s="5"/>
      <c r="BN98" s="5"/>
      <c r="BO98" s="8"/>
      <c r="BP98" s="19"/>
    </row>
    <row r="99" spans="1:68" x14ac:dyDescent="0.25">
      <c r="A99" s="18">
        <v>46144</v>
      </c>
      <c r="B99" t="s">
        <v>99</v>
      </c>
      <c r="C99" s="5">
        <v>-2</v>
      </c>
      <c r="D99" s="6">
        <v>-5.0000000000000001E-4</v>
      </c>
      <c r="E99" s="6">
        <v>-2</v>
      </c>
      <c r="F99" s="6">
        <v>-5.0000000000000001E-4</v>
      </c>
      <c r="G99" s="6">
        <f>IFERROR((D99+F99)/2, 0)</f>
        <v>-5.0000000000000001E-4</v>
      </c>
      <c r="H99" s="7">
        <f>IFERROR(IF(AVERAGE(C99,E99)&gt;$BN$7,AVERAGE(C99,E99),0), 0)</f>
        <v>0</v>
      </c>
      <c r="I99" s="7">
        <f>IFERROR(IF(AND(D99=0,F99=0),0,IF(H99&gt;$BN$6,MAX(D99,F99),G99)), 0)</f>
        <v>-5.0000000000000001E-4</v>
      </c>
      <c r="J99" s="6">
        <f>IFERROR(IF(AND(D99&gt;0,F99&gt;0),ABS(D99-F99)/AVERAGE(D99,F99),0), 0)</f>
        <v>0</v>
      </c>
      <c r="K99" s="6">
        <v>30215.7</v>
      </c>
      <c r="L99" s="6">
        <v>30215.7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0.68148841785616898</v>
      </c>
      <c r="BL99" s="5"/>
      <c r="BM99" s="5"/>
      <c r="BN99" s="5"/>
      <c r="BO99" s="8"/>
      <c r="BP99" s="19"/>
    </row>
    <row r="100" spans="1:68" x14ac:dyDescent="0.25">
      <c r="A100" s="18">
        <v>46144</v>
      </c>
      <c r="B100" t="s">
        <v>100</v>
      </c>
      <c r="C100" s="5">
        <v>-2.6</v>
      </c>
      <c r="D100" s="6">
        <v>-6.4999999999999997E-4</v>
      </c>
      <c r="E100" s="6">
        <v>-2</v>
      </c>
      <c r="F100" s="6">
        <v>-5.0000000000000001E-4</v>
      </c>
      <c r="G100" s="6">
        <f>IFERROR((D100+F100)/2, 0)</f>
        <v>-5.7499999999999999E-4</v>
      </c>
      <c r="H100" s="7">
        <f>IFERROR(IF(AVERAGE(C100,E100)&gt;$BN$7,AVERAGE(C100,E100),0), 0)</f>
        <v>0</v>
      </c>
      <c r="I100" s="7">
        <f>IFERROR(IF(AND(D100=0,F100=0),0,IF(H100&gt;$BN$6,MAX(D100,F100),G100)), 0)</f>
        <v>-5.7499999999999999E-4</v>
      </c>
      <c r="J100" s="6">
        <f>IFERROR(IF(AND(D100&gt;0,F100&gt;0),ABS(D100-F100)/AVERAGE(D100,F100),0), 0)</f>
        <v>0</v>
      </c>
      <c r="K100" s="6">
        <v>30215.7</v>
      </c>
      <c r="L100" s="6">
        <v>30215.7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0.68148841785616898</v>
      </c>
      <c r="BL100" s="5"/>
      <c r="BM100" s="5"/>
      <c r="BN100" s="5"/>
      <c r="BO100" s="8"/>
      <c r="BP100" s="19"/>
    </row>
    <row r="101" spans="1:68" x14ac:dyDescent="0.25">
      <c r="A101" s="18">
        <v>46144</v>
      </c>
      <c r="B101" t="s">
        <v>101</v>
      </c>
      <c r="C101" s="5">
        <v>-2</v>
      </c>
      <c r="D101" s="6">
        <v>-5.0000000000000001E-4</v>
      </c>
      <c r="E101" s="6">
        <v>-1.4</v>
      </c>
      <c r="F101" s="6">
        <v>-3.5E-4</v>
      </c>
      <c r="G101" s="6">
        <f>IFERROR((D101+F101)/2, 0)</f>
        <v>-4.2500000000000003E-4</v>
      </c>
      <c r="H101" s="7">
        <f>IFERROR(IF(AVERAGE(C101,E101)&gt;$BN$7,AVERAGE(C101,E101),0), 0)</f>
        <v>0</v>
      </c>
      <c r="I101" s="7">
        <f>IFERROR(IF(AND(D101=0,F101=0),0,IF(H101&gt;$BN$6,MAX(D101,F101),G101)), 0)</f>
        <v>-4.2500000000000003E-4</v>
      </c>
      <c r="J101" s="6">
        <f>IFERROR(IF(AND(D101&gt;0,F101&gt;0),ABS(D101-F101)/AVERAGE(D101,F101),0), 0)</f>
        <v>0</v>
      </c>
      <c r="K101" s="6">
        <v>30215.7</v>
      </c>
      <c r="L101" s="6">
        <v>30215.7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0.68148841785616898</v>
      </c>
      <c r="BL101" s="5"/>
      <c r="BM101" s="5"/>
      <c r="BN101" s="5"/>
      <c r="BO101" s="8"/>
      <c r="BP101" s="19"/>
    </row>
    <row r="102" spans="1:68" x14ac:dyDescent="0.25">
      <c r="A102" s="18">
        <v>46144</v>
      </c>
      <c r="B102" t="s">
        <v>102</v>
      </c>
      <c r="C102" s="5">
        <v>-2</v>
      </c>
      <c r="D102" s="6">
        <v>-5.0000000000000001E-4</v>
      </c>
      <c r="E102" s="6">
        <v>-1.5</v>
      </c>
      <c r="F102" s="6">
        <v>-3.7500000000000001E-4</v>
      </c>
      <c r="G102" s="6">
        <f>IFERROR((D102+F102)/2, 0)</f>
        <v>-4.3750000000000001E-4</v>
      </c>
      <c r="H102" s="7">
        <f>IFERROR(IF(AVERAGE(C102,E102)&gt;$BN$7,AVERAGE(C102,E102),0), 0)</f>
        <v>0</v>
      </c>
      <c r="I102" s="7">
        <f>IFERROR(IF(AND(D102=0,F102=0),0,IF(H102&gt;$BN$6,MAX(D102,F102),G102)), 0)</f>
        <v>-4.3750000000000001E-4</v>
      </c>
      <c r="J102" s="6">
        <f>IFERROR(IF(AND(D102&gt;0,F102&gt;0),ABS(D102-F102)/AVERAGE(D102,F102),0), 0)</f>
        <v>0</v>
      </c>
      <c r="K102" s="6">
        <v>30215.7</v>
      </c>
      <c r="L102" s="6">
        <v>30215.7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0.68148841785616898</v>
      </c>
      <c r="BL102" s="5"/>
      <c r="BM102" s="5"/>
      <c r="BN102" s="5"/>
      <c r="BO102" s="8"/>
      <c r="BP102" s="19"/>
    </row>
    <row r="103" spans="1:68" x14ac:dyDescent="0.25">
      <c r="A103" s="18">
        <v>46144</v>
      </c>
      <c r="B103" t="s">
        <v>103</v>
      </c>
      <c r="C103" s="5">
        <v>-2</v>
      </c>
      <c r="D103" s="6">
        <v>-5.0000000000000001E-4</v>
      </c>
      <c r="E103" s="6">
        <v>-1.4</v>
      </c>
      <c r="F103" s="6">
        <v>-3.5E-4</v>
      </c>
      <c r="G103" s="6">
        <f>IFERROR((D103+F103)/2, 0)</f>
        <v>-4.2500000000000003E-4</v>
      </c>
      <c r="H103" s="7">
        <f>IFERROR(IF(AVERAGE(C103,E103)&gt;$BN$7,AVERAGE(C103,E103),0), 0)</f>
        <v>0</v>
      </c>
      <c r="I103" s="7">
        <f>IFERROR(IF(AND(D103=0,F103=0),0,IF(H103&gt;$BN$6,MAX(D103,F103),G103)), 0)</f>
        <v>-4.2500000000000003E-4</v>
      </c>
      <c r="J103" s="6">
        <f>IFERROR(IF(AND(D103&gt;0,F103&gt;0),ABS(D103-F103)/AVERAGE(D103,F103),0), 0)</f>
        <v>0</v>
      </c>
      <c r="K103" s="6">
        <v>30215.7</v>
      </c>
      <c r="L103" s="6">
        <v>30215.7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0.68148841785616898</v>
      </c>
      <c r="BL103" s="5"/>
      <c r="BM103" s="5"/>
      <c r="BN103" s="5"/>
      <c r="BO103" s="8"/>
      <c r="BP103" s="19"/>
    </row>
    <row r="104" spans="1:68" x14ac:dyDescent="0.25">
      <c r="A104" s="18">
        <v>46144</v>
      </c>
      <c r="B104" t="s">
        <v>104</v>
      </c>
      <c r="C104" s="5">
        <v>-2.9</v>
      </c>
      <c r="D104" s="6">
        <v>-7.2499999999999995E-4</v>
      </c>
      <c r="E104" s="6">
        <v>-2.4</v>
      </c>
      <c r="F104" s="6">
        <v>-5.9999999999999995E-4</v>
      </c>
      <c r="G104" s="6">
        <f>IFERROR((D104+F104)/2, 0)</f>
        <v>-6.6249999999999989E-4</v>
      </c>
      <c r="H104" s="7">
        <f>IFERROR(IF(AVERAGE(C104,E104)&gt;$BN$7,AVERAGE(C104,E104),0), 0)</f>
        <v>0</v>
      </c>
      <c r="I104" s="7">
        <f>IFERROR(IF(AND(D104=0,F104=0),0,IF(H104&gt;$BN$6,MAX(D104,F104),G104)), 0)</f>
        <v>-6.6249999999999989E-4</v>
      </c>
      <c r="J104" s="6">
        <f>IFERROR(IF(AND(D104&gt;0,F104&gt;0),ABS(D104-F104)/AVERAGE(D104,F104),0), 0)</f>
        <v>0</v>
      </c>
      <c r="K104" s="6">
        <v>30215.7</v>
      </c>
      <c r="L104" s="6">
        <v>30215.7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0.68148841785616898</v>
      </c>
      <c r="BL104" s="5"/>
      <c r="BM104" s="5"/>
      <c r="BN104" s="5"/>
      <c r="BO104" s="8"/>
      <c r="BP104" s="19"/>
    </row>
    <row r="105" spans="1:68" x14ac:dyDescent="0.25">
      <c r="A105" s="18">
        <v>46144</v>
      </c>
      <c r="B105" t="s">
        <v>105</v>
      </c>
      <c r="C105" s="5">
        <v>-3.1</v>
      </c>
      <c r="D105" s="6">
        <v>-7.7499999999999997E-4</v>
      </c>
      <c r="E105" s="6">
        <v>-3</v>
      </c>
      <c r="F105" s="6">
        <v>-7.5000000000000002E-4</v>
      </c>
      <c r="G105" s="6">
        <f>IFERROR((D105+F105)/2, 0)</f>
        <v>-7.6249999999999994E-4</v>
      </c>
      <c r="H105" s="7">
        <f>IFERROR(IF(AVERAGE(C105,E105)&gt;$BN$7,AVERAGE(C105,E105),0), 0)</f>
        <v>0</v>
      </c>
      <c r="I105" s="7">
        <f>IFERROR(IF(AND(D105=0,F105=0),0,IF(H105&gt;$BN$6,MAX(D105,F105),G105)), 0)</f>
        <v>-7.6249999999999994E-4</v>
      </c>
      <c r="J105" s="6">
        <f>IFERROR(IF(AND(D105&gt;0,F105&gt;0),ABS(D105-F105)/AVERAGE(D105,F105),0), 0)</f>
        <v>0</v>
      </c>
      <c r="K105" s="6">
        <v>30215.7</v>
      </c>
      <c r="L105" s="6">
        <v>30215.7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0.68148841785616898</v>
      </c>
      <c r="BL105" s="5"/>
      <c r="BM105" s="5"/>
      <c r="BN105" s="5"/>
      <c r="BO105" s="8"/>
      <c r="BP105" s="19"/>
    </row>
    <row r="106" spans="1:68" x14ac:dyDescent="0.25">
      <c r="A106" s="18">
        <v>46144</v>
      </c>
      <c r="B106" t="s">
        <v>106</v>
      </c>
      <c r="C106" s="5">
        <v>-2.8</v>
      </c>
      <c r="D106" s="6">
        <v>-6.9999999999999999E-4</v>
      </c>
      <c r="E106" s="6">
        <v>-3</v>
      </c>
      <c r="F106" s="6">
        <v>-7.5000000000000002E-4</v>
      </c>
      <c r="G106" s="6">
        <f>IFERROR((D106+F106)/2, 0)</f>
        <v>-7.2499999999999995E-4</v>
      </c>
      <c r="H106" s="7">
        <f>IFERROR(IF(AVERAGE(C106,E106)&gt;$BN$7,AVERAGE(C106,E106),0), 0)</f>
        <v>0</v>
      </c>
      <c r="I106" s="7">
        <f>IFERROR(IF(AND(D106=0,F106=0),0,IF(H106&gt;$BN$6,MAX(D106,F106),G106)), 0)</f>
        <v>-7.2499999999999995E-4</v>
      </c>
      <c r="J106" s="6">
        <f>IFERROR(IF(AND(D106&gt;0,F106&gt;0),ABS(D106-F106)/AVERAGE(D106,F106),0), 0)</f>
        <v>0</v>
      </c>
      <c r="K106" s="6">
        <v>30215.7</v>
      </c>
      <c r="L106" s="6">
        <v>30215.7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0.68148841785616898</v>
      </c>
      <c r="BL106" s="5"/>
      <c r="BM106" s="5"/>
      <c r="BN106" s="5"/>
      <c r="BO106" s="8"/>
      <c r="BP106" s="19"/>
    </row>
    <row r="107" spans="1:68" x14ac:dyDescent="0.25">
      <c r="A107" s="18">
        <v>46144</v>
      </c>
      <c r="B107" t="s">
        <v>107</v>
      </c>
      <c r="C107" s="5">
        <v>-3</v>
      </c>
      <c r="D107" s="6">
        <v>-7.5000000000000002E-4</v>
      </c>
      <c r="E107" s="6">
        <v>-3</v>
      </c>
      <c r="F107" s="6">
        <v>-7.5000000000000002E-4</v>
      </c>
      <c r="G107" s="6">
        <f>IFERROR((D107+F107)/2, 0)</f>
        <v>-7.5000000000000002E-4</v>
      </c>
      <c r="H107" s="7">
        <f>IFERROR(IF(AVERAGE(C107,E107)&gt;$BN$7,AVERAGE(C107,E107),0), 0)</f>
        <v>0</v>
      </c>
      <c r="I107" s="7">
        <f>IFERROR(IF(AND(D107=0,F107=0),0,IF(H107&gt;$BN$6,MAX(D107,F107),G107)), 0)</f>
        <v>-7.5000000000000002E-4</v>
      </c>
      <c r="J107" s="6">
        <f>IFERROR(IF(AND(D107&gt;0,F107&gt;0),ABS(D107-F107)/AVERAGE(D107,F107),0), 0)</f>
        <v>0</v>
      </c>
      <c r="K107" s="6">
        <v>30215.7</v>
      </c>
      <c r="L107" s="6">
        <v>30215.7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0.68148841785616898</v>
      </c>
      <c r="BL107" s="5"/>
      <c r="BM107" s="5"/>
      <c r="BN107" s="5"/>
      <c r="BO107" s="8"/>
      <c r="BP107" s="19"/>
    </row>
    <row r="108" spans="1:68" x14ac:dyDescent="0.25">
      <c r="A108" s="18">
        <v>46144</v>
      </c>
      <c r="B108" t="s">
        <v>108</v>
      </c>
      <c r="C108" s="5">
        <v>-2.2000000000000002</v>
      </c>
      <c r="D108" s="6">
        <v>-5.5000000000000003E-4</v>
      </c>
      <c r="E108" s="6">
        <v>-2.2999999999999998</v>
      </c>
      <c r="F108" s="6">
        <v>-5.7499999999999999E-4</v>
      </c>
      <c r="G108" s="6">
        <f>IFERROR((D108+F108)/2, 0)</f>
        <v>-5.6250000000000007E-4</v>
      </c>
      <c r="H108" s="7">
        <f>IFERROR(IF(AVERAGE(C108,E108)&gt;$BN$7,AVERAGE(C108,E108),0), 0)</f>
        <v>0</v>
      </c>
      <c r="I108" s="7">
        <f>IFERROR(IF(AND(D108=0,F108=0),0,IF(H108&gt;$BN$6,MAX(D108,F108),G108)), 0)</f>
        <v>-5.6250000000000007E-4</v>
      </c>
      <c r="J108" s="6">
        <f>IFERROR(IF(AND(D108&gt;0,F108&gt;0),ABS(D108-F108)/AVERAGE(D108,F108),0), 0)</f>
        <v>0</v>
      </c>
      <c r="K108" s="6">
        <v>30215.7</v>
      </c>
      <c r="L108" s="6">
        <v>30215.7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0.68148841785616898</v>
      </c>
      <c r="BL108" s="5"/>
      <c r="BM108" s="5"/>
      <c r="BN108" s="5"/>
      <c r="BO108" s="8"/>
      <c r="BP108" s="19"/>
    </row>
    <row r="109" spans="1:68" x14ac:dyDescent="0.25">
      <c r="A109" s="18">
        <v>46144</v>
      </c>
      <c r="B109" t="s">
        <v>109</v>
      </c>
      <c r="C109" s="5">
        <v>-2</v>
      </c>
      <c r="D109" s="6">
        <v>-5.0000000000000001E-4</v>
      </c>
      <c r="E109" s="6">
        <v>-2</v>
      </c>
      <c r="F109" s="6">
        <v>-5.0000000000000001E-4</v>
      </c>
      <c r="G109" s="6">
        <f>IFERROR((D109+F109)/2, 0)</f>
        <v>-5.0000000000000001E-4</v>
      </c>
      <c r="H109" s="7">
        <f>IFERROR(IF(AVERAGE(C109,E109)&gt;$BN$7,AVERAGE(C109,E109),0), 0)</f>
        <v>0</v>
      </c>
      <c r="I109" s="7">
        <f>IFERROR(IF(AND(D109=0,F109=0),0,IF(H109&gt;$BN$6,MAX(D109,F109),G109)), 0)</f>
        <v>-5.0000000000000001E-4</v>
      </c>
      <c r="J109" s="6">
        <f>IFERROR(IF(AND(D109&gt;0,F109&gt;0),ABS(D109-F109)/AVERAGE(D109,F109),0), 0)</f>
        <v>0</v>
      </c>
      <c r="K109" s="6">
        <v>30215.7</v>
      </c>
      <c r="L109" s="6">
        <v>30215.7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0.68148841785616898</v>
      </c>
      <c r="BL109" s="5"/>
      <c r="BM109" s="5"/>
      <c r="BN109" s="5"/>
      <c r="BO109" s="8"/>
      <c r="BP109" s="19"/>
    </row>
    <row r="110" spans="1:68" x14ac:dyDescent="0.25">
      <c r="A110" s="18">
        <v>46144</v>
      </c>
      <c r="B110" t="s">
        <v>110</v>
      </c>
      <c r="C110" s="5">
        <v>-2</v>
      </c>
      <c r="D110" s="6">
        <v>-5.0000000000000001E-4</v>
      </c>
      <c r="E110" s="6">
        <v>-2</v>
      </c>
      <c r="F110" s="6">
        <v>-5.0000000000000001E-4</v>
      </c>
      <c r="G110" s="6">
        <f>IFERROR((D110+F110)/2, 0)</f>
        <v>-5.0000000000000001E-4</v>
      </c>
      <c r="H110" s="7">
        <f>IFERROR(IF(AVERAGE(C110,E110)&gt;$BN$7,AVERAGE(C110,E110),0), 0)</f>
        <v>0</v>
      </c>
      <c r="I110" s="7">
        <f>IFERROR(IF(AND(D110=0,F110=0),0,IF(H110&gt;$BN$6,MAX(D110,F110),G110)), 0)</f>
        <v>-5.0000000000000001E-4</v>
      </c>
      <c r="J110" s="6">
        <f>IFERROR(IF(AND(D110&gt;0,F110&gt;0),ABS(D110-F110)/AVERAGE(D110,F110),0), 0)</f>
        <v>0</v>
      </c>
      <c r="K110" s="6">
        <v>30215.7</v>
      </c>
      <c r="L110" s="6">
        <v>30215.7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0.68148841785616898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10.215474999999993</v>
      </c>
      <c r="E111" s="12"/>
      <c r="F111" s="12">
        <f>SUM(F15:F110)</f>
        <v>10.193050000000001</v>
      </c>
      <c r="G111" s="12">
        <f>SUM(G15:G110)</f>
        <v>10.204262499999997</v>
      </c>
      <c r="H111" s="12"/>
      <c r="I111" s="12">
        <f>SUM(I15:I110)</f>
        <v>10.362649999999999</v>
      </c>
      <c r="J111" s="12"/>
      <c r="K111" s="12"/>
      <c r="L111" s="12"/>
      <c r="M111" s="13">
        <f>SUM(M15:M110)</f>
        <v>74400.000000001455</v>
      </c>
      <c r="N111" s="13"/>
      <c r="O111" s="32" cm="1">
        <f t="array" ref="O111">SUM((Inverter_data!C15:C110)*0.25,O15:O110)/(O$10*(SUM(PR_Calc!$H$15:$H$110)/4000))</f>
        <v>0.83710845698742919</v>
      </c>
      <c r="P111" s="32" cm="1">
        <f t="array" ref="P111">SUM((Inverter_data!D15:D110)*0.25,P15:P110)/(P$10*(SUM(PR_Calc!$H$15:$H$110)/4000))</f>
        <v>0.83533985009407452</v>
      </c>
      <c r="Q111" s="32" cm="1">
        <f t="array" ref="Q111">SUM((Inverter_data!E15:E110)*0.25,Q15:Q110)/(Q$10*(SUM(PR_Calc!$H$15:$H$110)/4000))</f>
        <v>0.83809260114582862</v>
      </c>
      <c r="R111" s="32" cm="1">
        <f t="array" ref="R111">SUM((Inverter_data!F15:F110)*0.25,R15:R110)/(R$10*(SUM(PR_Calc!$H$15:$H$110)/4000))</f>
        <v>0.83794997155765472</v>
      </c>
      <c r="S111" s="32" cm="1">
        <f t="array" ref="S111">SUM((Inverter_data!G15:G110)*0.25,S15:S110)/(S$10*(SUM(PR_Calc!$H$15:$H$110)/4000))</f>
        <v>0.8386060676632543</v>
      </c>
      <c r="T111" s="32" cm="1">
        <f t="array" ref="T111">SUM((Inverter_data!H15:H110)*0.25,T15:T110)/(T$10*(SUM(PR_Calc!$H$15:$H$110)/4000))</f>
        <v>0.83372100426830242</v>
      </c>
      <c r="U111" s="32" cm="1">
        <f t="array" ref="U111">SUM((Inverter_data!I15:I110)*0.25,U15:U110)/(U$10*(SUM(PR_Calc!$H$15:$H$110)/4000))</f>
        <v>0.83323606366851133</v>
      </c>
      <c r="V111" s="32" cm="1">
        <f t="array" ref="V111">SUM((Inverter_data!J15:J110)*0.25,V15:V110)/(V$10*(SUM(PR_Calc!$H$15:$H$110)/4000))</f>
        <v>0.81420519615965037</v>
      </c>
      <c r="W111" s="32" cm="1">
        <f t="array" ref="W111">SUM((Inverter_data!K15:K110)*0.25,W15:W110)/(W$10*(SUM(PR_Calc!$H$15:$H$110)/4000))</f>
        <v>0.81088316701248986</v>
      </c>
      <c r="X111" s="32" cm="1">
        <f t="array" ref="X111">SUM((Inverter_data!L15:L110)*0.25,X15:X110)/(X$10*(SUM(PR_Calc!$H$15:$H$110)/4000))</f>
        <v>0.81001684729649504</v>
      </c>
      <c r="Y111" s="32" cm="1">
        <f t="array" ref="Y111">SUM((Inverter_data!M15:M110)*0.25,Y15:Y110)/(Y$10*(SUM(PR_Calc!$H$15:$H$110)/4000))</f>
        <v>0.81124470201207821</v>
      </c>
      <c r="Z111" s="32" cm="1">
        <f t="array" ref="Z111">SUM((Inverter_data!N15:N110)*0.25,Z15:Z110)/(Z$10*(SUM(PR_Calc!$H$15:$H$110)/4000))</f>
        <v>0.83780734196948092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10278.047999999997</v>
      </c>
      <c r="AE111" s="42" cm="1">
        <f t="array" ref="AE111">SUM((Inverter_data!R15:'Inverter_data'!R110)*0.25,AE15:AE110)/(AE$10*(SUM(PR_Calc!$H$15:$H$110)/4000))</f>
        <v>0.8648003854607077</v>
      </c>
      <c r="AF111" s="42" cm="1">
        <f t="array" ref="AF111">SUM((Inverter_data!S15:'Inverter_data'!S110)*0.25,AF15:AF110)/(AF$10*(SUM(PR_Calc!$H$15:$H$110)/4000))</f>
        <v>0.83273686010990311</v>
      </c>
      <c r="AG111" s="42" cm="1">
        <f t="array" ref="AG111">SUM((Inverter_data!T15:'Inverter_data'!T110)*0.25,AG15:AG110)/(AG$10*(SUM(PR_Calc!$H$15:$H$110)/4000))</f>
        <v>0.83169566411623463</v>
      </c>
      <c r="AH111" s="42" cm="1">
        <f t="array" ref="AH111">SUM((Inverter_data!U15:'Inverter_data'!U110)*0.25,AH15:AH110)/(AH$10*(SUM(PR_Calc!$H$15:$H$110)/4000))</f>
        <v>0.86421764171474036</v>
      </c>
      <c r="AI111" s="42" cm="1">
        <f t="array" ref="AI111">SUM((Inverter_data!V15:'Inverter_data'!V110)*0.25,AI15:AI110)/(AI$10*(SUM(PR_Calc!$H$15:$H$110)/4000))</f>
        <v>0.86822960827351414</v>
      </c>
      <c r="AJ111" s="42" cm="1">
        <f t="array" ref="AJ111">SUM((Inverter_data!W15:'Inverter_data'!W110)*0.25,AJ15:AJ110)/(AJ$10*(SUM(PR_Calc!$H$15:$H$110)/4000))</f>
        <v>0.8014355071175876</v>
      </c>
      <c r="AK111" s="42" cm="1">
        <f t="array" ref="AK111">SUM((Inverter_data!X15:'Inverter_data'!X110)*0.25,AK15:AK110)/(AK$10*(SUM(PR_Calc!$H$15:$H$110)/4000))</f>
        <v>0.83263701939818158</v>
      </c>
      <c r="AL111" s="42" cm="1">
        <f t="array" ref="AL111">SUM((Inverter_data!Y15:'Inverter_data'!Y110)*0.25,AL15:AL110)/(AL$10*(SUM(PR_Calc!$H$15:$H$110)/4000))</f>
        <v>0.80197439890942679</v>
      </c>
      <c r="AM111" s="42" cm="1">
        <f t="array" ref="AM111">SUM((Inverter_data!Z15:'Inverter_data'!Z110)*0.25,AM15:AM110)/(AM$10*(SUM(PR_Calc!$H$15:$H$110)/4000))</f>
        <v>0.80221314843745717</v>
      </c>
      <c r="AN111" s="42" cm="1">
        <f t="array" ref="AN111">SUM((Inverter_data!AA15:'Inverter_data'!AA110)*0.25,AN15:AN110)/(AN$10*(SUM(PR_Calc!$H$15:$H$110)/4000))</f>
        <v>0.82832960583533355</v>
      </c>
      <c r="AO111" s="42" cm="1">
        <f t="array" ref="AO111">SUM((Inverter_data!AB15:'Inverter_data'!AB110)*0.25,AO15:AO110)/(AO$10*(SUM(PR_Calc!$H$15:$H$110)/4000))</f>
        <v>0.79984611740241629</v>
      </c>
      <c r="AP111" s="42" cm="1">
        <f t="array" ref="AP111">SUM((Inverter_data!AC15:'Inverter_data'!AC110)*0.25,AP15:AP110)/(AP$10*(SUM(PR_Calc!$H$15:$H$110)/4000))</f>
        <v>0.79994843862871479</v>
      </c>
      <c r="AQ111" s="9"/>
      <c r="AR111" s="9"/>
      <c r="AS111" s="46"/>
      <c r="AT111" s="49">
        <f>SUBTOTAL(109,TabellaMar2026[Colonna63])</f>
        <v>10278.047999999997</v>
      </c>
      <c r="AU111" s="47" cm="1">
        <f t="array" ref="AU111">SUM((Inverter_data!AG15:'Inverter_data'!AG110)*0.25,AU15:AU110)/(AU$10*(SUM(PR_Calc!$H$15:$H$110)/4000))</f>
        <v>0.8186050088904897</v>
      </c>
      <c r="AV111" s="47" cm="1">
        <f t="array" ref="AV111">SUM((Inverter_data!AH15:'Inverter_data'!AH110)*0.25,AV15:AV110)/(AV$10*(SUM(PR_Calc!$H$15:$H$110)/4000))</f>
        <v>0.815787764459735</v>
      </c>
      <c r="AW111" s="47" cm="1">
        <f t="array" ref="AW111">SUM((Inverter_data!AI15:'Inverter_data'!AI110)*0.25,AW15:AW110)/(AW$10*(SUM(PR_Calc!$H$15:$H$110)/4000))</f>
        <v>0.81110827371034666</v>
      </c>
      <c r="AX111" s="47" cm="1">
        <f t="array" ref="AX111">SUM((Inverter_data!AJ15:'Inverter_data'!AJ110)*0.25,AX15:AX110)/(AX$10*(SUM(PR_Calc!$H$15:$H$110)/4000))</f>
        <v>0.8137822684242827</v>
      </c>
      <c r="AY111" s="47" cm="1">
        <f t="array" ref="AY111">SUM((Inverter_data!AK15:'Inverter_data'!AK110)*0.25,AY15:AY110)/(AY$10*(SUM(PR_Calc!$H$15:$H$110)/4000))</f>
        <v>0.81273177050095091</v>
      </c>
      <c r="AZ111" s="47" cm="1">
        <f t="array" ref="AZ111">SUM((Inverter_data!AL15:'Inverter_data'!AL110)*0.25,AZ15:AZ110)/(AZ$10*(SUM(PR_Calc!$H$15:$H$110)/4000))</f>
        <v>0.81624479927053506</v>
      </c>
      <c r="BA111" s="47" cm="1">
        <f t="array" ref="BA111">SUM((Inverter_data!AM15:'Inverter_data'!AM110)*0.25,BA15:BA110)/(BA$10*(SUM(PR_Calc!$H$15:$H$110)/4000))</f>
        <v>0.81549444361101231</v>
      </c>
      <c r="BB111" s="47" cm="1">
        <f t="array" ref="BB111">SUM((Inverter_data!AN15:'Inverter_data'!AN110)*0.25,BB15:BB110)/(BB$10*(SUM(PR_Calc!$H$15:$H$110)/4000))</f>
        <v>0.81212466455824595</v>
      </c>
      <c r="BC111" s="47" cm="1">
        <f t="array" ref="BC111">SUM((Inverter_data!AO15:'Inverter_data'!AO110)*0.25,BC15:BC110)/(BC$10*(SUM(PR_Calc!$H$15:$H$110)/4000))</f>
        <v>0.81336616210400181</v>
      </c>
      <c r="BD111" s="47" cm="1">
        <f t="array" ref="BD111">SUM((Inverter_data!AP15:'Inverter_data'!AP110)*0.25,BD15:BD110)/(BD$10*(SUM(PR_Calc!$H$15:$H$110)/4000))</f>
        <v>0.81708383332618395</v>
      </c>
      <c r="BE111" s="47" cm="1">
        <f t="array" ref="BE111">SUM((Inverter_data!AQ15:'Inverter_data'!AQ110)*0.25,BE15:BE110)/(BE$10*(SUM(PR_Calc!$H$15:$H$110)/4000))</f>
        <v>0.8162379778554486</v>
      </c>
      <c r="BF111" s="47" cm="1">
        <f t="array" ref="BF111">SUM((Inverter_data!AR15:'Inverter_data'!AR110)*0.25,BF15:BF110)/(BF$10*(SUM(PR_Calc!$H$15:$H$110)/4000))</f>
        <v>0.8779569461869654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10278.047999999997</v>
      </c>
      <c r="BK111" s="51"/>
      <c r="BL111" s="32">
        <f>SUM(TabellaMar2026[[#Totals],[Colonna24]:[Colonna20]],TabellaMar2026[[#Totals],[Colonna39]:[Colonna6]],TabellaMar2026[[#Totals],[Colonna54]:[Colonna53]])/36</f>
        <v>0.82518887717049061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6.111281100337407E-6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46144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46144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46144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46144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46144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46144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46144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46144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46144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46144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46144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46144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46144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46144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46144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46144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46144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46144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46144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46144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46144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46144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46144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46144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46144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46144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</v>
      </c>
      <c r="P40" s="67">
        <f>MAX(Tabella01MarzoInverter[[#This Row],[Active power TX1-INV-1]:[Active power TX1-INV-12]])</f>
        <v>0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8">
        <v>0</v>
      </c>
      <c r="AD40" s="69">
        <f>IFERROR(AVERAGEIF(Tabella01MarzoInverter[[#This Row],[Active power TX2-INV-1]:[Active power TX2-INV-12]], "&gt;0"), 0)</f>
        <v>0</v>
      </c>
      <c r="AE40" s="67">
        <f>MAX(Tabella01MarzoInverter[[#This Row],[Active power TX2-INV-1]:[Active power TX2-INV-12]])</f>
        <v>0</v>
      </c>
      <c r="AF40" s="70">
        <f>MIN(Tabella01MarzoInverter[[#This Row],[Active power TX2-INV-1]:[Active power TX2-INV-12]])</f>
        <v>0</v>
      </c>
      <c r="AG40" s="71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0</v>
      </c>
      <c r="AT40" s="67">
        <f>MAX(Tabella01MarzoInverter[[#This Row],[Active power TX3-INV-1]:[Active power TX3-INV-12]])</f>
        <v>0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46144</v>
      </c>
      <c r="B41" s="66" t="s">
        <v>41</v>
      </c>
      <c r="C41" s="67">
        <v>0</v>
      </c>
      <c r="D41" s="67">
        <v>0</v>
      </c>
      <c r="E41" s="67">
        <v>0</v>
      </c>
      <c r="F41" s="67">
        <v>0</v>
      </c>
      <c r="G41" s="67">
        <v>0.9</v>
      </c>
      <c r="H41" s="67">
        <v>0</v>
      </c>
      <c r="I41" s="67">
        <v>0</v>
      </c>
      <c r="J41" s="67">
        <v>0</v>
      </c>
      <c r="K41" s="67">
        <v>0.2</v>
      </c>
      <c r="L41" s="67">
        <v>0</v>
      </c>
      <c r="M41" s="67">
        <v>0</v>
      </c>
      <c r="N41" s="68">
        <v>0.1</v>
      </c>
      <c r="O41" s="69">
        <f>IFERROR(AVERAGEIF(Tabella01MarzoInverter[[#This Row],[Active power TX1-INV-1]:[Active power TX1-INV-12]], "&gt;0"), 0)</f>
        <v>0.40000000000000008</v>
      </c>
      <c r="P41" s="67">
        <f>MAX(Tabella01MarzoInverter[[#This Row],[Active power TX1-INV-1]:[Active power TX1-INV-12]])</f>
        <v>0.9</v>
      </c>
      <c r="Q41" s="70">
        <f>MIN(Tabella01MarzoInverter[[#This Row],[Active power TX1-INV-1]:[Active power TX1-INV-12]])</f>
        <v>0</v>
      </c>
      <c r="R41" s="71">
        <v>0</v>
      </c>
      <c r="S41" s="67">
        <v>0</v>
      </c>
      <c r="T41" s="67">
        <v>0.6</v>
      </c>
      <c r="U41" s="67">
        <v>0.3</v>
      </c>
      <c r="V41" s="67">
        <v>1.3</v>
      </c>
      <c r="W41" s="67">
        <v>0</v>
      </c>
      <c r="X41" s="67">
        <v>0</v>
      </c>
      <c r="Y41" s="67">
        <v>2.1</v>
      </c>
      <c r="Z41" s="67">
        <v>0</v>
      </c>
      <c r="AA41" s="67">
        <v>0</v>
      </c>
      <c r="AB41" s="67">
        <v>0</v>
      </c>
      <c r="AC41" s="68">
        <v>1.2</v>
      </c>
      <c r="AD41" s="69">
        <f>IFERROR(AVERAGEIF(Tabella01MarzoInverter[[#This Row],[Active power TX2-INV-1]:[Active power TX2-INV-12]], "&gt;0"), 0)</f>
        <v>1.1000000000000001</v>
      </c>
      <c r="AE41" s="67">
        <f>MAX(Tabella01MarzoInverter[[#This Row],[Active power TX2-INV-1]:[Active power TX2-INV-12]])</f>
        <v>2.1</v>
      </c>
      <c r="AF41" s="70">
        <f>MIN(Tabella01MarzoInverter[[#This Row],[Active power TX2-INV-1]:[Active power TX2-INV-12]])</f>
        <v>0</v>
      </c>
      <c r="AG41" s="71">
        <v>2</v>
      </c>
      <c r="AH41" s="67">
        <v>0</v>
      </c>
      <c r="AI41" s="67">
        <v>0</v>
      </c>
      <c r="AJ41" s="67">
        <v>0</v>
      </c>
      <c r="AK41" s="67">
        <v>0</v>
      </c>
      <c r="AL41" s="67">
        <v>0</v>
      </c>
      <c r="AM41" s="67">
        <v>0</v>
      </c>
      <c r="AN41" s="67">
        <v>0</v>
      </c>
      <c r="AO41" s="67">
        <v>0</v>
      </c>
      <c r="AP41" s="67">
        <v>0</v>
      </c>
      <c r="AQ41" s="67">
        <v>0</v>
      </c>
      <c r="AR41" s="68">
        <v>0</v>
      </c>
      <c r="AS41" s="69">
        <f>IFERROR(AVERAGEIF(Tabella01MarzoInverter[[#This Row],[Active power TX3-INV-1]:[Active power TX3-INV-12]], "&gt;0"), 0)</f>
        <v>2</v>
      </c>
      <c r="AT41" s="67">
        <f>MAX(Tabella01MarzoInverter[[#This Row],[Active power TX3-INV-1]:[Active power TX3-INV-12]])</f>
        <v>2</v>
      </c>
      <c r="AU41" s="70">
        <f>MIN(Tabella01MarzoInverter[[#This Row],[Active power TX3-INV-1]:[Active power TX3-INV-12]])</f>
        <v>0</v>
      </c>
    </row>
    <row r="42" spans="1:47" x14ac:dyDescent="0.25">
      <c r="A42" s="65">
        <v>46144</v>
      </c>
      <c r="B42" s="72" t="s">
        <v>42</v>
      </c>
      <c r="C42" s="67">
        <v>7.5</v>
      </c>
      <c r="D42" s="67">
        <v>6.5</v>
      </c>
      <c r="E42" s="67">
        <v>7.7</v>
      </c>
      <c r="F42" s="67">
        <v>7.2</v>
      </c>
      <c r="G42" s="67">
        <v>8.3000000000000007</v>
      </c>
      <c r="H42" s="67">
        <v>6.9</v>
      </c>
      <c r="I42" s="67">
        <v>7.5</v>
      </c>
      <c r="J42" s="67">
        <v>7.2</v>
      </c>
      <c r="K42" s="67">
        <v>8.6</v>
      </c>
      <c r="L42" s="67">
        <v>7.3</v>
      </c>
      <c r="M42" s="67">
        <v>8.1999999999999993</v>
      </c>
      <c r="N42" s="68">
        <v>8.8000000000000007</v>
      </c>
      <c r="O42" s="69">
        <f>IFERROR(AVERAGEIF(Tabella01MarzoInverter[[#This Row],[Active power TX1-INV-1]:[Active power TX1-INV-12]], "&gt;0"), 0)</f>
        <v>7.6416666666666666</v>
      </c>
      <c r="P42" s="67">
        <f>MAX(Tabella01MarzoInverter[[#This Row],[Active power TX1-INV-1]:[Active power TX1-INV-12]])</f>
        <v>8.8000000000000007</v>
      </c>
      <c r="Q42" s="70">
        <f>MIN(Tabella01MarzoInverter[[#This Row],[Active power TX1-INV-1]:[Active power TX1-INV-12]])</f>
        <v>6.5</v>
      </c>
      <c r="R42" s="71">
        <v>7.7</v>
      </c>
      <c r="S42" s="67">
        <v>7.2</v>
      </c>
      <c r="T42" s="67">
        <v>8.3000000000000007</v>
      </c>
      <c r="U42" s="67">
        <v>8.4</v>
      </c>
      <c r="V42" s="67">
        <v>8</v>
      </c>
      <c r="W42" s="67">
        <v>8.6999999999999993</v>
      </c>
      <c r="X42" s="67">
        <v>8.8000000000000007</v>
      </c>
      <c r="Y42" s="67">
        <v>8.9</v>
      </c>
      <c r="Z42" s="67">
        <v>9.1</v>
      </c>
      <c r="AA42" s="67">
        <v>7.7</v>
      </c>
      <c r="AB42" s="67">
        <v>8.1</v>
      </c>
      <c r="AC42" s="68">
        <v>8.8000000000000007</v>
      </c>
      <c r="AD42" s="69">
        <f>IFERROR(AVERAGEIF(Tabella01MarzoInverter[[#This Row],[Active power TX2-INV-1]:[Active power TX2-INV-12]], "&gt;0"), 0)</f>
        <v>8.3083333333333318</v>
      </c>
      <c r="AE42" s="67">
        <f>MAX(Tabella01MarzoInverter[[#This Row],[Active power TX2-INV-1]:[Active power TX2-INV-12]])</f>
        <v>9.1</v>
      </c>
      <c r="AF42" s="70">
        <f>MIN(Tabella01MarzoInverter[[#This Row],[Active power TX2-INV-1]:[Active power TX2-INV-12]])</f>
        <v>7.2</v>
      </c>
      <c r="AG42" s="71">
        <v>7.9</v>
      </c>
      <c r="AH42" s="67">
        <v>6.6</v>
      </c>
      <c r="AI42" s="67">
        <v>7.3</v>
      </c>
      <c r="AJ42" s="67">
        <v>7.2</v>
      </c>
      <c r="AK42" s="67">
        <v>7.3</v>
      </c>
      <c r="AL42" s="67">
        <v>9</v>
      </c>
      <c r="AM42" s="67">
        <v>8.6</v>
      </c>
      <c r="AN42" s="67">
        <v>7.6</v>
      </c>
      <c r="AO42" s="67">
        <v>7.1</v>
      </c>
      <c r="AP42" s="67">
        <v>6.7</v>
      </c>
      <c r="AQ42" s="67">
        <v>7.7</v>
      </c>
      <c r="AR42" s="68">
        <v>7.5</v>
      </c>
      <c r="AS42" s="69">
        <f>IFERROR(AVERAGEIF(Tabella01MarzoInverter[[#This Row],[Active power TX3-INV-1]:[Active power TX3-INV-12]], "&gt;0"), 0)</f>
        <v>7.541666666666667</v>
      </c>
      <c r="AT42" s="67">
        <f>MAX(Tabella01MarzoInverter[[#This Row],[Active power TX3-INV-1]:[Active power TX3-INV-12]])</f>
        <v>9</v>
      </c>
      <c r="AU42" s="70">
        <f>MIN(Tabella01MarzoInverter[[#This Row],[Active power TX3-INV-1]:[Active power TX3-INV-12]])</f>
        <v>6.6</v>
      </c>
    </row>
    <row r="43" spans="1:47" x14ac:dyDescent="0.25">
      <c r="A43" s="65">
        <v>46144</v>
      </c>
      <c r="B43" s="66" t="s">
        <v>43</v>
      </c>
      <c r="C43" s="67">
        <v>21.4</v>
      </c>
      <c r="D43" s="67">
        <v>21.3</v>
      </c>
      <c r="E43" s="67">
        <v>23</v>
      </c>
      <c r="F43" s="67">
        <v>22.7</v>
      </c>
      <c r="G43" s="67">
        <v>22.9</v>
      </c>
      <c r="H43" s="67">
        <v>21.5</v>
      </c>
      <c r="I43" s="67">
        <v>21.4</v>
      </c>
      <c r="J43" s="67">
        <v>21.1</v>
      </c>
      <c r="K43" s="67">
        <v>22.2</v>
      </c>
      <c r="L43" s="67">
        <v>22.3</v>
      </c>
      <c r="M43" s="67">
        <v>23.2</v>
      </c>
      <c r="N43" s="68">
        <v>22.9</v>
      </c>
      <c r="O43" s="69">
        <f>IFERROR(AVERAGEIF(Tabella01MarzoInverter[[#This Row],[Active power TX1-INV-1]:[Active power TX1-INV-12]], "&gt;0"), 0)</f>
        <v>22.158333333333331</v>
      </c>
      <c r="P43" s="67">
        <f>MAX(Tabella01MarzoInverter[[#This Row],[Active power TX1-INV-1]:[Active power TX1-INV-12]])</f>
        <v>23.2</v>
      </c>
      <c r="Q43" s="70">
        <f>MIN(Tabella01MarzoInverter[[#This Row],[Active power TX1-INV-1]:[Active power TX1-INV-12]])</f>
        <v>21.1</v>
      </c>
      <c r="R43" s="71">
        <v>20.399999999999999</v>
      </c>
      <c r="S43" s="67">
        <v>19.3</v>
      </c>
      <c r="T43" s="67">
        <v>20.8</v>
      </c>
      <c r="U43" s="67">
        <v>22</v>
      </c>
      <c r="V43" s="67">
        <v>21.5</v>
      </c>
      <c r="W43" s="67">
        <v>22.5</v>
      </c>
      <c r="X43" s="67">
        <v>23</v>
      </c>
      <c r="Y43" s="67">
        <v>23.5</v>
      </c>
      <c r="Z43" s="67">
        <v>24.3</v>
      </c>
      <c r="AA43" s="67">
        <v>22.4</v>
      </c>
      <c r="AB43" s="67">
        <v>24.3</v>
      </c>
      <c r="AC43" s="68">
        <v>24</v>
      </c>
      <c r="AD43" s="69">
        <f>IFERROR(AVERAGEIF(Tabella01MarzoInverter[[#This Row],[Active power TX2-INV-1]:[Active power TX2-INV-12]], "&gt;0"), 0)</f>
        <v>22.333333333333332</v>
      </c>
      <c r="AE43" s="67">
        <f>MAX(Tabella01MarzoInverter[[#This Row],[Active power TX2-INV-1]:[Active power TX2-INV-12]])</f>
        <v>24.3</v>
      </c>
      <c r="AF43" s="70">
        <f>MIN(Tabella01MarzoInverter[[#This Row],[Active power TX2-INV-1]:[Active power TX2-INV-12]])</f>
        <v>19.3</v>
      </c>
      <c r="AG43" s="71">
        <v>24.5</v>
      </c>
      <c r="AH43" s="67">
        <v>20.7</v>
      </c>
      <c r="AI43" s="67">
        <v>22.7</v>
      </c>
      <c r="AJ43" s="67">
        <v>24.3</v>
      </c>
      <c r="AK43" s="67">
        <v>23.9</v>
      </c>
      <c r="AL43" s="67">
        <v>26.4</v>
      </c>
      <c r="AM43" s="67">
        <v>25.7</v>
      </c>
      <c r="AN43" s="67">
        <v>25.4</v>
      </c>
      <c r="AO43" s="67">
        <v>23.8</v>
      </c>
      <c r="AP43" s="67">
        <v>20.6</v>
      </c>
      <c r="AQ43" s="67">
        <v>25</v>
      </c>
      <c r="AR43" s="68">
        <v>24.3</v>
      </c>
      <c r="AS43" s="69">
        <f>IFERROR(AVERAGEIF(Tabella01MarzoInverter[[#This Row],[Active power TX3-INV-1]:[Active power TX3-INV-12]], "&gt;0"), 0)</f>
        <v>23.941666666666666</v>
      </c>
      <c r="AT43" s="67">
        <f>MAX(Tabella01MarzoInverter[[#This Row],[Active power TX3-INV-1]:[Active power TX3-INV-12]])</f>
        <v>26.4</v>
      </c>
      <c r="AU43" s="70">
        <f>MIN(Tabella01MarzoInverter[[#This Row],[Active power TX3-INV-1]:[Active power TX3-INV-12]])</f>
        <v>20.6</v>
      </c>
    </row>
    <row r="44" spans="1:47" x14ac:dyDescent="0.25">
      <c r="A44" s="65">
        <v>46144</v>
      </c>
      <c r="B44" s="72" t="s">
        <v>44</v>
      </c>
      <c r="C44" s="67">
        <v>46.4</v>
      </c>
      <c r="D44" s="67">
        <v>46.3</v>
      </c>
      <c r="E44" s="67">
        <v>49</v>
      </c>
      <c r="F44" s="67">
        <v>47.9</v>
      </c>
      <c r="G44" s="67">
        <v>48.3</v>
      </c>
      <c r="H44" s="67">
        <v>46.3</v>
      </c>
      <c r="I44" s="67">
        <v>45.4</v>
      </c>
      <c r="J44" s="67">
        <v>46.7</v>
      </c>
      <c r="K44" s="67">
        <v>47.8</v>
      </c>
      <c r="L44" s="67">
        <v>47.7</v>
      </c>
      <c r="M44" s="67">
        <v>49.7</v>
      </c>
      <c r="N44" s="68">
        <v>48.5</v>
      </c>
      <c r="O44" s="69">
        <f>IFERROR(AVERAGEIF(Tabella01MarzoInverter[[#This Row],[Active power TX1-INV-1]:[Active power TX1-INV-12]], "&gt;0"), 0)</f>
        <v>47.5</v>
      </c>
      <c r="P44" s="67">
        <f>MAX(Tabella01MarzoInverter[[#This Row],[Active power TX1-INV-1]:[Active power TX1-INV-12]])</f>
        <v>49.7</v>
      </c>
      <c r="Q44" s="70">
        <f>MIN(Tabella01MarzoInverter[[#This Row],[Active power TX1-INV-1]:[Active power TX1-INV-12]])</f>
        <v>45.4</v>
      </c>
      <c r="R44" s="71">
        <v>43.6</v>
      </c>
      <c r="S44" s="67">
        <v>42</v>
      </c>
      <c r="T44" s="67">
        <v>44.2</v>
      </c>
      <c r="U44" s="67">
        <v>46.3</v>
      </c>
      <c r="V44" s="67">
        <v>45.7</v>
      </c>
      <c r="W44" s="67">
        <v>48.1</v>
      </c>
      <c r="X44" s="67">
        <v>48.2</v>
      </c>
      <c r="Y44" s="67">
        <v>49.4</v>
      </c>
      <c r="Z44" s="67">
        <v>51.3</v>
      </c>
      <c r="AA44" s="67">
        <v>47.9</v>
      </c>
      <c r="AB44" s="67">
        <v>51.3</v>
      </c>
      <c r="AC44" s="68">
        <v>50.3</v>
      </c>
      <c r="AD44" s="69">
        <f>IFERROR(AVERAGEIF(Tabella01MarzoInverter[[#This Row],[Active power TX2-INV-1]:[Active power TX2-INV-12]], "&gt;0"), 0)</f>
        <v>47.358333333333327</v>
      </c>
      <c r="AE44" s="67">
        <f>MAX(Tabella01MarzoInverter[[#This Row],[Active power TX2-INV-1]:[Active power TX2-INV-12]])</f>
        <v>51.3</v>
      </c>
      <c r="AF44" s="70">
        <f>MIN(Tabella01MarzoInverter[[#This Row],[Active power TX2-INV-1]:[Active power TX2-INV-12]])</f>
        <v>42</v>
      </c>
      <c r="AG44" s="71">
        <v>51.3</v>
      </c>
      <c r="AH44" s="67">
        <v>46.3</v>
      </c>
      <c r="AI44" s="67">
        <v>48.9</v>
      </c>
      <c r="AJ44" s="67">
        <v>51.6</v>
      </c>
      <c r="AK44" s="67">
        <v>51.6</v>
      </c>
      <c r="AL44" s="67">
        <v>54.2</v>
      </c>
      <c r="AM44" s="67">
        <v>52.9</v>
      </c>
      <c r="AN44" s="67">
        <v>52.4</v>
      </c>
      <c r="AO44" s="67">
        <v>50.2</v>
      </c>
      <c r="AP44" s="67">
        <v>47.1</v>
      </c>
      <c r="AQ44" s="67">
        <v>52.8</v>
      </c>
      <c r="AR44" s="68">
        <v>49.1</v>
      </c>
      <c r="AS44" s="69">
        <f>IFERROR(AVERAGEIF(Tabella01MarzoInverter[[#This Row],[Active power TX3-INV-1]:[Active power TX3-INV-12]], "&gt;0"), 0)</f>
        <v>50.699999999999996</v>
      </c>
      <c r="AT44" s="67">
        <f>MAX(Tabella01MarzoInverter[[#This Row],[Active power TX3-INV-1]:[Active power TX3-INV-12]])</f>
        <v>54.2</v>
      </c>
      <c r="AU44" s="70">
        <f>MIN(Tabella01MarzoInverter[[#This Row],[Active power TX3-INV-1]:[Active power TX3-INV-12]])</f>
        <v>46.3</v>
      </c>
    </row>
    <row r="45" spans="1:47" x14ac:dyDescent="0.25">
      <c r="A45" s="65">
        <v>46144</v>
      </c>
      <c r="B45" s="66" t="s">
        <v>45</v>
      </c>
      <c r="C45" s="67">
        <v>78.099999999999994</v>
      </c>
      <c r="D45" s="67">
        <v>77.8</v>
      </c>
      <c r="E45" s="67">
        <v>80.400000000000006</v>
      </c>
      <c r="F45" s="67">
        <v>79</v>
      </c>
      <c r="G45" s="67">
        <v>79.3</v>
      </c>
      <c r="H45" s="67">
        <v>77.3</v>
      </c>
      <c r="I45" s="67">
        <v>76.3</v>
      </c>
      <c r="J45" s="67">
        <v>80</v>
      </c>
      <c r="K45" s="67">
        <v>80.5</v>
      </c>
      <c r="L45" s="67">
        <v>80.2</v>
      </c>
      <c r="M45" s="67">
        <v>82.3</v>
      </c>
      <c r="N45" s="68">
        <v>80.7</v>
      </c>
      <c r="O45" s="69">
        <f>IFERROR(AVERAGEIF(Tabella01MarzoInverter[[#This Row],[Active power TX1-INV-1]:[Active power TX1-INV-12]], "&gt;0"), 0)</f>
        <v>79.325000000000003</v>
      </c>
      <c r="P45" s="67">
        <f>MAX(Tabella01MarzoInverter[[#This Row],[Active power TX1-INV-1]:[Active power TX1-INV-12]])</f>
        <v>82.3</v>
      </c>
      <c r="Q45" s="70">
        <f>MIN(Tabella01MarzoInverter[[#This Row],[Active power TX1-INV-1]:[Active power TX1-INV-12]])</f>
        <v>76.3</v>
      </c>
      <c r="R45" s="71">
        <v>73.400000000000006</v>
      </c>
      <c r="S45" s="67">
        <v>72.400000000000006</v>
      </c>
      <c r="T45" s="67">
        <v>74.7</v>
      </c>
      <c r="U45" s="67">
        <v>76.2</v>
      </c>
      <c r="V45" s="67">
        <v>75.599999999999994</v>
      </c>
      <c r="W45" s="67">
        <v>80.099999999999994</v>
      </c>
      <c r="X45" s="67">
        <v>79.3</v>
      </c>
      <c r="Y45" s="67">
        <v>81.599999999999994</v>
      </c>
      <c r="Z45" s="67">
        <v>83.8</v>
      </c>
      <c r="AA45" s="67">
        <v>78.900000000000006</v>
      </c>
      <c r="AB45" s="67">
        <v>84</v>
      </c>
      <c r="AC45" s="68">
        <v>82</v>
      </c>
      <c r="AD45" s="69">
        <f>IFERROR(AVERAGEIF(Tabella01MarzoInverter[[#This Row],[Active power TX2-INV-1]:[Active power TX2-INV-12]], "&gt;0"), 0)</f>
        <v>78.499999999999986</v>
      </c>
      <c r="AE45" s="67">
        <f>MAX(Tabella01MarzoInverter[[#This Row],[Active power TX2-INV-1]:[Active power TX2-INV-12]])</f>
        <v>84</v>
      </c>
      <c r="AF45" s="70">
        <f>MIN(Tabella01MarzoInverter[[#This Row],[Active power TX2-INV-1]:[Active power TX2-INV-12]])</f>
        <v>72.400000000000006</v>
      </c>
      <c r="AG45" s="71">
        <v>85</v>
      </c>
      <c r="AH45" s="67">
        <v>79.3</v>
      </c>
      <c r="AI45" s="67">
        <v>82.6</v>
      </c>
      <c r="AJ45" s="67">
        <v>85.8</v>
      </c>
      <c r="AK45" s="67">
        <v>84.7</v>
      </c>
      <c r="AL45" s="67">
        <v>88.2</v>
      </c>
      <c r="AM45" s="67">
        <v>86.1</v>
      </c>
      <c r="AN45" s="67">
        <v>85.3</v>
      </c>
      <c r="AO45" s="67">
        <v>83.3</v>
      </c>
      <c r="AP45" s="67">
        <v>79.900000000000006</v>
      </c>
      <c r="AQ45" s="67">
        <v>86.3</v>
      </c>
      <c r="AR45" s="68">
        <v>80</v>
      </c>
      <c r="AS45" s="69">
        <f>IFERROR(AVERAGEIF(Tabella01MarzoInverter[[#This Row],[Active power TX3-INV-1]:[Active power TX3-INV-12]], "&gt;0"), 0)</f>
        <v>83.874999999999986</v>
      </c>
      <c r="AT45" s="67">
        <f>MAX(Tabella01MarzoInverter[[#This Row],[Active power TX3-INV-1]:[Active power TX3-INV-12]])</f>
        <v>88.2</v>
      </c>
      <c r="AU45" s="70">
        <f>MIN(Tabella01MarzoInverter[[#This Row],[Active power TX3-INV-1]:[Active power TX3-INV-12]])</f>
        <v>79.3</v>
      </c>
    </row>
    <row r="46" spans="1:47" x14ac:dyDescent="0.25">
      <c r="A46" s="65">
        <v>46144</v>
      </c>
      <c r="B46" s="72" t="s">
        <v>46</v>
      </c>
      <c r="C46" s="67">
        <v>111.5</v>
      </c>
      <c r="D46" s="67">
        <v>110.9</v>
      </c>
      <c r="E46" s="67">
        <v>113.5</v>
      </c>
      <c r="F46" s="67">
        <v>112.5</v>
      </c>
      <c r="G46" s="67">
        <v>112.6</v>
      </c>
      <c r="H46" s="67">
        <v>106.4</v>
      </c>
      <c r="I46" s="67">
        <v>109.8</v>
      </c>
      <c r="J46" s="67">
        <v>115.3</v>
      </c>
      <c r="K46" s="67">
        <v>115.2</v>
      </c>
      <c r="L46" s="67">
        <v>114.4</v>
      </c>
      <c r="M46" s="67">
        <v>116.9</v>
      </c>
      <c r="N46" s="68">
        <v>114.3</v>
      </c>
      <c r="O46" s="69">
        <f>IFERROR(AVERAGEIF(Tabella01MarzoInverter[[#This Row],[Active power TX1-INV-1]:[Active power TX1-INV-12]], "&gt;0"), 0)</f>
        <v>112.77499999999999</v>
      </c>
      <c r="P46" s="67">
        <f>MAX(Tabella01MarzoInverter[[#This Row],[Active power TX1-INV-1]:[Active power TX1-INV-12]])</f>
        <v>116.9</v>
      </c>
      <c r="Q46" s="70">
        <f>MIN(Tabella01MarzoInverter[[#This Row],[Active power TX1-INV-1]:[Active power TX1-INV-12]])</f>
        <v>106.4</v>
      </c>
      <c r="R46" s="71">
        <v>105.7</v>
      </c>
      <c r="S46" s="67">
        <v>106.1</v>
      </c>
      <c r="T46" s="67">
        <v>108.1</v>
      </c>
      <c r="U46" s="67">
        <v>108.3</v>
      </c>
      <c r="V46" s="67">
        <v>108.1</v>
      </c>
      <c r="W46" s="67">
        <v>115.5</v>
      </c>
      <c r="X46" s="67">
        <v>112.9</v>
      </c>
      <c r="Y46" s="67">
        <v>116.1</v>
      </c>
      <c r="Z46" s="67">
        <v>118.2</v>
      </c>
      <c r="AA46" s="67">
        <v>111.9</v>
      </c>
      <c r="AB46" s="67">
        <v>118.4</v>
      </c>
      <c r="AC46" s="68">
        <v>115.6</v>
      </c>
      <c r="AD46" s="69">
        <f>IFERROR(AVERAGEIF(Tabella01MarzoInverter[[#This Row],[Active power TX2-INV-1]:[Active power TX2-INV-12]], "&gt;0"), 0)</f>
        <v>112.075</v>
      </c>
      <c r="AE46" s="67">
        <f>MAX(Tabella01MarzoInverter[[#This Row],[Active power TX2-INV-1]:[Active power TX2-INV-12]])</f>
        <v>118.4</v>
      </c>
      <c r="AF46" s="70">
        <f>MIN(Tabella01MarzoInverter[[#This Row],[Active power TX2-INV-1]:[Active power TX2-INV-12]])</f>
        <v>105.7</v>
      </c>
      <c r="AG46" s="71">
        <v>119.8</v>
      </c>
      <c r="AH46" s="67">
        <v>114.2</v>
      </c>
      <c r="AI46" s="67">
        <v>117.6</v>
      </c>
      <c r="AJ46" s="67">
        <v>121</v>
      </c>
      <c r="AK46" s="67">
        <v>120.1</v>
      </c>
      <c r="AL46" s="67">
        <v>123.6</v>
      </c>
      <c r="AM46" s="67">
        <v>121.3</v>
      </c>
      <c r="AN46" s="67">
        <v>120</v>
      </c>
      <c r="AO46" s="67">
        <v>117.9</v>
      </c>
      <c r="AP46" s="67">
        <v>114.2</v>
      </c>
      <c r="AQ46" s="67">
        <v>121.8</v>
      </c>
      <c r="AR46" s="68">
        <v>112.2</v>
      </c>
      <c r="AS46" s="69">
        <f>IFERROR(AVERAGEIF(Tabella01MarzoInverter[[#This Row],[Active power TX3-INV-1]:[Active power TX3-INV-12]], "&gt;0"), 0)</f>
        <v>118.64166666666667</v>
      </c>
      <c r="AT46" s="67">
        <f>MAX(Tabella01MarzoInverter[[#This Row],[Active power TX3-INV-1]:[Active power TX3-INV-12]])</f>
        <v>123.6</v>
      </c>
      <c r="AU46" s="70">
        <f>MIN(Tabella01MarzoInverter[[#This Row],[Active power TX3-INV-1]:[Active power TX3-INV-12]])</f>
        <v>112.2</v>
      </c>
    </row>
    <row r="47" spans="1:47" x14ac:dyDescent="0.25">
      <c r="A47" s="65">
        <v>46144</v>
      </c>
      <c r="B47" s="66" t="s">
        <v>47</v>
      </c>
      <c r="C47" s="67">
        <v>146.30000000000001</v>
      </c>
      <c r="D47" s="67">
        <v>145.30000000000001</v>
      </c>
      <c r="E47" s="67">
        <v>148.19999999999999</v>
      </c>
      <c r="F47" s="67">
        <v>147.80000000000001</v>
      </c>
      <c r="G47" s="67">
        <v>147.80000000000001</v>
      </c>
      <c r="H47" s="67">
        <v>145.69999999999999</v>
      </c>
      <c r="I47" s="67">
        <v>145.30000000000001</v>
      </c>
      <c r="J47" s="67">
        <v>152.80000000000001</v>
      </c>
      <c r="K47" s="67">
        <v>151.6</v>
      </c>
      <c r="L47" s="67">
        <v>150.30000000000001</v>
      </c>
      <c r="M47" s="67">
        <v>153</v>
      </c>
      <c r="N47" s="68">
        <v>149.5</v>
      </c>
      <c r="O47" s="69">
        <f>IFERROR(AVERAGEIF(Tabella01MarzoInverter[[#This Row],[Active power TX1-INV-1]:[Active power TX1-INV-12]], "&gt;0"), 0)</f>
        <v>148.63333333333333</v>
      </c>
      <c r="P47" s="67">
        <f>MAX(Tabella01MarzoInverter[[#This Row],[Active power TX1-INV-1]:[Active power TX1-INV-12]])</f>
        <v>153</v>
      </c>
      <c r="Q47" s="70">
        <f>MIN(Tabella01MarzoInverter[[#This Row],[Active power TX1-INV-1]:[Active power TX1-INV-12]])</f>
        <v>145.30000000000001</v>
      </c>
      <c r="R47" s="71">
        <v>139.69999999999999</v>
      </c>
      <c r="S47" s="67">
        <v>141.80000000000001</v>
      </c>
      <c r="T47" s="67">
        <v>137.80000000000001</v>
      </c>
      <c r="U47" s="67">
        <v>141.9</v>
      </c>
      <c r="V47" s="67">
        <v>142.19999999999999</v>
      </c>
      <c r="W47" s="67">
        <v>152.69999999999999</v>
      </c>
      <c r="X47" s="67">
        <v>142.5</v>
      </c>
      <c r="Y47" s="67">
        <v>152.5</v>
      </c>
      <c r="Z47" s="67">
        <v>153.9</v>
      </c>
      <c r="AA47" s="67">
        <v>146.4</v>
      </c>
      <c r="AB47" s="67">
        <v>154.4</v>
      </c>
      <c r="AC47" s="68">
        <v>150.69999999999999</v>
      </c>
      <c r="AD47" s="69">
        <f>IFERROR(AVERAGEIF(Tabella01MarzoInverter[[#This Row],[Active power TX2-INV-1]:[Active power TX2-INV-12]], "&gt;0"), 0)</f>
        <v>146.37500000000003</v>
      </c>
      <c r="AE47" s="67">
        <f>MAX(Tabella01MarzoInverter[[#This Row],[Active power TX2-INV-1]:[Active power TX2-INV-12]])</f>
        <v>154.4</v>
      </c>
      <c r="AF47" s="70">
        <f>MIN(Tabella01MarzoInverter[[#This Row],[Active power TX2-INV-1]:[Active power TX2-INV-12]])</f>
        <v>137.80000000000001</v>
      </c>
      <c r="AG47" s="71">
        <v>155.5</v>
      </c>
      <c r="AH47" s="67">
        <v>150.6</v>
      </c>
      <c r="AI47" s="67">
        <v>154.1</v>
      </c>
      <c r="AJ47" s="67">
        <v>157.69999999999999</v>
      </c>
      <c r="AK47" s="67">
        <v>156.80000000000001</v>
      </c>
      <c r="AL47" s="67">
        <v>159.9</v>
      </c>
      <c r="AM47" s="67">
        <v>158.69999999999999</v>
      </c>
      <c r="AN47" s="67">
        <v>155.80000000000001</v>
      </c>
      <c r="AO47" s="67">
        <v>154.1</v>
      </c>
      <c r="AP47" s="67">
        <v>150.5</v>
      </c>
      <c r="AQ47" s="67">
        <v>158.19999999999999</v>
      </c>
      <c r="AR47" s="68">
        <v>145.1</v>
      </c>
      <c r="AS47" s="69">
        <f>IFERROR(AVERAGEIF(Tabella01MarzoInverter[[#This Row],[Active power TX3-INV-1]:[Active power TX3-INV-12]], "&gt;0"), 0)</f>
        <v>154.74999999999997</v>
      </c>
      <c r="AT47" s="67">
        <f>MAX(Tabella01MarzoInverter[[#This Row],[Active power TX3-INV-1]:[Active power TX3-INV-12]])</f>
        <v>159.9</v>
      </c>
      <c r="AU47" s="70">
        <f>MIN(Tabella01MarzoInverter[[#This Row],[Active power TX3-INV-1]:[Active power TX3-INV-12]])</f>
        <v>145.1</v>
      </c>
    </row>
    <row r="48" spans="1:47" x14ac:dyDescent="0.25">
      <c r="A48" s="65">
        <v>46144</v>
      </c>
      <c r="B48" s="72" t="s">
        <v>48</v>
      </c>
      <c r="C48" s="67">
        <v>180.3</v>
      </c>
      <c r="D48" s="67">
        <v>179.1</v>
      </c>
      <c r="E48" s="67">
        <v>181.9</v>
      </c>
      <c r="F48" s="67">
        <v>182.1</v>
      </c>
      <c r="G48" s="67">
        <v>182.2</v>
      </c>
      <c r="H48" s="67">
        <v>180.3</v>
      </c>
      <c r="I48" s="67">
        <v>180.1</v>
      </c>
      <c r="J48" s="67">
        <v>189.5</v>
      </c>
      <c r="K48" s="67">
        <v>187.3</v>
      </c>
      <c r="L48" s="67">
        <v>180.3</v>
      </c>
      <c r="M48" s="67">
        <v>188.3</v>
      </c>
      <c r="N48" s="68">
        <v>183.9</v>
      </c>
      <c r="O48" s="69">
        <f>IFERROR(AVERAGEIF(Tabella01MarzoInverter[[#This Row],[Active power TX1-INV-1]:[Active power TX1-INV-12]], "&gt;0"), 0)</f>
        <v>182.94166666666663</v>
      </c>
      <c r="P48" s="67">
        <f>MAX(Tabella01MarzoInverter[[#This Row],[Active power TX1-INV-1]:[Active power TX1-INV-12]])</f>
        <v>189.5</v>
      </c>
      <c r="Q48" s="70">
        <f>MIN(Tabella01MarzoInverter[[#This Row],[Active power TX1-INV-1]:[Active power TX1-INV-12]])</f>
        <v>179.1</v>
      </c>
      <c r="R48" s="71">
        <v>172.6</v>
      </c>
      <c r="S48" s="67">
        <v>176.6</v>
      </c>
      <c r="T48" s="67">
        <v>177.5</v>
      </c>
      <c r="U48" s="67">
        <v>168.4</v>
      </c>
      <c r="V48" s="67">
        <v>175.2</v>
      </c>
      <c r="W48" s="67">
        <v>188.8</v>
      </c>
      <c r="X48" s="67">
        <v>182.2</v>
      </c>
      <c r="Y48" s="67">
        <v>187.9</v>
      </c>
      <c r="Z48" s="67">
        <v>188.6</v>
      </c>
      <c r="AA48" s="67">
        <v>180</v>
      </c>
      <c r="AB48" s="67">
        <v>189.3</v>
      </c>
      <c r="AC48" s="68">
        <v>185.5</v>
      </c>
      <c r="AD48" s="69">
        <f>IFERROR(AVERAGEIF(Tabella01MarzoInverter[[#This Row],[Active power TX2-INV-1]:[Active power TX2-INV-12]], "&gt;0"), 0)</f>
        <v>181.04999999999998</v>
      </c>
      <c r="AE48" s="67">
        <f>MAX(Tabella01MarzoInverter[[#This Row],[Active power TX2-INV-1]:[Active power TX2-INV-12]])</f>
        <v>189.3</v>
      </c>
      <c r="AF48" s="70">
        <f>MIN(Tabella01MarzoInverter[[#This Row],[Active power TX2-INV-1]:[Active power TX2-INV-12]])</f>
        <v>168.4</v>
      </c>
      <c r="AG48" s="71">
        <v>191.2</v>
      </c>
      <c r="AH48" s="67">
        <v>187.2</v>
      </c>
      <c r="AI48" s="67">
        <v>190.7</v>
      </c>
      <c r="AJ48" s="67">
        <v>194.4</v>
      </c>
      <c r="AK48" s="67">
        <v>193.6</v>
      </c>
      <c r="AL48" s="67">
        <v>196.1</v>
      </c>
      <c r="AM48" s="67">
        <v>195.8</v>
      </c>
      <c r="AN48" s="67">
        <v>191.4</v>
      </c>
      <c r="AO48" s="67">
        <v>190.3</v>
      </c>
      <c r="AP48" s="67">
        <v>187.1</v>
      </c>
      <c r="AQ48" s="67">
        <v>194.3</v>
      </c>
      <c r="AR48" s="68">
        <v>177.7</v>
      </c>
      <c r="AS48" s="69">
        <f>IFERROR(AVERAGEIF(Tabella01MarzoInverter[[#This Row],[Active power TX3-INV-1]:[Active power TX3-INV-12]], "&gt;0"), 0)</f>
        <v>190.81666666666663</v>
      </c>
      <c r="AT48" s="67">
        <f>MAX(Tabella01MarzoInverter[[#This Row],[Active power TX3-INV-1]:[Active power TX3-INV-12]])</f>
        <v>196.1</v>
      </c>
      <c r="AU48" s="70">
        <f>MIN(Tabella01MarzoInverter[[#This Row],[Active power TX3-INV-1]:[Active power TX3-INV-12]])</f>
        <v>177.7</v>
      </c>
    </row>
    <row r="49" spans="1:47" x14ac:dyDescent="0.25">
      <c r="A49" s="65">
        <v>46144</v>
      </c>
      <c r="B49" s="66" t="s">
        <v>49</v>
      </c>
      <c r="C49" s="67">
        <v>214.4</v>
      </c>
      <c r="D49" s="67">
        <v>212.9</v>
      </c>
      <c r="E49" s="67">
        <v>215.5</v>
      </c>
      <c r="F49" s="67">
        <v>215.9</v>
      </c>
      <c r="G49" s="67">
        <v>215.7</v>
      </c>
      <c r="H49" s="67">
        <v>213.9</v>
      </c>
      <c r="I49" s="67">
        <v>214.7</v>
      </c>
      <c r="J49" s="67">
        <v>225.8</v>
      </c>
      <c r="K49" s="67">
        <v>222.6</v>
      </c>
      <c r="L49" s="67">
        <v>221.1</v>
      </c>
      <c r="M49" s="67">
        <v>223</v>
      </c>
      <c r="N49" s="68">
        <v>209.5</v>
      </c>
      <c r="O49" s="69">
        <f>IFERROR(AVERAGEIF(Tabella01MarzoInverter[[#This Row],[Active power TX1-INV-1]:[Active power TX1-INV-12]], "&gt;0"), 0)</f>
        <v>217.08333333333334</v>
      </c>
      <c r="P49" s="67">
        <f>MAX(Tabella01MarzoInverter[[#This Row],[Active power TX1-INV-1]:[Active power TX1-INV-12]])</f>
        <v>225.8</v>
      </c>
      <c r="Q49" s="70">
        <f>MIN(Tabella01MarzoInverter[[#This Row],[Active power TX1-INV-1]:[Active power TX1-INV-12]])</f>
        <v>209.5</v>
      </c>
      <c r="R49" s="71">
        <v>204.8</v>
      </c>
      <c r="S49" s="67">
        <v>210.9</v>
      </c>
      <c r="T49" s="67">
        <v>211.4</v>
      </c>
      <c r="U49" s="67">
        <v>206.4</v>
      </c>
      <c r="V49" s="67">
        <v>207.3</v>
      </c>
      <c r="W49" s="67">
        <v>226</v>
      </c>
      <c r="X49" s="67">
        <v>208.4</v>
      </c>
      <c r="Y49" s="67">
        <v>222.6</v>
      </c>
      <c r="Z49" s="67">
        <v>223</v>
      </c>
      <c r="AA49" s="67">
        <v>213</v>
      </c>
      <c r="AB49" s="67">
        <v>223.5</v>
      </c>
      <c r="AC49" s="68">
        <v>219.3</v>
      </c>
      <c r="AD49" s="69">
        <f>IFERROR(AVERAGEIF(Tabella01MarzoInverter[[#This Row],[Active power TX2-INV-1]:[Active power TX2-INV-12]], "&gt;0"), 0)</f>
        <v>214.7166666666667</v>
      </c>
      <c r="AE49" s="67">
        <f>MAX(Tabella01MarzoInverter[[#This Row],[Active power TX2-INV-1]:[Active power TX2-INV-12]])</f>
        <v>226</v>
      </c>
      <c r="AF49" s="70">
        <f>MIN(Tabella01MarzoInverter[[#This Row],[Active power TX2-INV-1]:[Active power TX2-INV-12]])</f>
        <v>204.8</v>
      </c>
      <c r="AG49" s="71">
        <v>226.2</v>
      </c>
      <c r="AH49" s="67">
        <v>223.9</v>
      </c>
      <c r="AI49" s="67">
        <v>226.7</v>
      </c>
      <c r="AJ49" s="67">
        <v>230.4</v>
      </c>
      <c r="AK49" s="67">
        <v>222.2</v>
      </c>
      <c r="AL49" s="67">
        <v>231.7</v>
      </c>
      <c r="AM49" s="67">
        <v>232.3</v>
      </c>
      <c r="AN49" s="67">
        <v>226.5</v>
      </c>
      <c r="AO49" s="67">
        <v>226</v>
      </c>
      <c r="AP49" s="67">
        <v>223.5</v>
      </c>
      <c r="AQ49" s="67">
        <v>230.1</v>
      </c>
      <c r="AR49" s="68">
        <v>210.5</v>
      </c>
      <c r="AS49" s="69">
        <f>IFERROR(AVERAGEIF(Tabella01MarzoInverter[[#This Row],[Active power TX3-INV-1]:[Active power TX3-INV-12]], "&gt;0"), 0)</f>
        <v>225.83333333333329</v>
      </c>
      <c r="AT49" s="67">
        <f>MAX(Tabella01MarzoInverter[[#This Row],[Active power TX3-INV-1]:[Active power TX3-INV-12]])</f>
        <v>232.3</v>
      </c>
      <c r="AU49" s="70">
        <f>MIN(Tabella01MarzoInverter[[#This Row],[Active power TX3-INV-1]:[Active power TX3-INV-12]])</f>
        <v>210.5</v>
      </c>
    </row>
    <row r="50" spans="1:47" x14ac:dyDescent="0.25">
      <c r="A50" s="65">
        <v>46144</v>
      </c>
      <c r="B50" s="72" t="s">
        <v>50</v>
      </c>
      <c r="C50" s="67">
        <v>245.7</v>
      </c>
      <c r="D50" s="67">
        <v>243.8</v>
      </c>
      <c r="E50" s="67">
        <v>246.4</v>
      </c>
      <c r="F50" s="67">
        <v>247</v>
      </c>
      <c r="G50" s="67">
        <v>246.4</v>
      </c>
      <c r="H50" s="67">
        <v>245</v>
      </c>
      <c r="I50" s="67">
        <v>246.1</v>
      </c>
      <c r="J50" s="67">
        <v>259.10000000000002</v>
      </c>
      <c r="K50" s="67">
        <v>255.3</v>
      </c>
      <c r="L50" s="67">
        <v>253.8</v>
      </c>
      <c r="M50" s="67">
        <v>254.9</v>
      </c>
      <c r="N50" s="68">
        <v>248.7</v>
      </c>
      <c r="O50" s="69">
        <f>IFERROR(AVERAGEIF(Tabella01MarzoInverter[[#This Row],[Active power TX1-INV-1]:[Active power TX1-INV-12]], "&gt;0"), 0)</f>
        <v>249.35000000000002</v>
      </c>
      <c r="P50" s="67">
        <f>MAX(Tabella01MarzoInverter[[#This Row],[Active power TX1-INV-1]:[Active power TX1-INV-12]])</f>
        <v>259.10000000000002</v>
      </c>
      <c r="Q50" s="70">
        <f>MIN(Tabella01MarzoInverter[[#This Row],[Active power TX1-INV-1]:[Active power TX1-INV-12]])</f>
        <v>243.8</v>
      </c>
      <c r="R50" s="71">
        <v>226</v>
      </c>
      <c r="S50" s="67">
        <v>242.4</v>
      </c>
      <c r="T50" s="67">
        <v>242</v>
      </c>
      <c r="U50" s="67">
        <v>226.5</v>
      </c>
      <c r="V50" s="67">
        <v>236.7</v>
      </c>
      <c r="W50" s="67">
        <v>257.7</v>
      </c>
      <c r="X50" s="67">
        <v>245.7</v>
      </c>
      <c r="Y50" s="67">
        <v>253.8</v>
      </c>
      <c r="Z50" s="67">
        <v>253.8</v>
      </c>
      <c r="AA50" s="67">
        <v>243</v>
      </c>
      <c r="AB50" s="67">
        <v>254.6</v>
      </c>
      <c r="AC50" s="68">
        <v>250.2</v>
      </c>
      <c r="AD50" s="69">
        <f>IFERROR(AVERAGEIF(Tabella01MarzoInverter[[#This Row],[Active power TX2-INV-1]:[Active power TX2-INV-12]], "&gt;0"), 0)</f>
        <v>244.36666666666665</v>
      </c>
      <c r="AE50" s="67">
        <f>MAX(Tabella01MarzoInverter[[#This Row],[Active power TX2-INV-1]:[Active power TX2-INV-12]])</f>
        <v>257.7</v>
      </c>
      <c r="AF50" s="70">
        <f>MIN(Tabella01MarzoInverter[[#This Row],[Active power TX2-INV-1]:[Active power TX2-INV-12]])</f>
        <v>226</v>
      </c>
      <c r="AG50" s="71">
        <v>258.3</v>
      </c>
      <c r="AH50" s="67">
        <v>257.5</v>
      </c>
      <c r="AI50" s="67">
        <v>249.8</v>
      </c>
      <c r="AJ50" s="67">
        <v>253.7</v>
      </c>
      <c r="AK50" s="67">
        <v>263</v>
      </c>
      <c r="AL50" s="67">
        <v>263.89999999999998</v>
      </c>
      <c r="AM50" s="67">
        <v>256.89999999999998</v>
      </c>
      <c r="AN50" s="67">
        <v>258.2</v>
      </c>
      <c r="AO50" s="67">
        <v>258.7</v>
      </c>
      <c r="AP50" s="67">
        <v>257.2</v>
      </c>
      <c r="AQ50" s="67">
        <v>262.3</v>
      </c>
      <c r="AR50" s="68">
        <v>240</v>
      </c>
      <c r="AS50" s="69">
        <f>IFERROR(AVERAGEIF(Tabella01MarzoInverter[[#This Row],[Active power TX3-INV-1]:[Active power TX3-INV-12]], "&gt;0"), 0)</f>
        <v>256.62499999999994</v>
      </c>
      <c r="AT50" s="67">
        <f>MAX(Tabella01MarzoInverter[[#This Row],[Active power TX3-INV-1]:[Active power TX3-INV-12]])</f>
        <v>263.89999999999998</v>
      </c>
      <c r="AU50" s="70">
        <f>MIN(Tabella01MarzoInverter[[#This Row],[Active power TX3-INV-1]:[Active power TX3-INV-12]])</f>
        <v>240</v>
      </c>
    </row>
    <row r="51" spans="1:47" x14ac:dyDescent="0.25">
      <c r="A51" s="65">
        <v>46144</v>
      </c>
      <c r="B51" s="66" t="s">
        <v>51</v>
      </c>
      <c r="C51" s="67">
        <v>275.2</v>
      </c>
      <c r="D51" s="67">
        <v>273.60000000000002</v>
      </c>
      <c r="E51" s="67">
        <v>275.39999999999998</v>
      </c>
      <c r="F51" s="67">
        <v>275.89999999999998</v>
      </c>
      <c r="G51" s="67">
        <v>275.3</v>
      </c>
      <c r="H51" s="67">
        <v>274.60000000000002</v>
      </c>
      <c r="I51" s="67">
        <v>275.7</v>
      </c>
      <c r="J51" s="67">
        <v>281.2</v>
      </c>
      <c r="K51" s="67">
        <v>280.39999999999998</v>
      </c>
      <c r="L51" s="67">
        <v>279.5</v>
      </c>
      <c r="M51" s="67">
        <v>279.89999999999998</v>
      </c>
      <c r="N51" s="68">
        <v>276.60000000000002</v>
      </c>
      <c r="O51" s="69">
        <f>IFERROR(AVERAGEIF(Tabella01MarzoInverter[[#This Row],[Active power TX1-INV-1]:[Active power TX1-INV-12]], "&gt;0"), 0)</f>
        <v>276.94166666666666</v>
      </c>
      <c r="P51" s="67">
        <f>MAX(Tabella01MarzoInverter[[#This Row],[Active power TX1-INV-1]:[Active power TX1-INV-12]])</f>
        <v>281.2</v>
      </c>
      <c r="Q51" s="70">
        <f>MIN(Tabella01MarzoInverter[[#This Row],[Active power TX1-INV-1]:[Active power TX1-INV-12]])</f>
        <v>273.60000000000002</v>
      </c>
      <c r="R51" s="71">
        <v>264.7</v>
      </c>
      <c r="S51" s="67">
        <v>273.60000000000002</v>
      </c>
      <c r="T51" s="67">
        <v>272.60000000000002</v>
      </c>
      <c r="U51" s="67">
        <v>265.39999999999998</v>
      </c>
      <c r="V51" s="67">
        <v>267.10000000000002</v>
      </c>
      <c r="W51" s="67">
        <v>280.3</v>
      </c>
      <c r="X51" s="67">
        <v>274.60000000000002</v>
      </c>
      <c r="Y51" s="67">
        <v>279.5</v>
      </c>
      <c r="Z51" s="67">
        <v>279.10000000000002</v>
      </c>
      <c r="AA51" s="67">
        <v>272.8</v>
      </c>
      <c r="AB51" s="67">
        <v>279.60000000000002</v>
      </c>
      <c r="AC51" s="68">
        <v>277.5</v>
      </c>
      <c r="AD51" s="69">
        <f>IFERROR(AVERAGEIF(Tabella01MarzoInverter[[#This Row],[Active power TX2-INV-1]:[Active power TX2-INV-12]], "&gt;0"), 0)</f>
        <v>273.90000000000003</v>
      </c>
      <c r="AE51" s="67">
        <f>MAX(Tabella01MarzoInverter[[#This Row],[Active power TX2-INV-1]:[Active power TX2-INV-12]])</f>
        <v>280.3</v>
      </c>
      <c r="AF51" s="70">
        <f>MIN(Tabella01MarzoInverter[[#This Row],[Active power TX2-INV-1]:[Active power TX2-INV-12]])</f>
        <v>264.7</v>
      </c>
      <c r="AG51" s="71">
        <v>280.8</v>
      </c>
      <c r="AH51" s="67">
        <v>280.2</v>
      </c>
      <c r="AI51" s="67">
        <v>281.10000000000002</v>
      </c>
      <c r="AJ51" s="67">
        <v>281.5</v>
      </c>
      <c r="AK51" s="67">
        <v>281.8</v>
      </c>
      <c r="AL51" s="67">
        <v>281.8</v>
      </c>
      <c r="AM51" s="67">
        <v>281.8</v>
      </c>
      <c r="AN51" s="67">
        <v>280.5</v>
      </c>
      <c r="AO51" s="67">
        <v>270.5</v>
      </c>
      <c r="AP51" s="67">
        <v>280.60000000000002</v>
      </c>
      <c r="AQ51" s="67">
        <v>271.10000000000002</v>
      </c>
      <c r="AR51" s="68">
        <v>270.8</v>
      </c>
      <c r="AS51" s="69">
        <f>IFERROR(AVERAGEIF(Tabella01MarzoInverter[[#This Row],[Active power TX3-INV-1]:[Active power TX3-INV-12]], "&gt;0"), 0)</f>
        <v>278.54166666666669</v>
      </c>
      <c r="AT51" s="67">
        <f>MAX(Tabella01MarzoInverter[[#This Row],[Active power TX3-INV-1]:[Active power TX3-INV-12]])</f>
        <v>281.8</v>
      </c>
      <c r="AU51" s="70">
        <f>MIN(Tabella01MarzoInverter[[#This Row],[Active power TX3-INV-1]:[Active power TX3-INV-12]])</f>
        <v>270.5</v>
      </c>
    </row>
    <row r="52" spans="1:47" x14ac:dyDescent="0.25">
      <c r="A52" s="65">
        <v>46144</v>
      </c>
      <c r="B52" s="72" t="s">
        <v>52</v>
      </c>
      <c r="C52" s="67">
        <v>281.60000000000002</v>
      </c>
      <c r="D52" s="67">
        <v>281.39999999999998</v>
      </c>
      <c r="E52" s="67">
        <v>282</v>
      </c>
      <c r="F52" s="67">
        <v>282.10000000000002</v>
      </c>
      <c r="G52" s="67">
        <v>281.7</v>
      </c>
      <c r="H52" s="67">
        <v>271.3</v>
      </c>
      <c r="I52" s="67">
        <v>281.2</v>
      </c>
      <c r="J52" s="67">
        <v>281.10000000000002</v>
      </c>
      <c r="K52" s="67">
        <v>282</v>
      </c>
      <c r="L52" s="67">
        <v>282</v>
      </c>
      <c r="M52" s="67">
        <v>282.2</v>
      </c>
      <c r="N52" s="68">
        <v>281.3</v>
      </c>
      <c r="O52" s="69">
        <f>IFERROR(AVERAGEIF(Tabella01MarzoInverter[[#This Row],[Active power TX1-INV-1]:[Active power TX1-INV-12]], "&gt;0"), 0)</f>
        <v>280.82499999999999</v>
      </c>
      <c r="P52" s="67">
        <f>MAX(Tabella01MarzoInverter[[#This Row],[Active power TX1-INV-1]:[Active power TX1-INV-12]])</f>
        <v>282.2</v>
      </c>
      <c r="Q52" s="70">
        <f>MIN(Tabella01MarzoInverter[[#This Row],[Active power TX1-INV-1]:[Active power TX1-INV-12]])</f>
        <v>271.3</v>
      </c>
      <c r="R52" s="71">
        <v>281.3</v>
      </c>
      <c r="S52" s="67">
        <v>281.7</v>
      </c>
      <c r="T52" s="67">
        <v>272.10000000000002</v>
      </c>
      <c r="U52" s="67">
        <v>281.5</v>
      </c>
      <c r="V52" s="67">
        <v>281.5</v>
      </c>
      <c r="W52" s="67">
        <v>281</v>
      </c>
      <c r="X52" s="67">
        <v>281.7</v>
      </c>
      <c r="Y52" s="67">
        <v>281.8</v>
      </c>
      <c r="Z52" s="67">
        <v>281.2</v>
      </c>
      <c r="AA52" s="67">
        <v>281.8</v>
      </c>
      <c r="AB52" s="67">
        <v>281.60000000000002</v>
      </c>
      <c r="AC52" s="68">
        <v>281.89999999999998</v>
      </c>
      <c r="AD52" s="69">
        <f>IFERROR(AVERAGEIF(Tabella01MarzoInverter[[#This Row],[Active power TX2-INV-1]:[Active power TX2-INV-12]], "&gt;0"), 0)</f>
        <v>280.75833333333333</v>
      </c>
      <c r="AE52" s="67">
        <f>MAX(Tabella01MarzoInverter[[#This Row],[Active power TX2-INV-1]:[Active power TX2-INV-12]])</f>
        <v>281.89999999999998</v>
      </c>
      <c r="AF52" s="70">
        <f>MIN(Tabella01MarzoInverter[[#This Row],[Active power TX2-INV-1]:[Active power TX2-INV-12]])</f>
        <v>272.10000000000002</v>
      </c>
      <c r="AG52" s="71">
        <v>281.89999999999998</v>
      </c>
      <c r="AH52" s="67">
        <v>281</v>
      </c>
      <c r="AI52" s="67">
        <v>281.7</v>
      </c>
      <c r="AJ52" s="67">
        <v>281.60000000000002</v>
      </c>
      <c r="AK52" s="67">
        <v>282.10000000000002</v>
      </c>
      <c r="AL52" s="67">
        <v>272.7</v>
      </c>
      <c r="AM52" s="67">
        <v>281.8</v>
      </c>
      <c r="AN52" s="67">
        <v>281.39999999999998</v>
      </c>
      <c r="AO52" s="67">
        <v>271.60000000000002</v>
      </c>
      <c r="AP52" s="67">
        <v>281.60000000000002</v>
      </c>
      <c r="AQ52" s="67">
        <v>281.60000000000002</v>
      </c>
      <c r="AR52" s="68">
        <v>281.39999999999998</v>
      </c>
      <c r="AS52" s="69">
        <f>IFERROR(AVERAGEIF(Tabella01MarzoInverter[[#This Row],[Active power TX3-INV-1]:[Active power TX3-INV-12]], "&gt;0"), 0)</f>
        <v>280.0333333333333</v>
      </c>
      <c r="AT52" s="67">
        <f>MAX(Tabella01MarzoInverter[[#This Row],[Active power TX3-INV-1]:[Active power TX3-INV-12]])</f>
        <v>282.10000000000002</v>
      </c>
      <c r="AU52" s="70">
        <f>MIN(Tabella01MarzoInverter[[#This Row],[Active power TX3-INV-1]:[Active power TX3-INV-12]])</f>
        <v>271.60000000000002</v>
      </c>
    </row>
    <row r="53" spans="1:47" x14ac:dyDescent="0.25">
      <c r="A53" s="65">
        <v>46144</v>
      </c>
      <c r="B53" s="66" t="s">
        <v>53</v>
      </c>
      <c r="C53" s="67">
        <v>281.39999999999998</v>
      </c>
      <c r="D53" s="67">
        <v>281.2</v>
      </c>
      <c r="E53" s="67">
        <v>281.89999999999998</v>
      </c>
      <c r="F53" s="67">
        <v>282</v>
      </c>
      <c r="G53" s="67">
        <v>281.39999999999998</v>
      </c>
      <c r="H53" s="67">
        <v>280.89999999999998</v>
      </c>
      <c r="I53" s="67">
        <v>279</v>
      </c>
      <c r="J53" s="67">
        <v>281</v>
      </c>
      <c r="K53" s="67">
        <v>281.89999999999998</v>
      </c>
      <c r="L53" s="67">
        <v>281.7</v>
      </c>
      <c r="M53" s="67">
        <v>281.89999999999998</v>
      </c>
      <c r="N53" s="68">
        <v>280.89999999999998</v>
      </c>
      <c r="O53" s="69">
        <f>IFERROR(AVERAGEIF(Tabella01MarzoInverter[[#This Row],[Active power TX1-INV-1]:[Active power TX1-INV-12]], "&gt;0"), 0)</f>
        <v>281.26666666666671</v>
      </c>
      <c r="P53" s="67">
        <f>MAX(Tabella01MarzoInverter[[#This Row],[Active power TX1-INV-1]:[Active power TX1-INV-12]])</f>
        <v>282</v>
      </c>
      <c r="Q53" s="70">
        <f>MIN(Tabella01MarzoInverter[[#This Row],[Active power TX1-INV-1]:[Active power TX1-INV-12]])</f>
        <v>279</v>
      </c>
      <c r="R53" s="71">
        <v>281.2</v>
      </c>
      <c r="S53" s="67">
        <v>271.89999999999998</v>
      </c>
      <c r="T53" s="67">
        <v>279.89999999999998</v>
      </c>
      <c r="U53" s="67">
        <v>281.39999999999998</v>
      </c>
      <c r="V53" s="67">
        <v>281.39999999999998</v>
      </c>
      <c r="W53" s="67">
        <v>281</v>
      </c>
      <c r="X53" s="67">
        <v>281.5</v>
      </c>
      <c r="Y53" s="67">
        <v>281.60000000000002</v>
      </c>
      <c r="Z53" s="67">
        <v>281.10000000000002</v>
      </c>
      <c r="AA53" s="67">
        <v>281.60000000000002</v>
      </c>
      <c r="AB53" s="67">
        <v>281.39999999999998</v>
      </c>
      <c r="AC53" s="68">
        <v>281.60000000000002</v>
      </c>
      <c r="AD53" s="69">
        <f>IFERROR(AVERAGEIF(Tabella01MarzoInverter[[#This Row],[Active power TX2-INV-1]:[Active power TX2-INV-12]], "&gt;0"), 0)</f>
        <v>280.46666666666664</v>
      </c>
      <c r="AE53" s="67">
        <f>MAX(Tabella01MarzoInverter[[#This Row],[Active power TX2-INV-1]:[Active power TX2-INV-12]])</f>
        <v>281.60000000000002</v>
      </c>
      <c r="AF53" s="70">
        <f>MIN(Tabella01MarzoInverter[[#This Row],[Active power TX2-INV-1]:[Active power TX2-INV-12]])</f>
        <v>271.89999999999998</v>
      </c>
      <c r="AG53" s="71">
        <v>282</v>
      </c>
      <c r="AH53" s="67">
        <v>280.8</v>
      </c>
      <c r="AI53" s="67">
        <v>281.60000000000002</v>
      </c>
      <c r="AJ53" s="67">
        <v>281.3</v>
      </c>
      <c r="AK53" s="67">
        <v>281.89999999999998</v>
      </c>
      <c r="AL53" s="67">
        <v>281.89999999999998</v>
      </c>
      <c r="AM53" s="67">
        <v>281.7</v>
      </c>
      <c r="AN53" s="67">
        <v>281.2</v>
      </c>
      <c r="AO53" s="67">
        <v>281.60000000000002</v>
      </c>
      <c r="AP53" s="67">
        <v>271.5</v>
      </c>
      <c r="AQ53" s="67">
        <v>271.8</v>
      </c>
      <c r="AR53" s="68">
        <v>280.8</v>
      </c>
      <c r="AS53" s="69">
        <f>IFERROR(AVERAGEIF(Tabella01MarzoInverter[[#This Row],[Active power TX3-INV-1]:[Active power TX3-INV-12]], "&gt;0"), 0)</f>
        <v>279.8416666666667</v>
      </c>
      <c r="AT53" s="67">
        <f>MAX(Tabella01MarzoInverter[[#This Row],[Active power TX3-INV-1]:[Active power TX3-INV-12]])</f>
        <v>282</v>
      </c>
      <c r="AU53" s="70">
        <f>MIN(Tabella01MarzoInverter[[#This Row],[Active power TX3-INV-1]:[Active power TX3-INV-12]])</f>
        <v>271.5</v>
      </c>
    </row>
    <row r="54" spans="1:47" x14ac:dyDescent="0.25">
      <c r="A54" s="65">
        <v>46144</v>
      </c>
      <c r="B54" s="72" t="s">
        <v>54</v>
      </c>
      <c r="C54" s="67">
        <v>281.60000000000002</v>
      </c>
      <c r="D54" s="67">
        <v>281.3</v>
      </c>
      <c r="E54" s="67">
        <v>281.89999999999998</v>
      </c>
      <c r="F54" s="67">
        <v>282.10000000000002</v>
      </c>
      <c r="G54" s="67">
        <v>281.5</v>
      </c>
      <c r="H54" s="67">
        <v>281</v>
      </c>
      <c r="I54" s="67">
        <v>280.89999999999998</v>
      </c>
      <c r="J54" s="67">
        <v>281.10000000000002</v>
      </c>
      <c r="K54" s="67">
        <v>272.5</v>
      </c>
      <c r="L54" s="67">
        <v>281.8</v>
      </c>
      <c r="M54" s="67">
        <v>282</v>
      </c>
      <c r="N54" s="68">
        <v>280.8</v>
      </c>
      <c r="O54" s="69">
        <f>IFERROR(AVERAGEIF(Tabella01MarzoInverter[[#This Row],[Active power TX1-INV-1]:[Active power TX1-INV-12]], "&gt;0"), 0)</f>
        <v>280.70833333333337</v>
      </c>
      <c r="P54" s="67">
        <f>MAX(Tabella01MarzoInverter[[#This Row],[Active power TX1-INV-1]:[Active power TX1-INV-12]])</f>
        <v>282.10000000000002</v>
      </c>
      <c r="Q54" s="70">
        <f>MIN(Tabella01MarzoInverter[[#This Row],[Active power TX1-INV-1]:[Active power TX1-INV-12]])</f>
        <v>272.5</v>
      </c>
      <c r="R54" s="71">
        <v>281.2</v>
      </c>
      <c r="S54" s="67">
        <v>281.60000000000002</v>
      </c>
      <c r="T54" s="67">
        <v>281.5</v>
      </c>
      <c r="U54" s="67">
        <v>281.39999999999998</v>
      </c>
      <c r="V54" s="67">
        <v>281.39999999999998</v>
      </c>
      <c r="W54" s="67">
        <v>281</v>
      </c>
      <c r="X54" s="67">
        <v>281.7</v>
      </c>
      <c r="Y54" s="67">
        <v>281.7</v>
      </c>
      <c r="Z54" s="67">
        <v>270.89999999999998</v>
      </c>
      <c r="AA54" s="67">
        <v>281.7</v>
      </c>
      <c r="AB54" s="67">
        <v>281.5</v>
      </c>
      <c r="AC54" s="68">
        <v>281.7</v>
      </c>
      <c r="AD54" s="69">
        <f>IFERROR(AVERAGEIF(Tabella01MarzoInverter[[#This Row],[Active power TX2-INV-1]:[Active power TX2-INV-12]], "&gt;0"), 0)</f>
        <v>280.60833333333329</v>
      </c>
      <c r="AE54" s="67">
        <f>MAX(Tabella01MarzoInverter[[#This Row],[Active power TX2-INV-1]:[Active power TX2-INV-12]])</f>
        <v>281.7</v>
      </c>
      <c r="AF54" s="70">
        <f>MIN(Tabella01MarzoInverter[[#This Row],[Active power TX2-INV-1]:[Active power TX2-INV-12]])</f>
        <v>270.89999999999998</v>
      </c>
      <c r="AG54" s="71">
        <v>282.10000000000002</v>
      </c>
      <c r="AH54" s="67">
        <v>280.8</v>
      </c>
      <c r="AI54" s="67">
        <v>281.7</v>
      </c>
      <c r="AJ54" s="67">
        <v>281.39999999999998</v>
      </c>
      <c r="AK54" s="67">
        <v>282</v>
      </c>
      <c r="AL54" s="67">
        <v>281.89999999999998</v>
      </c>
      <c r="AM54" s="67">
        <v>281.7</v>
      </c>
      <c r="AN54" s="67">
        <v>281.3</v>
      </c>
      <c r="AO54" s="67">
        <v>271.8</v>
      </c>
      <c r="AP54" s="67">
        <v>281.5</v>
      </c>
      <c r="AQ54" s="67">
        <v>281.60000000000002</v>
      </c>
      <c r="AR54" s="68">
        <v>275.8</v>
      </c>
      <c r="AS54" s="69">
        <f>IFERROR(AVERAGEIF(Tabella01MarzoInverter[[#This Row],[Active power TX3-INV-1]:[Active power TX3-INV-12]], "&gt;0"), 0)</f>
        <v>280.3</v>
      </c>
      <c r="AT54" s="67">
        <f>MAX(Tabella01MarzoInverter[[#This Row],[Active power TX3-INV-1]:[Active power TX3-INV-12]])</f>
        <v>282.10000000000002</v>
      </c>
      <c r="AU54" s="70">
        <f>MIN(Tabella01MarzoInverter[[#This Row],[Active power TX3-INV-1]:[Active power TX3-INV-12]])</f>
        <v>271.8</v>
      </c>
    </row>
    <row r="55" spans="1:47" x14ac:dyDescent="0.25">
      <c r="A55" s="65">
        <v>46144</v>
      </c>
      <c r="B55" s="66" t="s">
        <v>55</v>
      </c>
      <c r="C55" s="67">
        <v>281.5</v>
      </c>
      <c r="D55" s="67">
        <v>281.2</v>
      </c>
      <c r="E55" s="67">
        <v>281.7</v>
      </c>
      <c r="F55" s="67">
        <v>272.60000000000002</v>
      </c>
      <c r="G55" s="67">
        <v>281.3</v>
      </c>
      <c r="H55" s="67">
        <v>280.7</v>
      </c>
      <c r="I55" s="67">
        <v>280.8</v>
      </c>
      <c r="J55" s="67">
        <v>280.8</v>
      </c>
      <c r="K55" s="67">
        <v>271.39999999999998</v>
      </c>
      <c r="L55" s="67">
        <v>281.60000000000002</v>
      </c>
      <c r="M55" s="67">
        <v>281.7</v>
      </c>
      <c r="N55" s="68">
        <v>280.7</v>
      </c>
      <c r="O55" s="69">
        <f>IFERROR(AVERAGEIF(Tabella01MarzoInverter[[#This Row],[Active power TX1-INV-1]:[Active power TX1-INV-12]], "&gt;0"), 0)</f>
        <v>279.66666666666663</v>
      </c>
      <c r="P55" s="67">
        <f>MAX(Tabella01MarzoInverter[[#This Row],[Active power TX1-INV-1]:[Active power TX1-INV-12]])</f>
        <v>281.7</v>
      </c>
      <c r="Q55" s="70">
        <f>MIN(Tabella01MarzoInverter[[#This Row],[Active power TX1-INV-1]:[Active power TX1-INV-12]])</f>
        <v>271.39999999999998</v>
      </c>
      <c r="R55" s="71">
        <v>281.2</v>
      </c>
      <c r="S55" s="67">
        <v>281.5</v>
      </c>
      <c r="T55" s="67">
        <v>281.3</v>
      </c>
      <c r="U55" s="67">
        <v>281.3</v>
      </c>
      <c r="V55" s="67">
        <v>281.3</v>
      </c>
      <c r="W55" s="67">
        <v>280.89999999999998</v>
      </c>
      <c r="X55" s="67">
        <v>281.5</v>
      </c>
      <c r="Y55" s="67">
        <v>271.39999999999998</v>
      </c>
      <c r="Z55" s="67">
        <v>281</v>
      </c>
      <c r="AA55" s="67">
        <v>281.39999999999998</v>
      </c>
      <c r="AB55" s="67">
        <v>281.3</v>
      </c>
      <c r="AC55" s="68">
        <v>281.39999999999998</v>
      </c>
      <c r="AD55" s="69">
        <f>IFERROR(AVERAGEIF(Tabella01MarzoInverter[[#This Row],[Active power TX2-INV-1]:[Active power TX2-INV-12]], "&gt;0"), 0)</f>
        <v>280.45833333333337</v>
      </c>
      <c r="AE55" s="67">
        <f>MAX(Tabella01MarzoInverter[[#This Row],[Active power TX2-INV-1]:[Active power TX2-INV-12]])</f>
        <v>281.5</v>
      </c>
      <c r="AF55" s="70">
        <f>MIN(Tabella01MarzoInverter[[#This Row],[Active power TX2-INV-1]:[Active power TX2-INV-12]])</f>
        <v>271.39999999999998</v>
      </c>
      <c r="AG55" s="71">
        <v>281.8</v>
      </c>
      <c r="AH55" s="67">
        <v>280.7</v>
      </c>
      <c r="AI55" s="67">
        <v>281.5</v>
      </c>
      <c r="AJ55" s="67">
        <v>281.39999999999998</v>
      </c>
      <c r="AK55" s="67">
        <v>281.89999999999998</v>
      </c>
      <c r="AL55" s="67">
        <v>281.7</v>
      </c>
      <c r="AM55" s="67">
        <v>281.60000000000002</v>
      </c>
      <c r="AN55" s="67">
        <v>281.10000000000002</v>
      </c>
      <c r="AO55" s="67">
        <v>281.5</v>
      </c>
      <c r="AP55" s="67">
        <v>281.3</v>
      </c>
      <c r="AQ55" s="67">
        <v>281.39999999999998</v>
      </c>
      <c r="AR55" s="68">
        <v>275.89999999999998</v>
      </c>
      <c r="AS55" s="69">
        <f>IFERROR(AVERAGEIF(Tabella01MarzoInverter[[#This Row],[Active power TX3-INV-1]:[Active power TX3-INV-12]], "&gt;0"), 0)</f>
        <v>280.98333333333341</v>
      </c>
      <c r="AT55" s="67">
        <f>MAX(Tabella01MarzoInverter[[#This Row],[Active power TX3-INV-1]:[Active power TX3-INV-12]])</f>
        <v>281.89999999999998</v>
      </c>
      <c r="AU55" s="70">
        <f>MIN(Tabella01MarzoInverter[[#This Row],[Active power TX3-INV-1]:[Active power TX3-INV-12]])</f>
        <v>275.89999999999998</v>
      </c>
    </row>
    <row r="56" spans="1:47" x14ac:dyDescent="0.25">
      <c r="A56" s="65">
        <v>46144</v>
      </c>
      <c r="B56" s="72" t="s">
        <v>56</v>
      </c>
      <c r="C56" s="67">
        <v>281.5</v>
      </c>
      <c r="D56" s="67">
        <v>281.2</v>
      </c>
      <c r="E56" s="67">
        <v>281.89999999999998</v>
      </c>
      <c r="F56" s="67">
        <v>282</v>
      </c>
      <c r="G56" s="67">
        <v>281.5</v>
      </c>
      <c r="H56" s="67">
        <v>270.7</v>
      </c>
      <c r="I56" s="67">
        <v>280.89999999999998</v>
      </c>
      <c r="J56" s="67">
        <v>281</v>
      </c>
      <c r="K56" s="67">
        <v>281.8</v>
      </c>
      <c r="L56" s="67">
        <v>281.8</v>
      </c>
      <c r="M56" s="67">
        <v>282</v>
      </c>
      <c r="N56" s="68">
        <v>280.7</v>
      </c>
      <c r="O56" s="69">
        <f>IFERROR(AVERAGEIF(Tabella01MarzoInverter[[#This Row],[Active power TX1-INV-1]:[Active power TX1-INV-12]], "&gt;0"), 0)</f>
        <v>280.58333333333331</v>
      </c>
      <c r="P56" s="67">
        <f>MAX(Tabella01MarzoInverter[[#This Row],[Active power TX1-INV-1]:[Active power TX1-INV-12]])</f>
        <v>282</v>
      </c>
      <c r="Q56" s="70">
        <f>MIN(Tabella01MarzoInverter[[#This Row],[Active power TX1-INV-1]:[Active power TX1-INV-12]])</f>
        <v>270.7</v>
      </c>
      <c r="R56" s="71">
        <v>281.10000000000002</v>
      </c>
      <c r="S56" s="67">
        <v>281.60000000000002</v>
      </c>
      <c r="T56" s="67">
        <v>281.5</v>
      </c>
      <c r="U56" s="67">
        <v>281.3</v>
      </c>
      <c r="V56" s="67">
        <v>281.3</v>
      </c>
      <c r="W56" s="67">
        <v>271.5</v>
      </c>
      <c r="X56" s="67">
        <v>281.60000000000002</v>
      </c>
      <c r="Y56" s="67">
        <v>281.7</v>
      </c>
      <c r="Z56" s="67">
        <v>281.2</v>
      </c>
      <c r="AA56" s="67">
        <v>281.7</v>
      </c>
      <c r="AB56" s="67">
        <v>271.5</v>
      </c>
      <c r="AC56" s="68">
        <v>281.7</v>
      </c>
      <c r="AD56" s="69">
        <f>IFERROR(AVERAGEIF(Tabella01MarzoInverter[[#This Row],[Active power TX2-INV-1]:[Active power TX2-INV-12]], "&gt;0"), 0)</f>
        <v>279.80833333333328</v>
      </c>
      <c r="AE56" s="67">
        <f>MAX(Tabella01MarzoInverter[[#This Row],[Active power TX2-INV-1]:[Active power TX2-INV-12]])</f>
        <v>281.7</v>
      </c>
      <c r="AF56" s="70">
        <f>MIN(Tabella01MarzoInverter[[#This Row],[Active power TX2-INV-1]:[Active power TX2-INV-12]])</f>
        <v>271.5</v>
      </c>
      <c r="AG56" s="71">
        <v>282.10000000000002</v>
      </c>
      <c r="AH56" s="67">
        <v>280.8</v>
      </c>
      <c r="AI56" s="67">
        <v>271.7</v>
      </c>
      <c r="AJ56" s="67">
        <v>281.39999999999998</v>
      </c>
      <c r="AK56" s="67">
        <v>281.89999999999998</v>
      </c>
      <c r="AL56" s="67">
        <v>281.89999999999998</v>
      </c>
      <c r="AM56" s="67">
        <v>281.7</v>
      </c>
      <c r="AN56" s="67">
        <v>281.2</v>
      </c>
      <c r="AO56" s="67">
        <v>281.8</v>
      </c>
      <c r="AP56" s="67">
        <v>281.60000000000002</v>
      </c>
      <c r="AQ56" s="67">
        <v>281.5</v>
      </c>
      <c r="AR56" s="68">
        <v>280.8</v>
      </c>
      <c r="AS56" s="69">
        <f>IFERROR(AVERAGEIF(Tabella01MarzoInverter[[#This Row],[Active power TX3-INV-1]:[Active power TX3-INV-12]], "&gt;0"), 0)</f>
        <v>280.70000000000005</v>
      </c>
      <c r="AT56" s="67">
        <f>MAX(Tabella01MarzoInverter[[#This Row],[Active power TX3-INV-1]:[Active power TX3-INV-12]])</f>
        <v>282.10000000000002</v>
      </c>
      <c r="AU56" s="70">
        <f>MIN(Tabella01MarzoInverter[[#This Row],[Active power TX3-INV-1]:[Active power TX3-INV-12]])</f>
        <v>271.7</v>
      </c>
    </row>
    <row r="57" spans="1:47" x14ac:dyDescent="0.25">
      <c r="A57" s="65">
        <v>46144</v>
      </c>
      <c r="B57" s="66" t="s">
        <v>57</v>
      </c>
      <c r="C57" s="67">
        <v>281.5</v>
      </c>
      <c r="D57" s="67">
        <v>281.2</v>
      </c>
      <c r="E57" s="67">
        <v>281.89999999999998</v>
      </c>
      <c r="F57" s="67">
        <v>282.10000000000002</v>
      </c>
      <c r="G57" s="67">
        <v>281.60000000000002</v>
      </c>
      <c r="H57" s="67">
        <v>281</v>
      </c>
      <c r="I57" s="67">
        <v>280.7</v>
      </c>
      <c r="J57" s="67">
        <v>280.89999999999998</v>
      </c>
      <c r="K57" s="67">
        <v>281.89999999999998</v>
      </c>
      <c r="L57" s="67">
        <v>281.7</v>
      </c>
      <c r="M57" s="67">
        <v>281.89999999999998</v>
      </c>
      <c r="N57" s="68">
        <v>280.8</v>
      </c>
      <c r="O57" s="69">
        <f>IFERROR(AVERAGEIF(Tabella01MarzoInverter[[#This Row],[Active power TX1-INV-1]:[Active power TX1-INV-12]], "&gt;0"), 0)</f>
        <v>281.43333333333334</v>
      </c>
      <c r="P57" s="67">
        <f>MAX(Tabella01MarzoInverter[[#This Row],[Active power TX1-INV-1]:[Active power TX1-INV-12]])</f>
        <v>282.10000000000002</v>
      </c>
      <c r="Q57" s="70">
        <f>MIN(Tabella01MarzoInverter[[#This Row],[Active power TX1-INV-1]:[Active power TX1-INV-12]])</f>
        <v>280.7</v>
      </c>
      <c r="R57" s="71">
        <v>281.2</v>
      </c>
      <c r="S57" s="67">
        <v>281.60000000000002</v>
      </c>
      <c r="T57" s="67">
        <v>281.5</v>
      </c>
      <c r="U57" s="67">
        <v>281.39999999999998</v>
      </c>
      <c r="V57" s="67">
        <v>281.39999999999998</v>
      </c>
      <c r="W57" s="67">
        <v>281</v>
      </c>
      <c r="X57" s="67">
        <v>281.60000000000002</v>
      </c>
      <c r="Y57" s="67">
        <v>281.7</v>
      </c>
      <c r="Z57" s="67">
        <v>281.3</v>
      </c>
      <c r="AA57" s="67">
        <v>281.7</v>
      </c>
      <c r="AB57" s="67">
        <v>281.5</v>
      </c>
      <c r="AC57" s="68">
        <v>281.60000000000002</v>
      </c>
      <c r="AD57" s="69">
        <f>IFERROR(AVERAGEIF(Tabella01MarzoInverter[[#This Row],[Active power TX2-INV-1]:[Active power TX2-INV-12]], "&gt;0"), 0)</f>
        <v>281.45833333333331</v>
      </c>
      <c r="AE57" s="67">
        <f>MAX(Tabella01MarzoInverter[[#This Row],[Active power TX2-INV-1]:[Active power TX2-INV-12]])</f>
        <v>281.7</v>
      </c>
      <c r="AF57" s="70">
        <f>MIN(Tabella01MarzoInverter[[#This Row],[Active power TX2-INV-1]:[Active power TX2-INV-12]])</f>
        <v>281</v>
      </c>
      <c r="AG57" s="71">
        <v>281.39999999999998</v>
      </c>
      <c r="AH57" s="67">
        <v>280.8</v>
      </c>
      <c r="AI57" s="67">
        <v>281.8</v>
      </c>
      <c r="AJ57" s="67">
        <v>281.3</v>
      </c>
      <c r="AK57" s="67">
        <v>281.89999999999998</v>
      </c>
      <c r="AL57" s="67">
        <v>281.8</v>
      </c>
      <c r="AM57" s="67">
        <v>281.60000000000002</v>
      </c>
      <c r="AN57" s="67">
        <v>281.3</v>
      </c>
      <c r="AO57" s="67">
        <v>281.7</v>
      </c>
      <c r="AP57" s="67">
        <v>281.60000000000002</v>
      </c>
      <c r="AQ57" s="67">
        <v>281.5</v>
      </c>
      <c r="AR57" s="68">
        <v>280.7</v>
      </c>
      <c r="AS57" s="69">
        <f>IFERROR(AVERAGEIF(Tabella01MarzoInverter[[#This Row],[Active power TX3-INV-1]:[Active power TX3-INV-12]], "&gt;0"), 0)</f>
        <v>281.45</v>
      </c>
      <c r="AT57" s="67">
        <f>MAX(Tabella01MarzoInverter[[#This Row],[Active power TX3-INV-1]:[Active power TX3-INV-12]])</f>
        <v>281.89999999999998</v>
      </c>
      <c r="AU57" s="70">
        <f>MIN(Tabella01MarzoInverter[[#This Row],[Active power TX3-INV-1]:[Active power TX3-INV-12]])</f>
        <v>280.7</v>
      </c>
    </row>
    <row r="58" spans="1:47" x14ac:dyDescent="0.25">
      <c r="A58" s="65">
        <v>46144</v>
      </c>
      <c r="B58" s="72" t="s">
        <v>58</v>
      </c>
      <c r="C58" s="67">
        <v>280.2</v>
      </c>
      <c r="D58" s="67">
        <v>279.8</v>
      </c>
      <c r="E58" s="67">
        <v>279.10000000000002</v>
      </c>
      <c r="F58" s="67">
        <v>280.39999999999998</v>
      </c>
      <c r="G58" s="67">
        <v>278.2</v>
      </c>
      <c r="H58" s="67">
        <v>278.10000000000002</v>
      </c>
      <c r="I58" s="67">
        <v>278.60000000000002</v>
      </c>
      <c r="J58" s="67">
        <v>278.39999999999998</v>
      </c>
      <c r="K58" s="67">
        <v>279.5</v>
      </c>
      <c r="L58" s="67">
        <v>280.60000000000002</v>
      </c>
      <c r="M58" s="67">
        <v>278.7</v>
      </c>
      <c r="N58" s="68">
        <v>278.8</v>
      </c>
      <c r="O58" s="69">
        <f>IFERROR(AVERAGEIF(Tabella01MarzoInverter[[#This Row],[Active power TX1-INV-1]:[Active power TX1-INV-12]], "&gt;0"), 0)</f>
        <v>279.2</v>
      </c>
      <c r="P58" s="67">
        <f>MAX(Tabella01MarzoInverter[[#This Row],[Active power TX1-INV-1]:[Active power TX1-INV-12]])</f>
        <v>280.60000000000002</v>
      </c>
      <c r="Q58" s="70">
        <f>MIN(Tabella01MarzoInverter[[#This Row],[Active power TX1-INV-1]:[Active power TX1-INV-12]])</f>
        <v>278.10000000000002</v>
      </c>
      <c r="R58" s="71">
        <v>278.60000000000002</v>
      </c>
      <c r="S58" s="67">
        <v>278.8</v>
      </c>
      <c r="T58" s="67">
        <v>279.2</v>
      </c>
      <c r="U58" s="67">
        <v>278.10000000000002</v>
      </c>
      <c r="V58" s="67">
        <v>278.3</v>
      </c>
      <c r="W58" s="67">
        <v>278.2</v>
      </c>
      <c r="X58" s="67">
        <v>280.5</v>
      </c>
      <c r="Y58" s="67">
        <v>279.60000000000002</v>
      </c>
      <c r="Z58" s="67">
        <v>279.3</v>
      </c>
      <c r="AA58" s="67">
        <v>270.89999999999998</v>
      </c>
      <c r="AB58" s="67">
        <v>280.2</v>
      </c>
      <c r="AC58" s="68">
        <v>280</v>
      </c>
      <c r="AD58" s="69">
        <f>IFERROR(AVERAGEIF(Tabella01MarzoInverter[[#This Row],[Active power TX2-INV-1]:[Active power TX2-INV-12]], "&gt;0"), 0)</f>
        <v>278.47500000000002</v>
      </c>
      <c r="AE58" s="67">
        <f>MAX(Tabella01MarzoInverter[[#This Row],[Active power TX2-INV-1]:[Active power TX2-INV-12]])</f>
        <v>280.5</v>
      </c>
      <c r="AF58" s="70">
        <f>MIN(Tabella01MarzoInverter[[#This Row],[Active power TX2-INV-1]:[Active power TX2-INV-12]])</f>
        <v>270.89999999999998</v>
      </c>
      <c r="AG58" s="71">
        <v>278.60000000000002</v>
      </c>
      <c r="AH58" s="67">
        <v>279.10000000000002</v>
      </c>
      <c r="AI58" s="67">
        <v>268.89999999999998</v>
      </c>
      <c r="AJ58" s="67">
        <v>280.2</v>
      </c>
      <c r="AK58" s="67">
        <v>280.5</v>
      </c>
      <c r="AL58" s="67">
        <v>278.5</v>
      </c>
      <c r="AM58" s="67">
        <v>280</v>
      </c>
      <c r="AN58" s="67">
        <v>279.2</v>
      </c>
      <c r="AO58" s="67">
        <v>279.10000000000002</v>
      </c>
      <c r="AP58" s="67">
        <v>278.60000000000002</v>
      </c>
      <c r="AQ58" s="67">
        <v>279.60000000000002</v>
      </c>
      <c r="AR58" s="68">
        <v>278.5</v>
      </c>
      <c r="AS58" s="69">
        <f>IFERROR(AVERAGEIF(Tabella01MarzoInverter[[#This Row],[Active power TX3-INV-1]:[Active power TX3-INV-12]], "&gt;0"), 0)</f>
        <v>278.39999999999998</v>
      </c>
      <c r="AT58" s="67">
        <f>MAX(Tabella01MarzoInverter[[#This Row],[Active power TX3-INV-1]:[Active power TX3-INV-12]])</f>
        <v>280.5</v>
      </c>
      <c r="AU58" s="70">
        <f>MIN(Tabella01MarzoInverter[[#This Row],[Active power TX3-INV-1]:[Active power TX3-INV-12]])</f>
        <v>268.89999999999998</v>
      </c>
    </row>
    <row r="59" spans="1:47" x14ac:dyDescent="0.25">
      <c r="A59" s="65">
        <v>46144</v>
      </c>
      <c r="B59" s="66" t="s">
        <v>59</v>
      </c>
      <c r="C59" s="67">
        <v>211.5</v>
      </c>
      <c r="D59" s="67">
        <v>211.5</v>
      </c>
      <c r="E59" s="67">
        <v>211.5</v>
      </c>
      <c r="F59" s="67">
        <v>212</v>
      </c>
      <c r="G59" s="67">
        <v>211.7</v>
      </c>
      <c r="H59" s="67">
        <v>211.2</v>
      </c>
      <c r="I59" s="67">
        <v>210.5</v>
      </c>
      <c r="J59" s="67">
        <v>210.9</v>
      </c>
      <c r="K59" s="67">
        <v>211.9</v>
      </c>
      <c r="L59" s="67">
        <v>211.6</v>
      </c>
      <c r="M59" s="67">
        <v>211.8</v>
      </c>
      <c r="N59" s="68">
        <v>211</v>
      </c>
      <c r="O59" s="69">
        <f>IFERROR(AVERAGEIF(Tabella01MarzoInverter[[#This Row],[Active power TX1-INV-1]:[Active power TX1-INV-12]], "&gt;0"), 0)</f>
        <v>211.42500000000004</v>
      </c>
      <c r="P59" s="67">
        <f>MAX(Tabella01MarzoInverter[[#This Row],[Active power TX1-INV-1]:[Active power TX1-INV-12]])</f>
        <v>212</v>
      </c>
      <c r="Q59" s="70">
        <f>MIN(Tabella01MarzoInverter[[#This Row],[Active power TX1-INV-1]:[Active power TX1-INV-12]])</f>
        <v>210.5</v>
      </c>
      <c r="R59" s="71">
        <v>211</v>
      </c>
      <c r="S59" s="67">
        <v>211.7</v>
      </c>
      <c r="T59" s="67">
        <v>211.4</v>
      </c>
      <c r="U59" s="67">
        <v>211.6</v>
      </c>
      <c r="V59" s="67">
        <v>211.4</v>
      </c>
      <c r="W59" s="67">
        <v>211</v>
      </c>
      <c r="X59" s="67">
        <v>211.8</v>
      </c>
      <c r="Y59" s="67">
        <v>211.9</v>
      </c>
      <c r="Z59" s="67">
        <v>211.4</v>
      </c>
      <c r="AA59" s="67">
        <v>204.8</v>
      </c>
      <c r="AB59" s="67">
        <v>211.5</v>
      </c>
      <c r="AC59" s="68">
        <v>211.6</v>
      </c>
      <c r="AD59" s="69">
        <f>IFERROR(AVERAGEIF(Tabella01MarzoInverter[[#This Row],[Active power TX2-INV-1]:[Active power TX2-INV-12]], "&gt;0"), 0)</f>
        <v>210.92500000000004</v>
      </c>
      <c r="AE59" s="67">
        <f>MAX(Tabella01MarzoInverter[[#This Row],[Active power TX2-INV-1]:[Active power TX2-INV-12]])</f>
        <v>211.9</v>
      </c>
      <c r="AF59" s="70">
        <f>MIN(Tabella01MarzoInverter[[#This Row],[Active power TX2-INV-1]:[Active power TX2-INV-12]])</f>
        <v>204.8</v>
      </c>
      <c r="AG59" s="71">
        <v>211.5</v>
      </c>
      <c r="AH59" s="67">
        <v>210.8</v>
      </c>
      <c r="AI59" s="67">
        <v>211.8</v>
      </c>
      <c r="AJ59" s="67">
        <v>211.2</v>
      </c>
      <c r="AK59" s="67">
        <v>211.8</v>
      </c>
      <c r="AL59" s="67">
        <v>204.7</v>
      </c>
      <c r="AM59" s="67">
        <v>211.5</v>
      </c>
      <c r="AN59" s="67">
        <v>211.3</v>
      </c>
      <c r="AO59" s="67">
        <v>211.7</v>
      </c>
      <c r="AP59" s="67">
        <v>211.7</v>
      </c>
      <c r="AQ59" s="67">
        <v>211.9</v>
      </c>
      <c r="AR59" s="68">
        <v>210.7</v>
      </c>
      <c r="AS59" s="69">
        <f>IFERROR(AVERAGEIF(Tabella01MarzoInverter[[#This Row],[Active power TX3-INV-1]:[Active power TX3-INV-12]], "&gt;0"), 0)</f>
        <v>210.88333333333333</v>
      </c>
      <c r="AT59" s="67">
        <f>MAX(Tabella01MarzoInverter[[#This Row],[Active power TX3-INV-1]:[Active power TX3-INV-12]])</f>
        <v>211.9</v>
      </c>
      <c r="AU59" s="70">
        <f>MIN(Tabella01MarzoInverter[[#This Row],[Active power TX3-INV-1]:[Active power TX3-INV-12]])</f>
        <v>204.7</v>
      </c>
    </row>
    <row r="60" spans="1:47" x14ac:dyDescent="0.25">
      <c r="A60" s="65">
        <v>46144</v>
      </c>
      <c r="B60" s="72" t="s">
        <v>60</v>
      </c>
      <c r="C60" s="67">
        <v>90.1</v>
      </c>
      <c r="D60" s="67">
        <v>90</v>
      </c>
      <c r="E60" s="67">
        <v>92.3</v>
      </c>
      <c r="F60" s="67">
        <v>89.6</v>
      </c>
      <c r="G60" s="67">
        <v>91.3</v>
      </c>
      <c r="H60" s="67">
        <v>92.3</v>
      </c>
      <c r="I60" s="67">
        <v>91.8</v>
      </c>
      <c r="J60" s="67">
        <v>93.1</v>
      </c>
      <c r="K60" s="67">
        <v>91.3</v>
      </c>
      <c r="L60" s="67">
        <v>91</v>
      </c>
      <c r="M60" s="67">
        <v>91.7</v>
      </c>
      <c r="N60" s="68">
        <v>91.8</v>
      </c>
      <c r="O60" s="69">
        <f>IFERROR(AVERAGEIF(Tabella01MarzoInverter[[#This Row],[Active power TX1-INV-1]:[Active power TX1-INV-12]], "&gt;0"), 0)</f>
        <v>91.358333333333334</v>
      </c>
      <c r="P60" s="67">
        <f>MAX(Tabella01MarzoInverter[[#This Row],[Active power TX1-INV-1]:[Active power TX1-INV-12]])</f>
        <v>93.1</v>
      </c>
      <c r="Q60" s="70">
        <f>MIN(Tabella01MarzoInverter[[#This Row],[Active power TX1-INV-1]:[Active power TX1-INV-12]])</f>
        <v>89.6</v>
      </c>
      <c r="R60" s="71">
        <v>92.6</v>
      </c>
      <c r="S60" s="67">
        <v>91.3</v>
      </c>
      <c r="T60" s="67">
        <v>92.4</v>
      </c>
      <c r="U60" s="67">
        <v>90.5</v>
      </c>
      <c r="V60" s="67">
        <v>91.2</v>
      </c>
      <c r="W60" s="67">
        <v>91.8</v>
      </c>
      <c r="X60" s="67">
        <v>92.5</v>
      </c>
      <c r="Y60" s="67">
        <v>92.1</v>
      </c>
      <c r="Z60" s="67">
        <v>91.6</v>
      </c>
      <c r="AA60" s="67">
        <v>91.9</v>
      </c>
      <c r="AB60" s="67">
        <v>89.8</v>
      </c>
      <c r="AC60" s="68">
        <v>90.4</v>
      </c>
      <c r="AD60" s="69">
        <f>IFERROR(AVERAGEIF(Tabella01MarzoInverter[[#This Row],[Active power TX2-INV-1]:[Active power TX2-INV-12]], "&gt;0"), 0)</f>
        <v>91.508333333333326</v>
      </c>
      <c r="AE60" s="67">
        <f>MAX(Tabella01MarzoInverter[[#This Row],[Active power TX2-INV-1]:[Active power TX2-INV-12]])</f>
        <v>92.6</v>
      </c>
      <c r="AF60" s="70">
        <f>MIN(Tabella01MarzoInverter[[#This Row],[Active power TX2-INV-1]:[Active power TX2-INV-12]])</f>
        <v>89.8</v>
      </c>
      <c r="AG60" s="71">
        <v>91.2</v>
      </c>
      <c r="AH60" s="67">
        <v>90.4</v>
      </c>
      <c r="AI60" s="67">
        <v>92.3</v>
      </c>
      <c r="AJ60" s="67">
        <v>91.2</v>
      </c>
      <c r="AK60" s="67">
        <v>91.1</v>
      </c>
      <c r="AL60" s="67">
        <v>91.9</v>
      </c>
      <c r="AM60" s="67">
        <v>90.6</v>
      </c>
      <c r="AN60" s="67">
        <v>91.8</v>
      </c>
      <c r="AO60" s="67">
        <v>91.7</v>
      </c>
      <c r="AP60" s="67">
        <v>92.8</v>
      </c>
      <c r="AQ60" s="67">
        <v>90</v>
      </c>
      <c r="AR60" s="68">
        <v>92.1</v>
      </c>
      <c r="AS60" s="69">
        <f>IFERROR(AVERAGEIF(Tabella01MarzoInverter[[#This Row],[Active power TX3-INV-1]:[Active power TX3-INV-12]], "&gt;0"), 0)</f>
        <v>91.424999999999997</v>
      </c>
      <c r="AT60" s="67">
        <f>MAX(Tabella01MarzoInverter[[#This Row],[Active power TX3-INV-1]:[Active power TX3-INV-12]])</f>
        <v>92.8</v>
      </c>
      <c r="AU60" s="70">
        <f>MIN(Tabella01MarzoInverter[[#This Row],[Active power TX3-INV-1]:[Active power TX3-INV-12]])</f>
        <v>90</v>
      </c>
    </row>
    <row r="61" spans="1:47" x14ac:dyDescent="0.25">
      <c r="A61" s="65">
        <v>46144</v>
      </c>
      <c r="B61" s="66" t="s">
        <v>61</v>
      </c>
      <c r="C61" s="67">
        <v>64.8</v>
      </c>
      <c r="D61" s="67">
        <v>65.2</v>
      </c>
      <c r="E61" s="67">
        <v>65.2</v>
      </c>
      <c r="F61" s="67">
        <v>65.099999999999994</v>
      </c>
      <c r="G61" s="67">
        <v>65.099999999999994</v>
      </c>
      <c r="H61" s="67">
        <v>65.5</v>
      </c>
      <c r="I61" s="67">
        <v>65.5</v>
      </c>
      <c r="J61" s="67">
        <v>65.5</v>
      </c>
      <c r="K61" s="67">
        <v>65.099999999999994</v>
      </c>
      <c r="L61" s="67">
        <v>65.3</v>
      </c>
      <c r="M61" s="67">
        <v>65.3</v>
      </c>
      <c r="N61" s="68">
        <v>62.6</v>
      </c>
      <c r="O61" s="69">
        <f>IFERROR(AVERAGEIF(Tabella01MarzoInverter[[#This Row],[Active power TX1-INV-1]:[Active power TX1-INV-12]], "&gt;0"), 0)</f>
        <v>65.016666666666666</v>
      </c>
      <c r="P61" s="67">
        <f>MAX(Tabella01MarzoInverter[[#This Row],[Active power TX1-INV-1]:[Active power TX1-INV-12]])</f>
        <v>65.5</v>
      </c>
      <c r="Q61" s="70">
        <f>MIN(Tabella01MarzoInverter[[#This Row],[Active power TX1-INV-1]:[Active power TX1-INV-12]])</f>
        <v>62.6</v>
      </c>
      <c r="R61" s="71">
        <v>63.3</v>
      </c>
      <c r="S61" s="67">
        <v>65</v>
      </c>
      <c r="T61" s="67">
        <v>65</v>
      </c>
      <c r="U61" s="67">
        <v>62.8</v>
      </c>
      <c r="V61" s="67">
        <v>65.3</v>
      </c>
      <c r="W61" s="67">
        <v>62.6</v>
      </c>
      <c r="X61" s="67">
        <v>65.400000000000006</v>
      </c>
      <c r="Y61" s="67">
        <v>65.3</v>
      </c>
      <c r="Z61" s="67">
        <v>63</v>
      </c>
      <c r="AA61" s="67">
        <v>65</v>
      </c>
      <c r="AB61" s="67">
        <v>65.099999999999994</v>
      </c>
      <c r="AC61" s="68">
        <v>65.400000000000006</v>
      </c>
      <c r="AD61" s="69">
        <f>IFERROR(AVERAGEIF(Tabella01MarzoInverter[[#This Row],[Active power TX2-INV-1]:[Active power TX2-INV-12]], "&gt;0"), 0)</f>
        <v>64.433333333333337</v>
      </c>
      <c r="AE61" s="67">
        <f>MAX(Tabella01MarzoInverter[[#This Row],[Active power TX2-INV-1]:[Active power TX2-INV-12]])</f>
        <v>65.400000000000006</v>
      </c>
      <c r="AF61" s="70">
        <f>MIN(Tabella01MarzoInverter[[#This Row],[Active power TX2-INV-1]:[Active power TX2-INV-12]])</f>
        <v>62.6</v>
      </c>
      <c r="AG61" s="71">
        <v>65.3</v>
      </c>
      <c r="AH61" s="67">
        <v>65.3</v>
      </c>
      <c r="AI61" s="67">
        <v>65.099999999999994</v>
      </c>
      <c r="AJ61" s="67">
        <v>64.7</v>
      </c>
      <c r="AK61" s="67">
        <v>65</v>
      </c>
      <c r="AL61" s="67">
        <v>62.9</v>
      </c>
      <c r="AM61" s="67">
        <v>65.2</v>
      </c>
      <c r="AN61" s="67">
        <v>64.8</v>
      </c>
      <c r="AO61" s="67">
        <v>65.400000000000006</v>
      </c>
      <c r="AP61" s="67">
        <v>65.3</v>
      </c>
      <c r="AQ61" s="67">
        <v>65.099999999999994</v>
      </c>
      <c r="AR61" s="68">
        <v>65.5</v>
      </c>
      <c r="AS61" s="69">
        <f>IFERROR(AVERAGEIF(Tabella01MarzoInverter[[#This Row],[Active power TX3-INV-1]:[Active power TX3-INV-12]], "&gt;0"), 0)</f>
        <v>64.966666666666654</v>
      </c>
      <c r="AT61" s="67">
        <f>MAX(Tabella01MarzoInverter[[#This Row],[Active power TX3-INV-1]:[Active power TX3-INV-12]])</f>
        <v>65.5</v>
      </c>
      <c r="AU61" s="70">
        <f>MIN(Tabella01MarzoInverter[[#This Row],[Active power TX3-INV-1]:[Active power TX3-INV-12]])</f>
        <v>62.9</v>
      </c>
    </row>
    <row r="62" spans="1:47" x14ac:dyDescent="0.25">
      <c r="A62" s="65">
        <v>46144</v>
      </c>
      <c r="B62" s="72" t="s">
        <v>62</v>
      </c>
      <c r="C62" s="67">
        <v>62.5</v>
      </c>
      <c r="D62" s="67">
        <v>65.2</v>
      </c>
      <c r="E62" s="67">
        <v>65.2</v>
      </c>
      <c r="F62" s="67">
        <v>65.099999999999994</v>
      </c>
      <c r="G62" s="67">
        <v>65.2</v>
      </c>
      <c r="H62" s="67">
        <v>65.599999999999994</v>
      </c>
      <c r="I62" s="67">
        <v>62.9</v>
      </c>
      <c r="J62" s="67">
        <v>65.599999999999994</v>
      </c>
      <c r="K62" s="67">
        <v>65.2</v>
      </c>
      <c r="L62" s="67">
        <v>65.3</v>
      </c>
      <c r="M62" s="67">
        <v>65.3</v>
      </c>
      <c r="N62" s="68">
        <v>64.7</v>
      </c>
      <c r="O62" s="69">
        <f>IFERROR(AVERAGEIF(Tabella01MarzoInverter[[#This Row],[Active power TX1-INV-1]:[Active power TX1-INV-12]], "&gt;0"), 0)</f>
        <v>64.816666666666663</v>
      </c>
      <c r="P62" s="67">
        <f>MAX(Tabella01MarzoInverter[[#This Row],[Active power TX1-INV-1]:[Active power TX1-INV-12]])</f>
        <v>65.599999999999994</v>
      </c>
      <c r="Q62" s="70">
        <f>MIN(Tabella01MarzoInverter[[#This Row],[Active power TX1-INV-1]:[Active power TX1-INV-12]])</f>
        <v>62.5</v>
      </c>
      <c r="R62" s="71">
        <v>65.5</v>
      </c>
      <c r="S62" s="67">
        <v>64.900000000000006</v>
      </c>
      <c r="T62" s="67">
        <v>64.900000000000006</v>
      </c>
      <c r="U62" s="67">
        <v>65.099999999999994</v>
      </c>
      <c r="V62" s="67">
        <v>65.2</v>
      </c>
      <c r="W62" s="67">
        <v>64.8</v>
      </c>
      <c r="X62" s="67">
        <v>65.3</v>
      </c>
      <c r="Y62" s="67">
        <v>65.3</v>
      </c>
      <c r="Z62" s="67">
        <v>65.2</v>
      </c>
      <c r="AA62" s="67">
        <v>65</v>
      </c>
      <c r="AB62" s="67">
        <v>62.8</v>
      </c>
      <c r="AC62" s="68">
        <v>65.400000000000006</v>
      </c>
      <c r="AD62" s="69">
        <f>IFERROR(AVERAGEIF(Tabella01MarzoInverter[[#This Row],[Active power TX2-INV-1]:[Active power TX2-INV-12]], "&gt;0"), 0)</f>
        <v>64.95</v>
      </c>
      <c r="AE62" s="67">
        <f>MAX(Tabella01MarzoInverter[[#This Row],[Active power TX2-INV-1]:[Active power TX2-INV-12]])</f>
        <v>65.5</v>
      </c>
      <c r="AF62" s="70">
        <f>MIN(Tabella01MarzoInverter[[#This Row],[Active power TX2-INV-1]:[Active power TX2-INV-12]])</f>
        <v>62.8</v>
      </c>
      <c r="AG62" s="71">
        <v>65.3</v>
      </c>
      <c r="AH62" s="67">
        <v>65.3</v>
      </c>
      <c r="AI62" s="67">
        <v>65.099999999999994</v>
      </c>
      <c r="AJ62" s="67">
        <v>64.7</v>
      </c>
      <c r="AK62" s="67">
        <v>65</v>
      </c>
      <c r="AL62" s="67">
        <v>65.2</v>
      </c>
      <c r="AM62" s="67">
        <v>63</v>
      </c>
      <c r="AN62" s="67">
        <v>62.4</v>
      </c>
      <c r="AO62" s="67">
        <v>65.400000000000006</v>
      </c>
      <c r="AP62" s="67">
        <v>65.3</v>
      </c>
      <c r="AQ62" s="67">
        <v>65.099999999999994</v>
      </c>
      <c r="AR62" s="68">
        <v>65.599999999999994</v>
      </c>
      <c r="AS62" s="69">
        <f>IFERROR(AVERAGEIF(Tabella01MarzoInverter[[#This Row],[Active power TX3-INV-1]:[Active power TX3-INV-12]], "&gt;0"), 0)</f>
        <v>64.783333333333331</v>
      </c>
      <c r="AT62" s="67">
        <f>MAX(Tabella01MarzoInverter[[#This Row],[Active power TX3-INV-1]:[Active power TX3-INV-12]])</f>
        <v>65.599999999999994</v>
      </c>
      <c r="AU62" s="70">
        <f>MIN(Tabella01MarzoInverter[[#This Row],[Active power TX3-INV-1]:[Active power TX3-INV-12]])</f>
        <v>62.4</v>
      </c>
    </row>
    <row r="63" spans="1:47" x14ac:dyDescent="0.25">
      <c r="A63" s="65">
        <v>46144</v>
      </c>
      <c r="B63" s="66" t="s">
        <v>63</v>
      </c>
      <c r="C63" s="67">
        <v>64.900000000000006</v>
      </c>
      <c r="D63" s="67">
        <v>65.2</v>
      </c>
      <c r="E63" s="67">
        <v>65.2</v>
      </c>
      <c r="F63" s="67">
        <v>65.2</v>
      </c>
      <c r="G63" s="67">
        <v>65.2</v>
      </c>
      <c r="H63" s="67">
        <v>65.599999999999994</v>
      </c>
      <c r="I63" s="67">
        <v>65.5</v>
      </c>
      <c r="J63" s="67">
        <v>65.5</v>
      </c>
      <c r="K63" s="67">
        <v>65.099999999999994</v>
      </c>
      <c r="L63" s="67">
        <v>65.400000000000006</v>
      </c>
      <c r="M63" s="67">
        <v>65.3</v>
      </c>
      <c r="N63" s="68">
        <v>64.7</v>
      </c>
      <c r="O63" s="69">
        <f>IFERROR(AVERAGEIF(Tabella01MarzoInverter[[#This Row],[Active power TX1-INV-1]:[Active power TX1-INV-12]], "&gt;0"), 0)</f>
        <v>65.233333333333334</v>
      </c>
      <c r="P63" s="67">
        <f>MAX(Tabella01MarzoInverter[[#This Row],[Active power TX1-INV-1]:[Active power TX1-INV-12]])</f>
        <v>65.599999999999994</v>
      </c>
      <c r="Q63" s="70">
        <f>MIN(Tabella01MarzoInverter[[#This Row],[Active power TX1-INV-1]:[Active power TX1-INV-12]])</f>
        <v>64.7</v>
      </c>
      <c r="R63" s="71">
        <v>65.5</v>
      </c>
      <c r="S63" s="67">
        <v>65</v>
      </c>
      <c r="T63" s="67">
        <v>65</v>
      </c>
      <c r="U63" s="67">
        <v>62.7</v>
      </c>
      <c r="V63" s="67">
        <v>65.3</v>
      </c>
      <c r="W63" s="67">
        <v>64.8</v>
      </c>
      <c r="X63" s="67">
        <v>65.3</v>
      </c>
      <c r="Y63" s="67">
        <v>65.3</v>
      </c>
      <c r="Z63" s="67">
        <v>65.2</v>
      </c>
      <c r="AA63" s="67">
        <v>62.8</v>
      </c>
      <c r="AB63" s="67">
        <v>65.099999999999994</v>
      </c>
      <c r="AC63" s="68">
        <v>65.3</v>
      </c>
      <c r="AD63" s="69">
        <f>IFERROR(AVERAGEIF(Tabella01MarzoInverter[[#This Row],[Active power TX2-INV-1]:[Active power TX2-INV-12]], "&gt;0"), 0)</f>
        <v>64.774999999999991</v>
      </c>
      <c r="AE63" s="67">
        <f>MAX(Tabella01MarzoInverter[[#This Row],[Active power TX2-INV-1]:[Active power TX2-INV-12]])</f>
        <v>65.5</v>
      </c>
      <c r="AF63" s="70">
        <f>MIN(Tabella01MarzoInverter[[#This Row],[Active power TX2-INV-1]:[Active power TX2-INV-12]])</f>
        <v>62.7</v>
      </c>
      <c r="AG63" s="71">
        <v>65.3</v>
      </c>
      <c r="AH63" s="67">
        <v>62.9</v>
      </c>
      <c r="AI63" s="67">
        <v>65.099999999999994</v>
      </c>
      <c r="AJ63" s="67">
        <v>62.5</v>
      </c>
      <c r="AK63" s="67">
        <v>62.6</v>
      </c>
      <c r="AL63" s="67">
        <v>65.2</v>
      </c>
      <c r="AM63" s="67">
        <v>65.3</v>
      </c>
      <c r="AN63" s="67">
        <v>64.8</v>
      </c>
      <c r="AO63" s="67">
        <v>65.400000000000006</v>
      </c>
      <c r="AP63" s="67">
        <v>65.3</v>
      </c>
      <c r="AQ63" s="67">
        <v>62.9</v>
      </c>
      <c r="AR63" s="68">
        <v>65.5</v>
      </c>
      <c r="AS63" s="69">
        <f>IFERROR(AVERAGEIF(Tabella01MarzoInverter[[#This Row],[Active power TX3-INV-1]:[Active power TX3-INV-12]], "&gt;0"), 0)</f>
        <v>64.399999999999991</v>
      </c>
      <c r="AT63" s="67">
        <f>MAX(Tabella01MarzoInverter[[#This Row],[Active power TX3-INV-1]:[Active power TX3-INV-12]])</f>
        <v>65.5</v>
      </c>
      <c r="AU63" s="70">
        <f>MIN(Tabella01MarzoInverter[[#This Row],[Active power TX3-INV-1]:[Active power TX3-INV-12]])</f>
        <v>62.5</v>
      </c>
    </row>
    <row r="64" spans="1:47" x14ac:dyDescent="0.25">
      <c r="A64" s="65">
        <v>46144</v>
      </c>
      <c r="B64" s="72" t="s">
        <v>64</v>
      </c>
      <c r="C64" s="67">
        <v>64.900000000000006</v>
      </c>
      <c r="D64" s="67">
        <v>65.2</v>
      </c>
      <c r="E64" s="67">
        <v>65.2</v>
      </c>
      <c r="F64" s="67">
        <v>65.2</v>
      </c>
      <c r="G64" s="67">
        <v>65.2</v>
      </c>
      <c r="H64" s="67">
        <v>65.599999999999994</v>
      </c>
      <c r="I64" s="67">
        <v>65.5</v>
      </c>
      <c r="J64" s="67">
        <v>65.5</v>
      </c>
      <c r="K64" s="67">
        <v>65.2</v>
      </c>
      <c r="L64" s="67">
        <v>65.400000000000006</v>
      </c>
      <c r="M64" s="67">
        <v>65.3</v>
      </c>
      <c r="N64" s="68">
        <v>64.8</v>
      </c>
      <c r="O64" s="69">
        <f>IFERROR(AVERAGEIF(Tabella01MarzoInverter[[#This Row],[Active power TX1-INV-1]:[Active power TX1-INV-12]], "&gt;0"), 0)</f>
        <v>65.249999999999986</v>
      </c>
      <c r="P64" s="67">
        <f>MAX(Tabella01MarzoInverter[[#This Row],[Active power TX1-INV-1]:[Active power TX1-INV-12]])</f>
        <v>65.599999999999994</v>
      </c>
      <c r="Q64" s="70">
        <f>MIN(Tabella01MarzoInverter[[#This Row],[Active power TX1-INV-1]:[Active power TX1-INV-12]])</f>
        <v>64.8</v>
      </c>
      <c r="R64" s="71">
        <v>65.599999999999994</v>
      </c>
      <c r="S64" s="67">
        <v>65</v>
      </c>
      <c r="T64" s="67">
        <v>65</v>
      </c>
      <c r="U64" s="67">
        <v>65.099999999999994</v>
      </c>
      <c r="V64" s="67">
        <v>65.3</v>
      </c>
      <c r="W64" s="67">
        <v>64.8</v>
      </c>
      <c r="X64" s="67">
        <v>65.400000000000006</v>
      </c>
      <c r="Y64" s="67">
        <v>65.400000000000006</v>
      </c>
      <c r="Z64" s="67">
        <v>65.2</v>
      </c>
      <c r="AA64" s="67">
        <v>65</v>
      </c>
      <c r="AB64" s="67">
        <v>65.2</v>
      </c>
      <c r="AC64" s="68">
        <v>65.400000000000006</v>
      </c>
      <c r="AD64" s="69">
        <f>IFERROR(AVERAGEIF(Tabella01MarzoInverter[[#This Row],[Active power TX2-INV-1]:[Active power TX2-INV-12]], "&gt;0"), 0)</f>
        <v>65.2</v>
      </c>
      <c r="AE64" s="67">
        <f>MAX(Tabella01MarzoInverter[[#This Row],[Active power TX2-INV-1]:[Active power TX2-INV-12]])</f>
        <v>65.599999999999994</v>
      </c>
      <c r="AF64" s="70">
        <f>MIN(Tabella01MarzoInverter[[#This Row],[Active power TX2-INV-1]:[Active power TX2-INV-12]])</f>
        <v>64.8</v>
      </c>
      <c r="AG64" s="71">
        <v>65.3</v>
      </c>
      <c r="AH64" s="67">
        <v>65.3</v>
      </c>
      <c r="AI64" s="67">
        <v>62.8</v>
      </c>
      <c r="AJ64" s="67">
        <v>64.7</v>
      </c>
      <c r="AK64" s="67">
        <v>62.8</v>
      </c>
      <c r="AL64" s="67">
        <v>65.3</v>
      </c>
      <c r="AM64" s="67">
        <v>58.1</v>
      </c>
      <c r="AN64" s="67">
        <v>64.900000000000006</v>
      </c>
      <c r="AO64" s="67">
        <v>65.400000000000006</v>
      </c>
      <c r="AP64" s="67">
        <v>65.3</v>
      </c>
      <c r="AQ64" s="67">
        <v>65.099999999999994</v>
      </c>
      <c r="AR64" s="68">
        <v>65.5</v>
      </c>
      <c r="AS64" s="69">
        <f>IFERROR(AVERAGEIF(Tabella01MarzoInverter[[#This Row],[Active power TX3-INV-1]:[Active power TX3-INV-12]], "&gt;0"), 0)</f>
        <v>64.208333333333329</v>
      </c>
      <c r="AT64" s="67">
        <f>MAX(Tabella01MarzoInverter[[#This Row],[Active power TX3-INV-1]:[Active power TX3-INV-12]])</f>
        <v>65.5</v>
      </c>
      <c r="AU64" s="70">
        <f>MIN(Tabella01MarzoInverter[[#This Row],[Active power TX3-INV-1]:[Active power TX3-INV-12]])</f>
        <v>58.1</v>
      </c>
    </row>
    <row r="65" spans="1:47" x14ac:dyDescent="0.25">
      <c r="A65" s="65">
        <v>46144</v>
      </c>
      <c r="B65" s="66" t="s">
        <v>65</v>
      </c>
      <c r="C65" s="67">
        <v>64.900000000000006</v>
      </c>
      <c r="D65" s="67">
        <v>65.2</v>
      </c>
      <c r="E65" s="67">
        <v>65.2</v>
      </c>
      <c r="F65" s="67">
        <v>65.2</v>
      </c>
      <c r="G65" s="67">
        <v>65.2</v>
      </c>
      <c r="H65" s="67">
        <v>65.599999999999994</v>
      </c>
      <c r="I65" s="67">
        <v>65.5</v>
      </c>
      <c r="J65" s="67">
        <v>65.599999999999994</v>
      </c>
      <c r="K65" s="67">
        <v>65.2</v>
      </c>
      <c r="L65" s="67">
        <v>65.400000000000006</v>
      </c>
      <c r="M65" s="67">
        <v>65.400000000000006</v>
      </c>
      <c r="N65" s="68">
        <v>64.8</v>
      </c>
      <c r="O65" s="69">
        <f>IFERROR(AVERAGEIF(Tabella01MarzoInverter[[#This Row],[Active power TX1-INV-1]:[Active power TX1-INV-12]], "&gt;0"), 0)</f>
        <v>65.266666666666666</v>
      </c>
      <c r="P65" s="67">
        <f>MAX(Tabella01MarzoInverter[[#This Row],[Active power TX1-INV-1]:[Active power TX1-INV-12]])</f>
        <v>65.599999999999994</v>
      </c>
      <c r="Q65" s="70">
        <f>MIN(Tabella01MarzoInverter[[#This Row],[Active power TX1-INV-1]:[Active power TX1-INV-12]])</f>
        <v>64.8</v>
      </c>
      <c r="R65" s="71">
        <v>65.599999999999994</v>
      </c>
      <c r="S65" s="67">
        <v>65.099999999999994</v>
      </c>
      <c r="T65" s="67">
        <v>65</v>
      </c>
      <c r="U65" s="67">
        <v>65.2</v>
      </c>
      <c r="V65" s="67">
        <v>65.400000000000006</v>
      </c>
      <c r="W65" s="67">
        <v>64.900000000000006</v>
      </c>
      <c r="X65" s="67">
        <v>65.400000000000006</v>
      </c>
      <c r="Y65" s="67">
        <v>65.400000000000006</v>
      </c>
      <c r="Z65" s="67">
        <v>65.2</v>
      </c>
      <c r="AA65" s="67">
        <v>65.099999999999994</v>
      </c>
      <c r="AB65" s="67">
        <v>65.2</v>
      </c>
      <c r="AC65" s="68">
        <v>65.400000000000006</v>
      </c>
      <c r="AD65" s="69">
        <f>IFERROR(AVERAGEIF(Tabella01MarzoInverter[[#This Row],[Active power TX2-INV-1]:[Active power TX2-INV-12]], "&gt;0"), 0)</f>
        <v>65.24166666666666</v>
      </c>
      <c r="AE65" s="67">
        <f>MAX(Tabella01MarzoInverter[[#This Row],[Active power TX2-INV-1]:[Active power TX2-INV-12]])</f>
        <v>65.599999999999994</v>
      </c>
      <c r="AF65" s="70">
        <f>MIN(Tabella01MarzoInverter[[#This Row],[Active power TX2-INV-1]:[Active power TX2-INV-12]])</f>
        <v>64.900000000000006</v>
      </c>
      <c r="AG65" s="71">
        <v>65.400000000000006</v>
      </c>
      <c r="AH65" s="67">
        <v>65.3</v>
      </c>
      <c r="AI65" s="67">
        <v>65.099999999999994</v>
      </c>
      <c r="AJ65" s="67">
        <v>64.7</v>
      </c>
      <c r="AK65" s="67">
        <v>63.3</v>
      </c>
      <c r="AL65" s="67">
        <v>65.3</v>
      </c>
      <c r="AM65" s="67">
        <v>65.3</v>
      </c>
      <c r="AN65" s="67">
        <v>64.900000000000006</v>
      </c>
      <c r="AO65" s="67">
        <v>65.400000000000006</v>
      </c>
      <c r="AP65" s="67">
        <v>65.3</v>
      </c>
      <c r="AQ65" s="67">
        <v>65.2</v>
      </c>
      <c r="AR65" s="68">
        <v>65.599999999999994</v>
      </c>
      <c r="AS65" s="69">
        <f>IFERROR(AVERAGEIF(Tabella01MarzoInverter[[#This Row],[Active power TX3-INV-1]:[Active power TX3-INV-12]], "&gt;0"), 0)</f>
        <v>65.066666666666677</v>
      </c>
      <c r="AT65" s="67">
        <f>MAX(Tabella01MarzoInverter[[#This Row],[Active power TX3-INV-1]:[Active power TX3-INV-12]])</f>
        <v>65.599999999999994</v>
      </c>
      <c r="AU65" s="70">
        <f>MIN(Tabella01MarzoInverter[[#This Row],[Active power TX3-INV-1]:[Active power TX3-INV-12]])</f>
        <v>63.3</v>
      </c>
    </row>
    <row r="66" spans="1:47" x14ac:dyDescent="0.25">
      <c r="A66" s="65">
        <v>46144</v>
      </c>
      <c r="B66" s="72" t="s">
        <v>66</v>
      </c>
      <c r="C66" s="67">
        <v>65</v>
      </c>
      <c r="D66" s="67">
        <v>65.3</v>
      </c>
      <c r="E66" s="67">
        <v>65.2</v>
      </c>
      <c r="F66" s="67">
        <v>65.3</v>
      </c>
      <c r="G66" s="67">
        <v>65.3</v>
      </c>
      <c r="H66" s="67">
        <v>65.599999999999994</v>
      </c>
      <c r="I66" s="67">
        <v>65.599999999999994</v>
      </c>
      <c r="J66" s="67">
        <v>65.599999999999994</v>
      </c>
      <c r="K66" s="67">
        <v>65.2</v>
      </c>
      <c r="L66" s="67">
        <v>65.5</v>
      </c>
      <c r="M66" s="67">
        <v>65.400000000000006</v>
      </c>
      <c r="N66" s="68">
        <v>64.900000000000006</v>
      </c>
      <c r="O66" s="69">
        <f>IFERROR(AVERAGEIF(Tabella01MarzoInverter[[#This Row],[Active power TX1-INV-1]:[Active power TX1-INV-12]], "&gt;0"), 0)</f>
        <v>65.325000000000003</v>
      </c>
      <c r="P66" s="67">
        <f>MAX(Tabella01MarzoInverter[[#This Row],[Active power TX1-INV-1]:[Active power TX1-INV-12]])</f>
        <v>65.599999999999994</v>
      </c>
      <c r="Q66" s="70">
        <f>MIN(Tabella01MarzoInverter[[#This Row],[Active power TX1-INV-1]:[Active power TX1-INV-12]])</f>
        <v>64.900000000000006</v>
      </c>
      <c r="R66" s="71">
        <v>63.4</v>
      </c>
      <c r="S66" s="67">
        <v>65.099999999999994</v>
      </c>
      <c r="T66" s="67">
        <v>65</v>
      </c>
      <c r="U66" s="67">
        <v>63</v>
      </c>
      <c r="V66" s="67">
        <v>65.400000000000006</v>
      </c>
      <c r="W66" s="67">
        <v>64.900000000000006</v>
      </c>
      <c r="X66" s="67">
        <v>65.400000000000006</v>
      </c>
      <c r="Y66" s="67">
        <v>65.400000000000006</v>
      </c>
      <c r="Z66" s="67">
        <v>65.2</v>
      </c>
      <c r="AA66" s="67">
        <v>62.8</v>
      </c>
      <c r="AB66" s="67">
        <v>65.2</v>
      </c>
      <c r="AC66" s="68">
        <v>65.400000000000006</v>
      </c>
      <c r="AD66" s="69">
        <f>IFERROR(AVERAGEIF(Tabella01MarzoInverter[[#This Row],[Active power TX2-INV-1]:[Active power TX2-INV-12]], "&gt;0"), 0)</f>
        <v>64.683333333333323</v>
      </c>
      <c r="AE66" s="67">
        <f>MAX(Tabella01MarzoInverter[[#This Row],[Active power TX2-INV-1]:[Active power TX2-INV-12]])</f>
        <v>65.400000000000006</v>
      </c>
      <c r="AF66" s="70">
        <f>MIN(Tabella01MarzoInverter[[#This Row],[Active power TX2-INV-1]:[Active power TX2-INV-12]])</f>
        <v>62.8</v>
      </c>
      <c r="AG66" s="71">
        <v>62.9</v>
      </c>
      <c r="AH66" s="67">
        <v>65.400000000000006</v>
      </c>
      <c r="AI66" s="67">
        <v>65.099999999999994</v>
      </c>
      <c r="AJ66" s="67">
        <v>64.7</v>
      </c>
      <c r="AK66" s="67">
        <v>62.1</v>
      </c>
      <c r="AL66" s="67">
        <v>65.3</v>
      </c>
      <c r="AM66" s="67">
        <v>65.400000000000006</v>
      </c>
      <c r="AN66" s="67">
        <v>64.900000000000006</v>
      </c>
      <c r="AO66" s="67">
        <v>65.5</v>
      </c>
      <c r="AP66" s="67">
        <v>65.3</v>
      </c>
      <c r="AQ66" s="67">
        <v>65.2</v>
      </c>
      <c r="AR66" s="68">
        <v>65.599999999999994</v>
      </c>
      <c r="AS66" s="69">
        <f>IFERROR(AVERAGEIF(Tabella01MarzoInverter[[#This Row],[Active power TX3-INV-1]:[Active power TX3-INV-12]], "&gt;0"), 0)</f>
        <v>64.783333333333346</v>
      </c>
      <c r="AT66" s="67">
        <f>MAX(Tabella01MarzoInverter[[#This Row],[Active power TX3-INV-1]:[Active power TX3-INV-12]])</f>
        <v>65.599999999999994</v>
      </c>
      <c r="AU66" s="70">
        <f>MIN(Tabella01MarzoInverter[[#This Row],[Active power TX3-INV-1]:[Active power TX3-INV-12]])</f>
        <v>62.1</v>
      </c>
    </row>
    <row r="67" spans="1:47" x14ac:dyDescent="0.25">
      <c r="A67" s="65">
        <v>46144</v>
      </c>
      <c r="B67" s="66" t="s">
        <v>67</v>
      </c>
      <c r="C67" s="67">
        <v>65</v>
      </c>
      <c r="D67" s="67">
        <v>65.3</v>
      </c>
      <c r="E67" s="67">
        <v>65.3</v>
      </c>
      <c r="F67" s="67">
        <v>65.2</v>
      </c>
      <c r="G67" s="67">
        <v>65.3</v>
      </c>
      <c r="H67" s="67">
        <v>65.599999999999994</v>
      </c>
      <c r="I67" s="67">
        <v>65.599999999999994</v>
      </c>
      <c r="J67" s="67">
        <v>65.599999999999994</v>
      </c>
      <c r="K67" s="67">
        <v>63</v>
      </c>
      <c r="L67" s="67">
        <v>65.5</v>
      </c>
      <c r="M67" s="67">
        <v>65.3</v>
      </c>
      <c r="N67" s="68">
        <v>65.400000000000006</v>
      </c>
      <c r="O67" s="69">
        <f>IFERROR(AVERAGEIF(Tabella01MarzoInverter[[#This Row],[Active power TX1-INV-1]:[Active power TX1-INV-12]], "&gt;0"), 0)</f>
        <v>65.174999999999997</v>
      </c>
      <c r="P67" s="67">
        <f>MAX(Tabella01MarzoInverter[[#This Row],[Active power TX1-INV-1]:[Active power TX1-INV-12]])</f>
        <v>65.599999999999994</v>
      </c>
      <c r="Q67" s="70">
        <f>MIN(Tabella01MarzoInverter[[#This Row],[Active power TX1-INV-1]:[Active power TX1-INV-12]])</f>
        <v>63</v>
      </c>
      <c r="R67" s="71">
        <v>65.599999999999994</v>
      </c>
      <c r="S67" s="67">
        <v>65.099999999999994</v>
      </c>
      <c r="T67" s="67">
        <v>65.099999999999994</v>
      </c>
      <c r="U67" s="67">
        <v>65.3</v>
      </c>
      <c r="V67" s="67">
        <v>65.3</v>
      </c>
      <c r="W67" s="67">
        <v>65</v>
      </c>
      <c r="X67" s="67">
        <v>65.5</v>
      </c>
      <c r="Y67" s="67">
        <v>65.5</v>
      </c>
      <c r="Z67" s="67">
        <v>65.3</v>
      </c>
      <c r="AA67" s="67">
        <v>65.099999999999994</v>
      </c>
      <c r="AB67" s="67">
        <v>65.2</v>
      </c>
      <c r="AC67" s="68">
        <v>63.2</v>
      </c>
      <c r="AD67" s="69">
        <f>IFERROR(AVERAGEIF(Tabella01MarzoInverter[[#This Row],[Active power TX2-INV-1]:[Active power TX2-INV-12]], "&gt;0"), 0)</f>
        <v>65.100000000000009</v>
      </c>
      <c r="AE67" s="67">
        <f>MAX(Tabella01MarzoInverter[[#This Row],[Active power TX2-INV-1]:[Active power TX2-INV-12]])</f>
        <v>65.599999999999994</v>
      </c>
      <c r="AF67" s="70">
        <f>MIN(Tabella01MarzoInverter[[#This Row],[Active power TX2-INV-1]:[Active power TX2-INV-12]])</f>
        <v>63.2</v>
      </c>
      <c r="AG67" s="71">
        <v>65.400000000000006</v>
      </c>
      <c r="AH67" s="67">
        <v>65.400000000000006</v>
      </c>
      <c r="AI67" s="67">
        <v>65.2</v>
      </c>
      <c r="AJ67" s="67">
        <v>64.8</v>
      </c>
      <c r="AK67" s="67">
        <v>65.099999999999994</v>
      </c>
      <c r="AL67" s="67">
        <v>65.400000000000006</v>
      </c>
      <c r="AM67" s="67">
        <v>65.400000000000006</v>
      </c>
      <c r="AN67" s="67">
        <v>65</v>
      </c>
      <c r="AO67" s="67">
        <v>65.5</v>
      </c>
      <c r="AP67" s="67">
        <v>64.8</v>
      </c>
      <c r="AQ67" s="67">
        <v>65</v>
      </c>
      <c r="AR67" s="68">
        <v>65.599999999999994</v>
      </c>
      <c r="AS67" s="69">
        <f>IFERROR(AVERAGEIF(Tabella01MarzoInverter[[#This Row],[Active power TX3-INV-1]:[Active power TX3-INV-12]], "&gt;0"), 0)</f>
        <v>65.216666666666654</v>
      </c>
      <c r="AT67" s="67">
        <f>MAX(Tabella01MarzoInverter[[#This Row],[Active power TX3-INV-1]:[Active power TX3-INV-12]])</f>
        <v>65.599999999999994</v>
      </c>
      <c r="AU67" s="70">
        <f>MIN(Tabella01MarzoInverter[[#This Row],[Active power TX3-INV-1]:[Active power TX3-INV-12]])</f>
        <v>64.8</v>
      </c>
    </row>
    <row r="68" spans="1:47" x14ac:dyDescent="0.25">
      <c r="A68" s="65">
        <v>46144</v>
      </c>
      <c r="B68" s="72" t="s">
        <v>68</v>
      </c>
      <c r="C68" s="67">
        <v>65</v>
      </c>
      <c r="D68" s="67">
        <v>65.3</v>
      </c>
      <c r="E68" s="67">
        <v>65.3</v>
      </c>
      <c r="F68" s="67">
        <v>65.3</v>
      </c>
      <c r="G68" s="67">
        <v>65.3</v>
      </c>
      <c r="H68" s="67">
        <v>65.599999999999994</v>
      </c>
      <c r="I68" s="67">
        <v>65.599999999999994</v>
      </c>
      <c r="J68" s="67">
        <v>65.599999999999994</v>
      </c>
      <c r="K68" s="67">
        <v>65.3</v>
      </c>
      <c r="L68" s="67">
        <v>65.5</v>
      </c>
      <c r="M68" s="67">
        <v>65.3</v>
      </c>
      <c r="N68" s="68">
        <v>65.3</v>
      </c>
      <c r="O68" s="69">
        <f>IFERROR(AVERAGEIF(Tabella01MarzoInverter[[#This Row],[Active power TX1-INV-1]:[Active power TX1-INV-12]], "&gt;0"), 0)</f>
        <v>65.36666666666666</v>
      </c>
      <c r="P68" s="67">
        <f>MAX(Tabella01MarzoInverter[[#This Row],[Active power TX1-INV-1]:[Active power TX1-INV-12]])</f>
        <v>65.599999999999994</v>
      </c>
      <c r="Q68" s="70">
        <f>MIN(Tabella01MarzoInverter[[#This Row],[Active power TX1-INV-1]:[Active power TX1-INV-12]])</f>
        <v>65</v>
      </c>
      <c r="R68" s="71">
        <v>65.599999999999994</v>
      </c>
      <c r="S68" s="67">
        <v>65.099999999999994</v>
      </c>
      <c r="T68" s="67">
        <v>65.099999999999994</v>
      </c>
      <c r="U68" s="67">
        <v>65.3</v>
      </c>
      <c r="V68" s="67">
        <v>65.3</v>
      </c>
      <c r="W68" s="67">
        <v>64.900000000000006</v>
      </c>
      <c r="X68" s="67">
        <v>65.400000000000006</v>
      </c>
      <c r="Y68" s="67">
        <v>65.400000000000006</v>
      </c>
      <c r="Z68" s="67">
        <v>65.3</v>
      </c>
      <c r="AA68" s="67">
        <v>65.099999999999994</v>
      </c>
      <c r="AB68" s="67">
        <v>65.3</v>
      </c>
      <c r="AC68" s="68">
        <v>65.400000000000006</v>
      </c>
      <c r="AD68" s="69">
        <f>IFERROR(AVERAGEIF(Tabella01MarzoInverter[[#This Row],[Active power TX2-INV-1]:[Active power TX2-INV-12]], "&gt;0"), 0)</f>
        <v>65.266666666666652</v>
      </c>
      <c r="AE68" s="67">
        <f>MAX(Tabella01MarzoInverter[[#This Row],[Active power TX2-INV-1]:[Active power TX2-INV-12]])</f>
        <v>65.599999999999994</v>
      </c>
      <c r="AF68" s="70">
        <f>MIN(Tabella01MarzoInverter[[#This Row],[Active power TX2-INV-1]:[Active power TX2-INV-12]])</f>
        <v>64.900000000000006</v>
      </c>
      <c r="AG68" s="71">
        <v>65.400000000000006</v>
      </c>
      <c r="AH68" s="67">
        <v>65.400000000000006</v>
      </c>
      <c r="AI68" s="67">
        <v>65.2</v>
      </c>
      <c r="AJ68" s="67">
        <v>64.8</v>
      </c>
      <c r="AK68" s="67">
        <v>65.2</v>
      </c>
      <c r="AL68" s="67">
        <v>65.5</v>
      </c>
      <c r="AM68" s="67">
        <v>65.400000000000006</v>
      </c>
      <c r="AN68" s="67">
        <v>65</v>
      </c>
      <c r="AO68" s="67">
        <v>65.5</v>
      </c>
      <c r="AP68" s="67">
        <v>64.8</v>
      </c>
      <c r="AQ68" s="67">
        <v>65</v>
      </c>
      <c r="AR68" s="68">
        <v>65.2</v>
      </c>
      <c r="AS68" s="69">
        <f>IFERROR(AVERAGEIF(Tabella01MarzoInverter[[#This Row],[Active power TX3-INV-1]:[Active power TX3-INV-12]], "&gt;0"), 0)</f>
        <v>65.2</v>
      </c>
      <c r="AT68" s="67">
        <f>MAX(Tabella01MarzoInverter[[#This Row],[Active power TX3-INV-1]:[Active power TX3-INV-12]])</f>
        <v>65.5</v>
      </c>
      <c r="AU68" s="70">
        <f>MIN(Tabella01MarzoInverter[[#This Row],[Active power TX3-INV-1]:[Active power TX3-INV-12]])</f>
        <v>64.8</v>
      </c>
    </row>
    <row r="69" spans="1:47" x14ac:dyDescent="0.25">
      <c r="A69" s="65">
        <v>46144</v>
      </c>
      <c r="B69" s="66" t="s">
        <v>69</v>
      </c>
      <c r="C69" s="67">
        <v>64.900000000000006</v>
      </c>
      <c r="D69" s="67">
        <v>65.2</v>
      </c>
      <c r="E69" s="67">
        <v>65.2</v>
      </c>
      <c r="F69" s="67">
        <v>65.2</v>
      </c>
      <c r="G69" s="67">
        <v>65.2</v>
      </c>
      <c r="H69" s="67">
        <v>64.7</v>
      </c>
      <c r="I69" s="67">
        <v>65.5</v>
      </c>
      <c r="J69" s="67">
        <v>65.599999999999994</v>
      </c>
      <c r="K69" s="67">
        <v>65.2</v>
      </c>
      <c r="L69" s="67">
        <v>65.400000000000006</v>
      </c>
      <c r="M69" s="67">
        <v>65.3</v>
      </c>
      <c r="N69" s="68">
        <v>65.3</v>
      </c>
      <c r="O69" s="69">
        <f>IFERROR(AVERAGEIF(Tabella01MarzoInverter[[#This Row],[Active power TX1-INV-1]:[Active power TX1-INV-12]], "&gt;0"), 0)</f>
        <v>65.224999999999994</v>
      </c>
      <c r="P69" s="67">
        <f>MAX(Tabella01MarzoInverter[[#This Row],[Active power TX1-INV-1]:[Active power TX1-INV-12]])</f>
        <v>65.599999999999994</v>
      </c>
      <c r="Q69" s="70">
        <f>MIN(Tabella01MarzoInverter[[#This Row],[Active power TX1-INV-1]:[Active power TX1-INV-12]])</f>
        <v>64.7</v>
      </c>
      <c r="R69" s="71">
        <v>65.599999999999994</v>
      </c>
      <c r="S69" s="67">
        <v>65.099999999999994</v>
      </c>
      <c r="T69" s="67">
        <v>65.099999999999994</v>
      </c>
      <c r="U69" s="67">
        <v>65.2</v>
      </c>
      <c r="V69" s="67">
        <v>65.3</v>
      </c>
      <c r="W69" s="67">
        <v>64.900000000000006</v>
      </c>
      <c r="X69" s="67">
        <v>65.400000000000006</v>
      </c>
      <c r="Y69" s="67">
        <v>65.400000000000006</v>
      </c>
      <c r="Z69" s="67">
        <v>65</v>
      </c>
      <c r="AA69" s="67">
        <v>64.7</v>
      </c>
      <c r="AB69" s="67">
        <v>65.2</v>
      </c>
      <c r="AC69" s="68">
        <v>65.400000000000006</v>
      </c>
      <c r="AD69" s="69">
        <f>IFERROR(AVERAGEIF(Tabella01MarzoInverter[[#This Row],[Active power TX2-INV-1]:[Active power TX2-INV-12]], "&gt;0"), 0)</f>
        <v>65.191666666666677</v>
      </c>
      <c r="AE69" s="67">
        <f>MAX(Tabella01MarzoInverter[[#This Row],[Active power TX2-INV-1]:[Active power TX2-INV-12]])</f>
        <v>65.599999999999994</v>
      </c>
      <c r="AF69" s="70">
        <f>MIN(Tabella01MarzoInverter[[#This Row],[Active power TX2-INV-1]:[Active power TX2-INV-12]])</f>
        <v>64.7</v>
      </c>
      <c r="AG69" s="71">
        <v>65.099999999999994</v>
      </c>
      <c r="AH69" s="67">
        <v>65.400000000000006</v>
      </c>
      <c r="AI69" s="67">
        <v>65.2</v>
      </c>
      <c r="AJ69" s="67">
        <v>64.7</v>
      </c>
      <c r="AK69" s="67">
        <v>65.099999999999994</v>
      </c>
      <c r="AL69" s="67">
        <v>65.400000000000006</v>
      </c>
      <c r="AM69" s="67">
        <v>63.1</v>
      </c>
      <c r="AN69" s="67">
        <v>64.7</v>
      </c>
      <c r="AO69" s="67">
        <v>65.400000000000006</v>
      </c>
      <c r="AP69" s="67">
        <v>64.8</v>
      </c>
      <c r="AQ69" s="67">
        <v>65</v>
      </c>
      <c r="AR69" s="68">
        <v>64.7</v>
      </c>
      <c r="AS69" s="69">
        <f>IFERROR(AVERAGEIF(Tabella01MarzoInverter[[#This Row],[Active power TX3-INV-1]:[Active power TX3-INV-12]], "&gt;0"), 0)</f>
        <v>64.88333333333334</v>
      </c>
      <c r="AT69" s="67">
        <f>MAX(Tabella01MarzoInverter[[#This Row],[Active power TX3-INV-1]:[Active power TX3-INV-12]])</f>
        <v>65.400000000000006</v>
      </c>
      <c r="AU69" s="70">
        <f>MIN(Tabella01MarzoInverter[[#This Row],[Active power TX3-INV-1]:[Active power TX3-INV-12]])</f>
        <v>63.1</v>
      </c>
    </row>
    <row r="70" spans="1:47" x14ac:dyDescent="0.25">
      <c r="A70" s="65">
        <v>46144</v>
      </c>
      <c r="B70" s="72" t="s">
        <v>70</v>
      </c>
      <c r="C70" s="67">
        <v>65</v>
      </c>
      <c r="D70" s="67">
        <v>65.3</v>
      </c>
      <c r="E70" s="67">
        <v>65.3</v>
      </c>
      <c r="F70" s="67">
        <v>65.3</v>
      </c>
      <c r="G70" s="67">
        <v>65.3</v>
      </c>
      <c r="H70" s="67">
        <v>64.7</v>
      </c>
      <c r="I70" s="67">
        <v>65.599999999999994</v>
      </c>
      <c r="J70" s="67">
        <v>65.599999999999994</v>
      </c>
      <c r="K70" s="67">
        <v>65.3</v>
      </c>
      <c r="L70" s="67">
        <v>65.5</v>
      </c>
      <c r="M70" s="67">
        <v>65.3</v>
      </c>
      <c r="N70" s="68">
        <v>65.3</v>
      </c>
      <c r="O70" s="69">
        <f>IFERROR(AVERAGEIF(Tabella01MarzoInverter[[#This Row],[Active power TX1-INV-1]:[Active power TX1-INV-12]], "&gt;0"), 0)</f>
        <v>65.291666666666657</v>
      </c>
      <c r="P70" s="67">
        <f>MAX(Tabella01MarzoInverter[[#This Row],[Active power TX1-INV-1]:[Active power TX1-INV-12]])</f>
        <v>65.599999999999994</v>
      </c>
      <c r="Q70" s="70">
        <f>MIN(Tabella01MarzoInverter[[#This Row],[Active power TX1-INV-1]:[Active power TX1-INV-12]])</f>
        <v>64.7</v>
      </c>
      <c r="R70" s="71">
        <v>65.599999999999994</v>
      </c>
      <c r="S70" s="67">
        <v>65.099999999999994</v>
      </c>
      <c r="T70" s="67">
        <v>65.099999999999994</v>
      </c>
      <c r="U70" s="67">
        <v>65.3</v>
      </c>
      <c r="V70" s="67">
        <v>65.3</v>
      </c>
      <c r="W70" s="67">
        <v>64.900000000000006</v>
      </c>
      <c r="X70" s="67">
        <v>65.5</v>
      </c>
      <c r="Y70" s="67">
        <v>65.5</v>
      </c>
      <c r="Z70" s="67">
        <v>65.3</v>
      </c>
      <c r="AA70" s="67">
        <v>65.099999999999994</v>
      </c>
      <c r="AB70" s="67">
        <v>65.3</v>
      </c>
      <c r="AC70" s="68">
        <v>65.5</v>
      </c>
      <c r="AD70" s="69">
        <f>IFERROR(AVERAGEIF(Tabella01MarzoInverter[[#This Row],[Active power TX2-INV-1]:[Active power TX2-INV-12]], "&gt;0"), 0)</f>
        <v>65.291666666666657</v>
      </c>
      <c r="AE70" s="67">
        <f>MAX(Tabella01MarzoInverter[[#This Row],[Active power TX2-INV-1]:[Active power TX2-INV-12]])</f>
        <v>65.599999999999994</v>
      </c>
      <c r="AF70" s="70">
        <f>MIN(Tabella01MarzoInverter[[#This Row],[Active power TX2-INV-1]:[Active power TX2-INV-12]])</f>
        <v>64.900000000000006</v>
      </c>
      <c r="AG70" s="71">
        <v>65</v>
      </c>
      <c r="AH70" s="67">
        <v>65.400000000000006</v>
      </c>
      <c r="AI70" s="67">
        <v>65.2</v>
      </c>
      <c r="AJ70" s="67">
        <v>64.8</v>
      </c>
      <c r="AK70" s="67">
        <v>65.2</v>
      </c>
      <c r="AL70" s="67">
        <v>65.5</v>
      </c>
      <c r="AM70" s="67">
        <v>65.400000000000006</v>
      </c>
      <c r="AN70" s="67">
        <v>65</v>
      </c>
      <c r="AO70" s="67">
        <v>65.5</v>
      </c>
      <c r="AP70" s="67">
        <v>64.8</v>
      </c>
      <c r="AQ70" s="67">
        <v>65</v>
      </c>
      <c r="AR70" s="68">
        <v>62.4</v>
      </c>
      <c r="AS70" s="69">
        <f>IFERROR(AVERAGEIF(Tabella01MarzoInverter[[#This Row],[Active power TX3-INV-1]:[Active power TX3-INV-12]], "&gt;0"), 0)</f>
        <v>64.933333333333323</v>
      </c>
      <c r="AT70" s="67">
        <f>MAX(Tabella01MarzoInverter[[#This Row],[Active power TX3-INV-1]:[Active power TX3-INV-12]])</f>
        <v>65.5</v>
      </c>
      <c r="AU70" s="70">
        <f>MIN(Tabella01MarzoInverter[[#This Row],[Active power TX3-INV-1]:[Active power TX3-INV-12]])</f>
        <v>62.4</v>
      </c>
    </row>
    <row r="71" spans="1:47" x14ac:dyDescent="0.25">
      <c r="A71" s="65">
        <v>46144</v>
      </c>
      <c r="B71" s="66" t="s">
        <v>71</v>
      </c>
      <c r="C71" s="67">
        <v>65</v>
      </c>
      <c r="D71" s="67">
        <v>65.3</v>
      </c>
      <c r="E71" s="67">
        <v>65.3</v>
      </c>
      <c r="F71" s="67">
        <v>65.2</v>
      </c>
      <c r="G71" s="67">
        <v>65.3</v>
      </c>
      <c r="H71" s="67">
        <v>64.7</v>
      </c>
      <c r="I71" s="67">
        <v>65.599999999999994</v>
      </c>
      <c r="J71" s="67">
        <v>65.599999999999994</v>
      </c>
      <c r="K71" s="67">
        <v>65.3</v>
      </c>
      <c r="L71" s="67">
        <v>65.400000000000006</v>
      </c>
      <c r="M71" s="67">
        <v>65.3</v>
      </c>
      <c r="N71" s="68">
        <v>65.400000000000006</v>
      </c>
      <c r="O71" s="69">
        <f>IFERROR(AVERAGEIF(Tabella01MarzoInverter[[#This Row],[Active power TX1-INV-1]:[Active power TX1-INV-12]], "&gt;0"), 0)</f>
        <v>65.283333333333317</v>
      </c>
      <c r="P71" s="67">
        <f>MAX(Tabella01MarzoInverter[[#This Row],[Active power TX1-INV-1]:[Active power TX1-INV-12]])</f>
        <v>65.599999999999994</v>
      </c>
      <c r="Q71" s="70">
        <f>MIN(Tabella01MarzoInverter[[#This Row],[Active power TX1-INV-1]:[Active power TX1-INV-12]])</f>
        <v>64.7</v>
      </c>
      <c r="R71" s="71">
        <v>65.599999999999994</v>
      </c>
      <c r="S71" s="67">
        <v>65.099999999999994</v>
      </c>
      <c r="T71" s="67">
        <v>65.099999999999994</v>
      </c>
      <c r="U71" s="67">
        <v>65.3</v>
      </c>
      <c r="V71" s="67">
        <v>65.3</v>
      </c>
      <c r="W71" s="67">
        <v>65</v>
      </c>
      <c r="X71" s="67">
        <v>65.5</v>
      </c>
      <c r="Y71" s="67">
        <v>65.5</v>
      </c>
      <c r="Z71" s="67">
        <v>65.3</v>
      </c>
      <c r="AA71" s="67">
        <v>65.099999999999994</v>
      </c>
      <c r="AB71" s="67">
        <v>65.3</v>
      </c>
      <c r="AC71" s="68">
        <v>65.5</v>
      </c>
      <c r="AD71" s="69">
        <f>IFERROR(AVERAGEIF(Tabella01MarzoInverter[[#This Row],[Active power TX2-INV-1]:[Active power TX2-INV-12]], "&gt;0"), 0)</f>
        <v>65.3</v>
      </c>
      <c r="AE71" s="67">
        <f>MAX(Tabella01MarzoInverter[[#This Row],[Active power TX2-INV-1]:[Active power TX2-INV-12]])</f>
        <v>65.599999999999994</v>
      </c>
      <c r="AF71" s="70">
        <f>MIN(Tabella01MarzoInverter[[#This Row],[Active power TX2-INV-1]:[Active power TX2-INV-12]])</f>
        <v>65</v>
      </c>
      <c r="AG71" s="71">
        <v>65</v>
      </c>
      <c r="AH71" s="67">
        <v>65.400000000000006</v>
      </c>
      <c r="AI71" s="67">
        <v>65.2</v>
      </c>
      <c r="AJ71" s="67">
        <v>64.8</v>
      </c>
      <c r="AK71" s="67">
        <v>65.2</v>
      </c>
      <c r="AL71" s="67">
        <v>65.5</v>
      </c>
      <c r="AM71" s="67">
        <v>63</v>
      </c>
      <c r="AN71" s="67">
        <v>65</v>
      </c>
      <c r="AO71" s="67">
        <v>65.5</v>
      </c>
      <c r="AP71" s="67">
        <v>64.8</v>
      </c>
      <c r="AQ71" s="67">
        <v>65</v>
      </c>
      <c r="AR71" s="68">
        <v>64.7</v>
      </c>
      <c r="AS71" s="69">
        <f>IFERROR(AVERAGEIF(Tabella01MarzoInverter[[#This Row],[Active power TX3-INV-1]:[Active power TX3-INV-12]], "&gt;0"), 0)</f>
        <v>64.924999999999997</v>
      </c>
      <c r="AT71" s="67">
        <f>MAX(Tabella01MarzoInverter[[#This Row],[Active power TX3-INV-1]:[Active power TX3-INV-12]])</f>
        <v>65.5</v>
      </c>
      <c r="AU71" s="70">
        <f>MIN(Tabella01MarzoInverter[[#This Row],[Active power TX3-INV-1]:[Active power TX3-INV-12]])</f>
        <v>63</v>
      </c>
    </row>
    <row r="72" spans="1:47" x14ac:dyDescent="0.25">
      <c r="A72" s="65">
        <v>46144</v>
      </c>
      <c r="B72" s="72" t="s">
        <v>72</v>
      </c>
      <c r="C72" s="67">
        <v>65.099999999999994</v>
      </c>
      <c r="D72" s="67">
        <v>65.400000000000006</v>
      </c>
      <c r="E72" s="67">
        <v>65.3</v>
      </c>
      <c r="F72" s="67">
        <v>65.3</v>
      </c>
      <c r="G72" s="67">
        <v>65.3</v>
      </c>
      <c r="H72" s="67">
        <v>64.8</v>
      </c>
      <c r="I72" s="67">
        <v>65.599999999999994</v>
      </c>
      <c r="J72" s="67">
        <v>65.7</v>
      </c>
      <c r="K72" s="67">
        <v>65.3</v>
      </c>
      <c r="L72" s="67">
        <v>65.5</v>
      </c>
      <c r="M72" s="67">
        <v>65.3</v>
      </c>
      <c r="N72" s="68">
        <v>65.400000000000006</v>
      </c>
      <c r="O72" s="69">
        <f>IFERROR(AVERAGEIF(Tabella01MarzoInverter[[#This Row],[Active power TX1-INV-1]:[Active power TX1-INV-12]], "&gt;0"), 0)</f>
        <v>65.333333333333329</v>
      </c>
      <c r="P72" s="67">
        <f>MAX(Tabella01MarzoInverter[[#This Row],[Active power TX1-INV-1]:[Active power TX1-INV-12]])</f>
        <v>65.7</v>
      </c>
      <c r="Q72" s="70">
        <f>MIN(Tabella01MarzoInverter[[#This Row],[Active power TX1-INV-1]:[Active power TX1-INV-12]])</f>
        <v>64.8</v>
      </c>
      <c r="R72" s="71">
        <v>65.7</v>
      </c>
      <c r="S72" s="67">
        <v>62.9</v>
      </c>
      <c r="T72" s="67">
        <v>65.099999999999994</v>
      </c>
      <c r="U72" s="67">
        <v>63</v>
      </c>
      <c r="V72" s="67">
        <v>65.400000000000006</v>
      </c>
      <c r="W72" s="67">
        <v>65</v>
      </c>
      <c r="X72" s="67">
        <v>65.5</v>
      </c>
      <c r="Y72" s="67">
        <v>65.5</v>
      </c>
      <c r="Z72" s="67">
        <v>65.3</v>
      </c>
      <c r="AA72" s="67">
        <v>65.2</v>
      </c>
      <c r="AB72" s="67">
        <v>65.3</v>
      </c>
      <c r="AC72" s="68">
        <v>65.5</v>
      </c>
      <c r="AD72" s="69">
        <f>IFERROR(AVERAGEIF(Tabella01MarzoInverter[[#This Row],[Active power TX2-INV-1]:[Active power TX2-INV-12]], "&gt;0"), 0)</f>
        <v>64.95</v>
      </c>
      <c r="AE72" s="67">
        <f>MAX(Tabella01MarzoInverter[[#This Row],[Active power TX2-INV-1]:[Active power TX2-INV-12]])</f>
        <v>65.7</v>
      </c>
      <c r="AF72" s="70">
        <f>MIN(Tabella01MarzoInverter[[#This Row],[Active power TX2-INV-1]:[Active power TX2-INV-12]])</f>
        <v>62.9</v>
      </c>
      <c r="AG72" s="71">
        <v>65.099999999999994</v>
      </c>
      <c r="AH72" s="67">
        <v>65.5</v>
      </c>
      <c r="AI72" s="67">
        <v>65.3</v>
      </c>
      <c r="AJ72" s="67">
        <v>64.8</v>
      </c>
      <c r="AK72" s="67">
        <v>65.2</v>
      </c>
      <c r="AL72" s="67">
        <v>65.5</v>
      </c>
      <c r="AM72" s="67">
        <v>65.5</v>
      </c>
      <c r="AN72" s="67">
        <v>65</v>
      </c>
      <c r="AO72" s="67">
        <v>65.599999999999994</v>
      </c>
      <c r="AP72" s="67">
        <v>64.900000000000006</v>
      </c>
      <c r="AQ72" s="67">
        <v>65.099999999999994</v>
      </c>
      <c r="AR72" s="68">
        <v>64.8</v>
      </c>
      <c r="AS72" s="69">
        <f>IFERROR(AVERAGEIF(Tabella01MarzoInverter[[#This Row],[Active power TX3-INV-1]:[Active power TX3-INV-12]], "&gt;0"), 0)</f>
        <v>65.191666666666663</v>
      </c>
      <c r="AT72" s="67">
        <f>MAX(Tabella01MarzoInverter[[#This Row],[Active power TX3-INV-1]:[Active power TX3-INV-12]])</f>
        <v>65.599999999999994</v>
      </c>
      <c r="AU72" s="70">
        <f>MIN(Tabella01MarzoInverter[[#This Row],[Active power TX3-INV-1]:[Active power TX3-INV-12]])</f>
        <v>64.8</v>
      </c>
    </row>
    <row r="73" spans="1:47" x14ac:dyDescent="0.25">
      <c r="A73" s="65">
        <v>46144</v>
      </c>
      <c r="B73" s="66" t="s">
        <v>73</v>
      </c>
      <c r="C73" s="67">
        <v>65</v>
      </c>
      <c r="D73" s="67">
        <v>63.1</v>
      </c>
      <c r="E73" s="67">
        <v>65.2</v>
      </c>
      <c r="F73" s="67">
        <v>65.2</v>
      </c>
      <c r="G73" s="67">
        <v>65.2</v>
      </c>
      <c r="H73" s="67">
        <v>64.7</v>
      </c>
      <c r="I73" s="67">
        <v>65.599999999999994</v>
      </c>
      <c r="J73" s="67">
        <v>65.599999999999994</v>
      </c>
      <c r="K73" s="67">
        <v>65.2</v>
      </c>
      <c r="L73" s="67">
        <v>65.5</v>
      </c>
      <c r="M73" s="67">
        <v>65.3</v>
      </c>
      <c r="N73" s="68">
        <v>65.3</v>
      </c>
      <c r="O73" s="69">
        <f>IFERROR(AVERAGEIF(Tabella01MarzoInverter[[#This Row],[Active power TX1-INV-1]:[Active power TX1-INV-12]], "&gt;0"), 0)</f>
        <v>65.075000000000003</v>
      </c>
      <c r="P73" s="67">
        <f>MAX(Tabella01MarzoInverter[[#This Row],[Active power TX1-INV-1]:[Active power TX1-INV-12]])</f>
        <v>65.599999999999994</v>
      </c>
      <c r="Q73" s="70">
        <f>MIN(Tabella01MarzoInverter[[#This Row],[Active power TX1-INV-1]:[Active power TX1-INV-12]])</f>
        <v>63.1</v>
      </c>
      <c r="R73" s="71">
        <v>65.599999999999994</v>
      </c>
      <c r="S73" s="67">
        <v>65.099999999999994</v>
      </c>
      <c r="T73" s="67">
        <v>65.099999999999994</v>
      </c>
      <c r="U73" s="67">
        <v>65.3</v>
      </c>
      <c r="V73" s="67">
        <v>65.3</v>
      </c>
      <c r="W73" s="67">
        <v>65</v>
      </c>
      <c r="X73" s="67">
        <v>65.400000000000006</v>
      </c>
      <c r="Y73" s="67">
        <v>65.5</v>
      </c>
      <c r="Z73" s="67">
        <v>65.3</v>
      </c>
      <c r="AA73" s="67">
        <v>65.099999999999994</v>
      </c>
      <c r="AB73" s="67">
        <v>65.3</v>
      </c>
      <c r="AC73" s="68">
        <v>65.400000000000006</v>
      </c>
      <c r="AD73" s="69">
        <f>IFERROR(AVERAGEIF(Tabella01MarzoInverter[[#This Row],[Active power TX2-INV-1]:[Active power TX2-INV-12]], "&gt;0"), 0)</f>
        <v>65.283333333333317</v>
      </c>
      <c r="AE73" s="67">
        <f>MAX(Tabella01MarzoInverter[[#This Row],[Active power TX2-INV-1]:[Active power TX2-INV-12]])</f>
        <v>65.599999999999994</v>
      </c>
      <c r="AF73" s="70">
        <f>MIN(Tabella01MarzoInverter[[#This Row],[Active power TX2-INV-1]:[Active power TX2-INV-12]])</f>
        <v>65</v>
      </c>
      <c r="AG73" s="71">
        <v>65.099999999999994</v>
      </c>
      <c r="AH73" s="67">
        <v>65.400000000000006</v>
      </c>
      <c r="AI73" s="67">
        <v>65.3</v>
      </c>
      <c r="AJ73" s="67">
        <v>64.8</v>
      </c>
      <c r="AK73" s="67">
        <v>65.2</v>
      </c>
      <c r="AL73" s="67">
        <v>65.5</v>
      </c>
      <c r="AM73" s="67">
        <v>63.1</v>
      </c>
      <c r="AN73" s="67">
        <v>65</v>
      </c>
      <c r="AO73" s="67">
        <v>63.1</v>
      </c>
      <c r="AP73" s="67">
        <v>64.8</v>
      </c>
      <c r="AQ73" s="67">
        <v>65</v>
      </c>
      <c r="AR73" s="68">
        <v>64.8</v>
      </c>
      <c r="AS73" s="69">
        <f>IFERROR(AVERAGEIF(Tabella01MarzoInverter[[#This Row],[Active power TX3-INV-1]:[Active power TX3-INV-12]], "&gt;0"), 0)</f>
        <v>64.75833333333334</v>
      </c>
      <c r="AT73" s="67">
        <f>MAX(Tabella01MarzoInverter[[#This Row],[Active power TX3-INV-1]:[Active power TX3-INV-12]])</f>
        <v>65.5</v>
      </c>
      <c r="AU73" s="70">
        <f>MIN(Tabella01MarzoInverter[[#This Row],[Active power TX3-INV-1]:[Active power TX3-INV-12]])</f>
        <v>63.1</v>
      </c>
    </row>
    <row r="74" spans="1:47" x14ac:dyDescent="0.25">
      <c r="A74" s="65">
        <v>46144</v>
      </c>
      <c r="B74" s="72" t="s">
        <v>74</v>
      </c>
      <c r="C74" s="67">
        <v>66.400000000000006</v>
      </c>
      <c r="D74" s="67">
        <v>66.8</v>
      </c>
      <c r="E74" s="67">
        <v>67.400000000000006</v>
      </c>
      <c r="F74" s="67">
        <v>67</v>
      </c>
      <c r="G74" s="67">
        <v>66.400000000000006</v>
      </c>
      <c r="H74" s="67">
        <v>65.5</v>
      </c>
      <c r="I74" s="67">
        <v>67.5</v>
      </c>
      <c r="J74" s="67">
        <v>67.8</v>
      </c>
      <c r="K74" s="67">
        <v>67.400000000000006</v>
      </c>
      <c r="L74" s="67">
        <v>66.7</v>
      </c>
      <c r="M74" s="67">
        <v>66.2</v>
      </c>
      <c r="N74" s="68">
        <v>67.2</v>
      </c>
      <c r="O74" s="69">
        <f>IFERROR(AVERAGEIF(Tabella01MarzoInverter[[#This Row],[Active power TX1-INV-1]:[Active power TX1-INV-12]], "&gt;0"), 0)</f>
        <v>66.858333333333334</v>
      </c>
      <c r="P74" s="67">
        <f>MAX(Tabella01MarzoInverter[[#This Row],[Active power TX1-INV-1]:[Active power TX1-INV-12]])</f>
        <v>67.8</v>
      </c>
      <c r="Q74" s="70">
        <f>MIN(Tabella01MarzoInverter[[#This Row],[Active power TX1-INV-1]:[Active power TX1-INV-12]])</f>
        <v>65.5</v>
      </c>
      <c r="R74" s="71">
        <v>66.8</v>
      </c>
      <c r="S74" s="67">
        <v>66.5</v>
      </c>
      <c r="T74" s="67">
        <v>66.099999999999994</v>
      </c>
      <c r="U74" s="67">
        <v>66.900000000000006</v>
      </c>
      <c r="V74" s="67">
        <v>66.900000000000006</v>
      </c>
      <c r="W74" s="67">
        <v>66.3</v>
      </c>
      <c r="X74" s="67">
        <v>67.3</v>
      </c>
      <c r="Y74" s="67">
        <v>66.3</v>
      </c>
      <c r="Z74" s="67">
        <v>66.099999999999994</v>
      </c>
      <c r="AA74" s="67">
        <v>67.099999999999994</v>
      </c>
      <c r="AB74" s="67">
        <v>67.2</v>
      </c>
      <c r="AC74" s="68">
        <v>67.599999999999994</v>
      </c>
      <c r="AD74" s="69">
        <f>IFERROR(AVERAGEIF(Tabella01MarzoInverter[[#This Row],[Active power TX2-INV-1]:[Active power TX2-INV-12]], "&gt;0"), 0)</f>
        <v>66.75833333333334</v>
      </c>
      <c r="AE74" s="67">
        <f>MAX(Tabella01MarzoInverter[[#This Row],[Active power TX2-INV-1]:[Active power TX2-INV-12]])</f>
        <v>67.599999999999994</v>
      </c>
      <c r="AF74" s="70">
        <f>MIN(Tabella01MarzoInverter[[#This Row],[Active power TX2-INV-1]:[Active power TX2-INV-12]])</f>
        <v>66.099999999999994</v>
      </c>
      <c r="AG74" s="71">
        <v>67</v>
      </c>
      <c r="AH74" s="67">
        <v>66.7</v>
      </c>
      <c r="AI74" s="67">
        <v>67.400000000000006</v>
      </c>
      <c r="AJ74" s="67">
        <v>65.599999999999994</v>
      </c>
      <c r="AK74" s="67">
        <v>66.099999999999994</v>
      </c>
      <c r="AL74" s="67">
        <v>66.2</v>
      </c>
      <c r="AM74" s="67">
        <v>66.5</v>
      </c>
      <c r="AN74" s="67">
        <v>66.5</v>
      </c>
      <c r="AO74" s="67">
        <v>67.3</v>
      </c>
      <c r="AP74" s="67">
        <v>66.8</v>
      </c>
      <c r="AQ74" s="67">
        <v>66.400000000000006</v>
      </c>
      <c r="AR74" s="68">
        <v>66.400000000000006</v>
      </c>
      <c r="AS74" s="69">
        <f>IFERROR(AVERAGEIF(Tabella01MarzoInverter[[#This Row],[Active power TX3-INV-1]:[Active power TX3-INV-12]], "&gt;0"), 0)</f>
        <v>66.574999999999989</v>
      </c>
      <c r="AT74" s="67">
        <f>MAX(Tabella01MarzoInverter[[#This Row],[Active power TX3-INV-1]:[Active power TX3-INV-12]])</f>
        <v>67.400000000000006</v>
      </c>
      <c r="AU74" s="70">
        <f>MIN(Tabella01MarzoInverter[[#This Row],[Active power TX3-INV-1]:[Active power TX3-INV-12]])</f>
        <v>65.599999999999994</v>
      </c>
    </row>
    <row r="75" spans="1:47" x14ac:dyDescent="0.25">
      <c r="A75" s="65">
        <v>46144</v>
      </c>
      <c r="B75" s="66" t="s">
        <v>75</v>
      </c>
      <c r="C75" s="67">
        <v>132.1</v>
      </c>
      <c r="D75" s="67">
        <v>132.5</v>
      </c>
      <c r="E75" s="67">
        <v>131.4</v>
      </c>
      <c r="F75" s="67">
        <v>132.69999999999999</v>
      </c>
      <c r="G75" s="67">
        <v>132</v>
      </c>
      <c r="H75" s="67">
        <v>130.9</v>
      </c>
      <c r="I75" s="67">
        <v>133.1</v>
      </c>
      <c r="J75" s="67">
        <v>131.69999999999999</v>
      </c>
      <c r="K75" s="67">
        <v>131</v>
      </c>
      <c r="L75" s="67">
        <v>132.30000000000001</v>
      </c>
      <c r="M75" s="67">
        <v>131.80000000000001</v>
      </c>
      <c r="N75" s="68">
        <v>132.69999999999999</v>
      </c>
      <c r="O75" s="69">
        <f>IFERROR(AVERAGEIF(Tabella01MarzoInverter[[#This Row],[Active power TX1-INV-1]:[Active power TX1-INV-12]], "&gt;0"), 0)</f>
        <v>132.01666666666668</v>
      </c>
      <c r="P75" s="67">
        <f>MAX(Tabella01MarzoInverter[[#This Row],[Active power TX1-INV-1]:[Active power TX1-INV-12]])</f>
        <v>133.1</v>
      </c>
      <c r="Q75" s="70">
        <f>MIN(Tabella01MarzoInverter[[#This Row],[Active power TX1-INV-1]:[Active power TX1-INV-12]])</f>
        <v>130.9</v>
      </c>
      <c r="R75" s="71">
        <v>132.6</v>
      </c>
      <c r="S75" s="67">
        <v>132.30000000000001</v>
      </c>
      <c r="T75" s="67">
        <v>131.80000000000001</v>
      </c>
      <c r="U75" s="67">
        <v>132.69999999999999</v>
      </c>
      <c r="V75" s="67">
        <v>132.69999999999999</v>
      </c>
      <c r="W75" s="67">
        <v>128.1</v>
      </c>
      <c r="X75" s="67">
        <v>131.1</v>
      </c>
      <c r="Y75" s="67">
        <v>132</v>
      </c>
      <c r="Z75" s="67">
        <v>131.69999999999999</v>
      </c>
      <c r="AA75" s="67">
        <v>131.5</v>
      </c>
      <c r="AB75" s="67">
        <v>131.30000000000001</v>
      </c>
      <c r="AC75" s="68">
        <v>131.5</v>
      </c>
      <c r="AD75" s="69">
        <f>IFERROR(AVERAGEIF(Tabella01MarzoInverter[[#This Row],[Active power TX2-INV-1]:[Active power TX2-INV-12]], "&gt;0"), 0)</f>
        <v>131.60833333333332</v>
      </c>
      <c r="AE75" s="67">
        <f>MAX(Tabella01MarzoInverter[[#This Row],[Active power TX2-INV-1]:[Active power TX2-INV-12]])</f>
        <v>132.69999999999999</v>
      </c>
      <c r="AF75" s="70">
        <f>MIN(Tabella01MarzoInverter[[#This Row],[Active power TX2-INV-1]:[Active power TX2-INV-12]])</f>
        <v>128.1</v>
      </c>
      <c r="AG75" s="71">
        <v>132.80000000000001</v>
      </c>
      <c r="AH75" s="67">
        <v>132.4</v>
      </c>
      <c r="AI75" s="67">
        <v>131.30000000000001</v>
      </c>
      <c r="AJ75" s="67">
        <v>131.19999999999999</v>
      </c>
      <c r="AK75" s="67">
        <v>131.69999999999999</v>
      </c>
      <c r="AL75" s="67">
        <v>131.5</v>
      </c>
      <c r="AM75" s="67">
        <v>132</v>
      </c>
      <c r="AN75" s="67">
        <v>132.1</v>
      </c>
      <c r="AO75" s="67">
        <v>132.9</v>
      </c>
      <c r="AP75" s="67">
        <v>127.1</v>
      </c>
      <c r="AQ75" s="67">
        <v>131.9</v>
      </c>
      <c r="AR75" s="68">
        <v>131.80000000000001</v>
      </c>
      <c r="AS75" s="69">
        <f>IFERROR(AVERAGEIF(Tabella01MarzoInverter[[#This Row],[Active power TX3-INV-1]:[Active power TX3-INV-12]], "&gt;0"), 0)</f>
        <v>131.55833333333334</v>
      </c>
      <c r="AT75" s="67">
        <f>MAX(Tabella01MarzoInverter[[#This Row],[Active power TX3-INV-1]:[Active power TX3-INV-12]])</f>
        <v>132.9</v>
      </c>
      <c r="AU75" s="70">
        <f>MIN(Tabella01MarzoInverter[[#This Row],[Active power TX3-INV-1]:[Active power TX3-INV-12]])</f>
        <v>127.1</v>
      </c>
    </row>
    <row r="76" spans="1:47" x14ac:dyDescent="0.25">
      <c r="A76" s="65">
        <v>46144</v>
      </c>
      <c r="B76" s="72" t="s">
        <v>76</v>
      </c>
      <c r="C76" s="67">
        <v>246.7</v>
      </c>
      <c r="D76" s="67">
        <v>245.1</v>
      </c>
      <c r="E76" s="67">
        <v>247.1</v>
      </c>
      <c r="F76" s="67">
        <v>245.4</v>
      </c>
      <c r="G76" s="67">
        <v>247.2</v>
      </c>
      <c r="H76" s="67">
        <v>246.8</v>
      </c>
      <c r="I76" s="67">
        <v>245.5</v>
      </c>
      <c r="J76" s="67">
        <v>246.5</v>
      </c>
      <c r="K76" s="67">
        <v>246.3</v>
      </c>
      <c r="L76" s="67">
        <v>247.5</v>
      </c>
      <c r="M76" s="67">
        <v>247.6</v>
      </c>
      <c r="N76" s="68">
        <v>245.5</v>
      </c>
      <c r="O76" s="69">
        <f>IFERROR(AVERAGEIF(Tabella01MarzoInverter[[#This Row],[Active power TX1-INV-1]:[Active power TX1-INV-12]], "&gt;0"), 0)</f>
        <v>246.43333333333331</v>
      </c>
      <c r="P76" s="67">
        <f>MAX(Tabella01MarzoInverter[[#This Row],[Active power TX1-INV-1]:[Active power TX1-INV-12]])</f>
        <v>247.6</v>
      </c>
      <c r="Q76" s="70">
        <f>MIN(Tabella01MarzoInverter[[#This Row],[Active power TX1-INV-1]:[Active power TX1-INV-12]])</f>
        <v>245.1</v>
      </c>
      <c r="R76" s="71">
        <v>239.1</v>
      </c>
      <c r="S76" s="67">
        <v>245.8</v>
      </c>
      <c r="T76" s="67">
        <v>248.1</v>
      </c>
      <c r="U76" s="67">
        <v>246.6</v>
      </c>
      <c r="V76" s="67">
        <v>246.4</v>
      </c>
      <c r="W76" s="67">
        <v>245</v>
      </c>
      <c r="X76" s="67">
        <v>246.7</v>
      </c>
      <c r="Y76" s="67">
        <v>245.5</v>
      </c>
      <c r="Z76" s="67">
        <v>248.1</v>
      </c>
      <c r="AA76" s="67">
        <v>248.1</v>
      </c>
      <c r="AB76" s="67">
        <v>247.5</v>
      </c>
      <c r="AC76" s="68">
        <v>246.6</v>
      </c>
      <c r="AD76" s="69">
        <f>IFERROR(AVERAGEIF(Tabella01MarzoInverter[[#This Row],[Active power TX2-INV-1]:[Active power TX2-INV-12]], "&gt;0"), 0)</f>
        <v>246.125</v>
      </c>
      <c r="AE76" s="67">
        <f>MAX(Tabella01MarzoInverter[[#This Row],[Active power TX2-INV-1]:[Active power TX2-INV-12]])</f>
        <v>248.1</v>
      </c>
      <c r="AF76" s="70">
        <f>MIN(Tabella01MarzoInverter[[#This Row],[Active power TX2-INV-1]:[Active power TX2-INV-12]])</f>
        <v>239.1</v>
      </c>
      <c r="AG76" s="71">
        <v>246.1</v>
      </c>
      <c r="AH76" s="67">
        <v>245.3</v>
      </c>
      <c r="AI76" s="67">
        <v>246.7</v>
      </c>
      <c r="AJ76" s="67">
        <v>246.3</v>
      </c>
      <c r="AK76" s="67">
        <v>246.9</v>
      </c>
      <c r="AL76" s="67">
        <v>247</v>
      </c>
      <c r="AM76" s="67">
        <v>247.5</v>
      </c>
      <c r="AN76" s="67">
        <v>245.3</v>
      </c>
      <c r="AO76" s="67">
        <v>244.9</v>
      </c>
      <c r="AP76" s="67">
        <v>246.5</v>
      </c>
      <c r="AQ76" s="67">
        <v>245.1</v>
      </c>
      <c r="AR76" s="68">
        <v>245.4</v>
      </c>
      <c r="AS76" s="69">
        <f>IFERROR(AVERAGEIF(Tabella01MarzoInverter[[#This Row],[Active power TX3-INV-1]:[Active power TX3-INV-12]], "&gt;0"), 0)</f>
        <v>246.08333333333334</v>
      </c>
      <c r="AT76" s="67">
        <f>MAX(Tabella01MarzoInverter[[#This Row],[Active power TX3-INV-1]:[Active power TX3-INV-12]])</f>
        <v>247.5</v>
      </c>
      <c r="AU76" s="70">
        <f>MIN(Tabella01MarzoInverter[[#This Row],[Active power TX3-INV-1]:[Active power TX3-INV-12]])</f>
        <v>244.9</v>
      </c>
    </row>
    <row r="77" spans="1:47" x14ac:dyDescent="0.25">
      <c r="A77" s="65">
        <v>46144</v>
      </c>
      <c r="B77" s="66" t="s">
        <v>77</v>
      </c>
      <c r="C77" s="67">
        <v>281.2</v>
      </c>
      <c r="D77" s="67">
        <v>281.2</v>
      </c>
      <c r="E77" s="67">
        <v>281.10000000000002</v>
      </c>
      <c r="F77" s="67">
        <v>281.10000000000002</v>
      </c>
      <c r="G77" s="67">
        <v>281.10000000000002</v>
      </c>
      <c r="H77" s="67">
        <v>281.10000000000002</v>
      </c>
      <c r="I77" s="67">
        <v>280.39999999999998</v>
      </c>
      <c r="J77" s="67">
        <v>280.7</v>
      </c>
      <c r="K77" s="67">
        <v>281</v>
      </c>
      <c r="L77" s="67">
        <v>281.3</v>
      </c>
      <c r="M77" s="67">
        <v>281.10000000000002</v>
      </c>
      <c r="N77" s="68">
        <v>281</v>
      </c>
      <c r="O77" s="69">
        <f>IFERROR(AVERAGEIF(Tabella01MarzoInverter[[#This Row],[Active power TX1-INV-1]:[Active power TX1-INV-12]], "&gt;0"), 0)</f>
        <v>281.02499999999998</v>
      </c>
      <c r="P77" s="67">
        <f>MAX(Tabella01MarzoInverter[[#This Row],[Active power TX1-INV-1]:[Active power TX1-INV-12]])</f>
        <v>281.3</v>
      </c>
      <c r="Q77" s="70">
        <f>MIN(Tabella01MarzoInverter[[#This Row],[Active power TX1-INV-1]:[Active power TX1-INV-12]])</f>
        <v>280.39999999999998</v>
      </c>
      <c r="R77" s="71">
        <v>281</v>
      </c>
      <c r="S77" s="67">
        <v>281.2</v>
      </c>
      <c r="T77" s="67">
        <v>280.2</v>
      </c>
      <c r="U77" s="67">
        <v>281.2</v>
      </c>
      <c r="V77" s="67">
        <v>281.5</v>
      </c>
      <c r="W77" s="67">
        <v>280.8</v>
      </c>
      <c r="X77" s="67">
        <v>281.10000000000002</v>
      </c>
      <c r="Y77" s="67">
        <v>281</v>
      </c>
      <c r="Z77" s="67">
        <v>281.10000000000002</v>
      </c>
      <c r="AA77" s="67">
        <v>281.8</v>
      </c>
      <c r="AB77" s="67">
        <v>281.10000000000002</v>
      </c>
      <c r="AC77" s="68">
        <v>280</v>
      </c>
      <c r="AD77" s="69">
        <f>IFERROR(AVERAGEIF(Tabella01MarzoInverter[[#This Row],[Active power TX2-INV-1]:[Active power TX2-INV-12]], "&gt;0"), 0)</f>
        <v>281</v>
      </c>
      <c r="AE77" s="67">
        <f>MAX(Tabella01MarzoInverter[[#This Row],[Active power TX2-INV-1]:[Active power TX2-INV-12]])</f>
        <v>281.8</v>
      </c>
      <c r="AF77" s="70">
        <f>MIN(Tabella01MarzoInverter[[#This Row],[Active power TX2-INV-1]:[Active power TX2-INV-12]])</f>
        <v>280</v>
      </c>
      <c r="AG77" s="71">
        <v>281.10000000000002</v>
      </c>
      <c r="AH77" s="67">
        <v>281.10000000000002</v>
      </c>
      <c r="AI77" s="67">
        <v>281.3</v>
      </c>
      <c r="AJ77" s="67">
        <v>279.7</v>
      </c>
      <c r="AK77" s="67">
        <v>280</v>
      </c>
      <c r="AL77" s="67">
        <v>281.5</v>
      </c>
      <c r="AM77" s="67">
        <v>280</v>
      </c>
      <c r="AN77" s="67">
        <v>281.3</v>
      </c>
      <c r="AO77" s="67">
        <v>279.89999999999998</v>
      </c>
      <c r="AP77" s="67">
        <v>281.10000000000002</v>
      </c>
      <c r="AQ77" s="67">
        <v>281.2</v>
      </c>
      <c r="AR77" s="68">
        <v>281.2</v>
      </c>
      <c r="AS77" s="69">
        <f>IFERROR(AVERAGEIF(Tabella01MarzoInverter[[#This Row],[Active power TX3-INV-1]:[Active power TX3-INV-12]], "&gt;0"), 0)</f>
        <v>280.7833333333333</v>
      </c>
      <c r="AT77" s="67">
        <f>MAX(Tabella01MarzoInverter[[#This Row],[Active power TX3-INV-1]:[Active power TX3-INV-12]])</f>
        <v>281.5</v>
      </c>
      <c r="AU77" s="70">
        <f>MIN(Tabella01MarzoInverter[[#This Row],[Active power TX3-INV-1]:[Active power TX3-INV-12]])</f>
        <v>279.7</v>
      </c>
    </row>
    <row r="78" spans="1:47" x14ac:dyDescent="0.25">
      <c r="A78" s="65">
        <v>46144</v>
      </c>
      <c r="B78" s="72" t="s">
        <v>78</v>
      </c>
      <c r="C78" s="67">
        <v>281.2</v>
      </c>
      <c r="D78" s="67">
        <v>281.10000000000002</v>
      </c>
      <c r="E78" s="67">
        <v>281.10000000000002</v>
      </c>
      <c r="F78" s="67">
        <v>281.10000000000002</v>
      </c>
      <c r="G78" s="67">
        <v>281.10000000000002</v>
      </c>
      <c r="H78" s="67">
        <v>281.10000000000002</v>
      </c>
      <c r="I78" s="67">
        <v>280.39999999999998</v>
      </c>
      <c r="J78" s="67">
        <v>280.7</v>
      </c>
      <c r="K78" s="67">
        <v>281</v>
      </c>
      <c r="L78" s="67">
        <v>281.3</v>
      </c>
      <c r="M78" s="67">
        <v>281.10000000000002</v>
      </c>
      <c r="N78" s="68">
        <v>281</v>
      </c>
      <c r="O78" s="69">
        <f>IFERROR(AVERAGEIF(Tabella01MarzoInverter[[#This Row],[Active power TX1-INV-1]:[Active power TX1-INV-12]], "&gt;0"), 0)</f>
        <v>281.01666666666665</v>
      </c>
      <c r="P78" s="67">
        <f>MAX(Tabella01MarzoInverter[[#This Row],[Active power TX1-INV-1]:[Active power TX1-INV-12]])</f>
        <v>281.3</v>
      </c>
      <c r="Q78" s="70">
        <f>MIN(Tabella01MarzoInverter[[#This Row],[Active power TX1-INV-1]:[Active power TX1-INV-12]])</f>
        <v>280.39999999999998</v>
      </c>
      <c r="R78" s="71">
        <v>281.10000000000002</v>
      </c>
      <c r="S78" s="67">
        <v>281.3</v>
      </c>
      <c r="T78" s="67">
        <v>280.2</v>
      </c>
      <c r="U78" s="67">
        <v>281.3</v>
      </c>
      <c r="V78" s="67">
        <v>281.60000000000002</v>
      </c>
      <c r="W78" s="67">
        <v>280.8</v>
      </c>
      <c r="X78" s="67">
        <v>281.10000000000002</v>
      </c>
      <c r="Y78" s="67">
        <v>281</v>
      </c>
      <c r="Z78" s="67">
        <v>281.10000000000002</v>
      </c>
      <c r="AA78" s="67">
        <v>281.7</v>
      </c>
      <c r="AB78" s="67">
        <v>281</v>
      </c>
      <c r="AC78" s="68">
        <v>280</v>
      </c>
      <c r="AD78" s="69">
        <f>IFERROR(AVERAGEIF(Tabella01MarzoInverter[[#This Row],[Active power TX2-INV-1]:[Active power TX2-INV-12]], "&gt;0"), 0)</f>
        <v>281.01666666666665</v>
      </c>
      <c r="AE78" s="67">
        <f>MAX(Tabella01MarzoInverter[[#This Row],[Active power TX2-INV-1]:[Active power TX2-INV-12]])</f>
        <v>281.7</v>
      </c>
      <c r="AF78" s="70">
        <f>MIN(Tabella01MarzoInverter[[#This Row],[Active power TX2-INV-1]:[Active power TX2-INV-12]])</f>
        <v>280</v>
      </c>
      <c r="AG78" s="71">
        <v>281.10000000000002</v>
      </c>
      <c r="AH78" s="67">
        <v>273.3</v>
      </c>
      <c r="AI78" s="67">
        <v>281.3</v>
      </c>
      <c r="AJ78" s="67">
        <v>279.7</v>
      </c>
      <c r="AK78" s="67">
        <v>280</v>
      </c>
      <c r="AL78" s="67">
        <v>281.39999999999998</v>
      </c>
      <c r="AM78" s="67">
        <v>280</v>
      </c>
      <c r="AN78" s="67">
        <v>281.3</v>
      </c>
      <c r="AO78" s="67">
        <v>279.89999999999998</v>
      </c>
      <c r="AP78" s="67">
        <v>281.10000000000002</v>
      </c>
      <c r="AQ78" s="67">
        <v>281.2</v>
      </c>
      <c r="AR78" s="68">
        <v>281.2</v>
      </c>
      <c r="AS78" s="69">
        <f>IFERROR(AVERAGEIF(Tabella01MarzoInverter[[#This Row],[Active power TX3-INV-1]:[Active power TX3-INV-12]], "&gt;0"), 0)</f>
        <v>280.125</v>
      </c>
      <c r="AT78" s="67">
        <f>MAX(Tabella01MarzoInverter[[#This Row],[Active power TX3-INV-1]:[Active power TX3-INV-12]])</f>
        <v>281.39999999999998</v>
      </c>
      <c r="AU78" s="70">
        <f>MIN(Tabella01MarzoInverter[[#This Row],[Active power TX3-INV-1]:[Active power TX3-INV-12]])</f>
        <v>273.3</v>
      </c>
    </row>
    <row r="79" spans="1:47" x14ac:dyDescent="0.25">
      <c r="A79" s="65">
        <v>46144</v>
      </c>
      <c r="B79" s="66" t="s">
        <v>79</v>
      </c>
      <c r="C79" s="67">
        <v>281.2</v>
      </c>
      <c r="D79" s="67">
        <v>281.2</v>
      </c>
      <c r="E79" s="67">
        <v>281.10000000000002</v>
      </c>
      <c r="F79" s="67">
        <v>281.10000000000002</v>
      </c>
      <c r="G79" s="67">
        <v>281.10000000000002</v>
      </c>
      <c r="H79" s="67">
        <v>281.10000000000002</v>
      </c>
      <c r="I79" s="67">
        <v>280.39999999999998</v>
      </c>
      <c r="J79" s="67">
        <v>280.7</v>
      </c>
      <c r="K79" s="67">
        <v>281.10000000000002</v>
      </c>
      <c r="L79" s="67">
        <v>281.3</v>
      </c>
      <c r="M79" s="67">
        <v>281.10000000000002</v>
      </c>
      <c r="N79" s="68">
        <v>281</v>
      </c>
      <c r="O79" s="69">
        <f>IFERROR(AVERAGEIF(Tabella01MarzoInverter[[#This Row],[Active power TX1-INV-1]:[Active power TX1-INV-12]], "&gt;0"), 0)</f>
        <v>281.0333333333333</v>
      </c>
      <c r="P79" s="67">
        <f>MAX(Tabella01MarzoInverter[[#This Row],[Active power TX1-INV-1]:[Active power TX1-INV-12]])</f>
        <v>281.3</v>
      </c>
      <c r="Q79" s="70">
        <f>MIN(Tabella01MarzoInverter[[#This Row],[Active power TX1-INV-1]:[Active power TX1-INV-12]])</f>
        <v>280.39999999999998</v>
      </c>
      <c r="R79" s="71">
        <v>281.10000000000002</v>
      </c>
      <c r="S79" s="67">
        <v>281.3</v>
      </c>
      <c r="T79" s="67">
        <v>280.2</v>
      </c>
      <c r="U79" s="67">
        <v>281.3</v>
      </c>
      <c r="V79" s="67">
        <v>281.60000000000002</v>
      </c>
      <c r="W79" s="67">
        <v>280.8</v>
      </c>
      <c r="X79" s="67">
        <v>281.10000000000002</v>
      </c>
      <c r="Y79" s="67">
        <v>281</v>
      </c>
      <c r="Z79" s="67">
        <v>281.10000000000002</v>
      </c>
      <c r="AA79" s="67">
        <v>272.39999999999998</v>
      </c>
      <c r="AB79" s="67">
        <v>281.10000000000002</v>
      </c>
      <c r="AC79" s="68">
        <v>280</v>
      </c>
      <c r="AD79" s="69">
        <f>IFERROR(AVERAGEIF(Tabella01MarzoInverter[[#This Row],[Active power TX2-INV-1]:[Active power TX2-INV-12]], "&gt;0"), 0)</f>
        <v>280.25</v>
      </c>
      <c r="AE79" s="67">
        <f>MAX(Tabella01MarzoInverter[[#This Row],[Active power TX2-INV-1]:[Active power TX2-INV-12]])</f>
        <v>281.60000000000002</v>
      </c>
      <c r="AF79" s="70">
        <f>MIN(Tabella01MarzoInverter[[#This Row],[Active power TX2-INV-1]:[Active power TX2-INV-12]])</f>
        <v>272.39999999999998</v>
      </c>
      <c r="AG79" s="71">
        <v>281.10000000000002</v>
      </c>
      <c r="AH79" s="67">
        <v>279.2</v>
      </c>
      <c r="AI79" s="67">
        <v>281.3</v>
      </c>
      <c r="AJ79" s="67">
        <v>279.7</v>
      </c>
      <c r="AK79" s="67">
        <v>280</v>
      </c>
      <c r="AL79" s="67">
        <v>281.5</v>
      </c>
      <c r="AM79" s="67">
        <v>276</v>
      </c>
      <c r="AN79" s="67">
        <v>281.3</v>
      </c>
      <c r="AO79" s="67">
        <v>270.3</v>
      </c>
      <c r="AP79" s="67">
        <v>281.10000000000002</v>
      </c>
      <c r="AQ79" s="67">
        <v>281.2</v>
      </c>
      <c r="AR79" s="68">
        <v>281.2</v>
      </c>
      <c r="AS79" s="69">
        <f>IFERROR(AVERAGEIF(Tabella01MarzoInverter[[#This Row],[Active power TX3-INV-1]:[Active power TX3-INV-12]], "&gt;0"), 0)</f>
        <v>279.49166666666662</v>
      </c>
      <c r="AT79" s="67">
        <f>MAX(Tabella01MarzoInverter[[#This Row],[Active power TX3-INV-1]:[Active power TX3-INV-12]])</f>
        <v>281.5</v>
      </c>
      <c r="AU79" s="70">
        <f>MIN(Tabella01MarzoInverter[[#This Row],[Active power TX3-INV-1]:[Active power TX3-INV-12]])</f>
        <v>270.3</v>
      </c>
    </row>
    <row r="80" spans="1:47" x14ac:dyDescent="0.25">
      <c r="A80" s="65">
        <v>46144</v>
      </c>
      <c r="B80" s="72" t="s">
        <v>80</v>
      </c>
      <c r="C80" s="67">
        <v>281.2</v>
      </c>
      <c r="D80" s="67">
        <v>281.2</v>
      </c>
      <c r="E80" s="67">
        <v>281.10000000000002</v>
      </c>
      <c r="F80" s="67">
        <v>281.10000000000002</v>
      </c>
      <c r="G80" s="67">
        <v>281.10000000000002</v>
      </c>
      <c r="H80" s="67">
        <v>281.10000000000002</v>
      </c>
      <c r="I80" s="67">
        <v>280.39999999999998</v>
      </c>
      <c r="J80" s="67">
        <v>280.7</v>
      </c>
      <c r="K80" s="67">
        <v>281</v>
      </c>
      <c r="L80" s="67">
        <v>281.3</v>
      </c>
      <c r="M80" s="67">
        <v>281.10000000000002</v>
      </c>
      <c r="N80" s="68">
        <v>281</v>
      </c>
      <c r="O80" s="69">
        <f>IFERROR(AVERAGEIF(Tabella01MarzoInverter[[#This Row],[Active power TX1-INV-1]:[Active power TX1-INV-12]], "&gt;0"), 0)</f>
        <v>281.02499999999998</v>
      </c>
      <c r="P80" s="67">
        <f>MAX(Tabella01MarzoInverter[[#This Row],[Active power TX1-INV-1]:[Active power TX1-INV-12]])</f>
        <v>281.3</v>
      </c>
      <c r="Q80" s="70">
        <f>MIN(Tabella01MarzoInverter[[#This Row],[Active power TX1-INV-1]:[Active power TX1-INV-12]])</f>
        <v>280.39999999999998</v>
      </c>
      <c r="R80" s="71">
        <v>281</v>
      </c>
      <c r="S80" s="67">
        <v>281.2</v>
      </c>
      <c r="T80" s="67">
        <v>280.2</v>
      </c>
      <c r="U80" s="67">
        <v>281.2</v>
      </c>
      <c r="V80" s="67">
        <v>281.5</v>
      </c>
      <c r="W80" s="67">
        <v>280.8</v>
      </c>
      <c r="X80" s="67">
        <v>281</v>
      </c>
      <c r="Y80" s="67">
        <v>281</v>
      </c>
      <c r="Z80" s="67">
        <v>281.10000000000002</v>
      </c>
      <c r="AA80" s="67">
        <v>271.7</v>
      </c>
      <c r="AB80" s="67">
        <v>281.10000000000002</v>
      </c>
      <c r="AC80" s="68">
        <v>280</v>
      </c>
      <c r="AD80" s="69">
        <f>IFERROR(AVERAGEIF(Tabella01MarzoInverter[[#This Row],[Active power TX2-INV-1]:[Active power TX2-INV-12]], "&gt;0"), 0)</f>
        <v>280.14999999999998</v>
      </c>
      <c r="AE80" s="67">
        <f>MAX(Tabella01MarzoInverter[[#This Row],[Active power TX2-INV-1]:[Active power TX2-INV-12]])</f>
        <v>281.5</v>
      </c>
      <c r="AF80" s="70">
        <f>MIN(Tabella01MarzoInverter[[#This Row],[Active power TX2-INV-1]:[Active power TX2-INV-12]])</f>
        <v>271.7</v>
      </c>
      <c r="AG80" s="71">
        <v>281.10000000000002</v>
      </c>
      <c r="AH80" s="67">
        <v>281.10000000000002</v>
      </c>
      <c r="AI80" s="67">
        <v>281.3</v>
      </c>
      <c r="AJ80" s="67">
        <v>279.7</v>
      </c>
      <c r="AK80" s="67">
        <v>280</v>
      </c>
      <c r="AL80" s="67">
        <v>281.5</v>
      </c>
      <c r="AM80" s="67">
        <v>274.39999999999998</v>
      </c>
      <c r="AN80" s="67">
        <v>271.3</v>
      </c>
      <c r="AO80" s="67">
        <v>279.89999999999998</v>
      </c>
      <c r="AP80" s="67">
        <v>281.10000000000002</v>
      </c>
      <c r="AQ80" s="67">
        <v>281.2</v>
      </c>
      <c r="AR80" s="68">
        <v>281.2</v>
      </c>
      <c r="AS80" s="69">
        <f>IFERROR(AVERAGEIF(Tabella01MarzoInverter[[#This Row],[Active power TX3-INV-1]:[Active power TX3-INV-12]], "&gt;0"), 0)</f>
        <v>279.48333333333329</v>
      </c>
      <c r="AT80" s="67">
        <f>MAX(Tabella01MarzoInverter[[#This Row],[Active power TX3-INV-1]:[Active power TX3-INV-12]])</f>
        <v>281.5</v>
      </c>
      <c r="AU80" s="70">
        <f>MIN(Tabella01MarzoInverter[[#This Row],[Active power TX3-INV-1]:[Active power TX3-INV-12]])</f>
        <v>271.3</v>
      </c>
    </row>
    <row r="81" spans="1:47" x14ac:dyDescent="0.25">
      <c r="A81" s="65">
        <v>46144</v>
      </c>
      <c r="B81" s="66" t="s">
        <v>81</v>
      </c>
      <c r="C81" s="67">
        <v>281.2</v>
      </c>
      <c r="D81" s="67">
        <v>281.2</v>
      </c>
      <c r="E81" s="67">
        <v>281.10000000000002</v>
      </c>
      <c r="F81" s="67">
        <v>281.10000000000002</v>
      </c>
      <c r="G81" s="67">
        <v>281.10000000000002</v>
      </c>
      <c r="H81" s="67">
        <v>281.10000000000002</v>
      </c>
      <c r="I81" s="67">
        <v>280.39999999999998</v>
      </c>
      <c r="J81" s="67">
        <v>280.7</v>
      </c>
      <c r="K81" s="67">
        <v>281.10000000000002</v>
      </c>
      <c r="L81" s="67">
        <v>281.3</v>
      </c>
      <c r="M81" s="67">
        <v>281.10000000000002</v>
      </c>
      <c r="N81" s="68">
        <v>281</v>
      </c>
      <c r="O81" s="69">
        <f>IFERROR(AVERAGEIF(Tabella01MarzoInverter[[#This Row],[Active power TX1-INV-1]:[Active power TX1-INV-12]], "&gt;0"), 0)</f>
        <v>281.0333333333333</v>
      </c>
      <c r="P81" s="67">
        <f>MAX(Tabella01MarzoInverter[[#This Row],[Active power TX1-INV-1]:[Active power TX1-INV-12]])</f>
        <v>281.3</v>
      </c>
      <c r="Q81" s="70">
        <f>MIN(Tabella01MarzoInverter[[#This Row],[Active power TX1-INV-1]:[Active power TX1-INV-12]])</f>
        <v>280.39999999999998</v>
      </c>
      <c r="R81" s="71">
        <v>281.10000000000002</v>
      </c>
      <c r="S81" s="67">
        <v>281.2</v>
      </c>
      <c r="T81" s="67">
        <v>280.2</v>
      </c>
      <c r="U81" s="67">
        <v>281.3</v>
      </c>
      <c r="V81" s="67">
        <v>281.5</v>
      </c>
      <c r="W81" s="67">
        <v>280.8</v>
      </c>
      <c r="X81" s="67">
        <v>281</v>
      </c>
      <c r="Y81" s="67">
        <v>281</v>
      </c>
      <c r="Z81" s="67">
        <v>281.10000000000002</v>
      </c>
      <c r="AA81" s="67">
        <v>281.7</v>
      </c>
      <c r="AB81" s="67">
        <v>281.10000000000002</v>
      </c>
      <c r="AC81" s="68">
        <v>280</v>
      </c>
      <c r="AD81" s="69">
        <f>IFERROR(AVERAGEIF(Tabella01MarzoInverter[[#This Row],[Active power TX2-INV-1]:[Active power TX2-INV-12]], "&gt;0"), 0)</f>
        <v>280.99999999999994</v>
      </c>
      <c r="AE81" s="67">
        <f>MAX(Tabella01MarzoInverter[[#This Row],[Active power TX2-INV-1]:[Active power TX2-INV-12]])</f>
        <v>281.7</v>
      </c>
      <c r="AF81" s="70">
        <f>MIN(Tabella01MarzoInverter[[#This Row],[Active power TX2-INV-1]:[Active power TX2-INV-12]])</f>
        <v>280</v>
      </c>
      <c r="AG81" s="71">
        <v>281.10000000000002</v>
      </c>
      <c r="AH81" s="67">
        <v>281.10000000000002</v>
      </c>
      <c r="AI81" s="67">
        <v>281.3</v>
      </c>
      <c r="AJ81" s="67">
        <v>279.7</v>
      </c>
      <c r="AK81" s="67">
        <v>280</v>
      </c>
      <c r="AL81" s="67">
        <v>281.39999999999998</v>
      </c>
      <c r="AM81" s="67">
        <v>280</v>
      </c>
      <c r="AN81" s="67">
        <v>281.3</v>
      </c>
      <c r="AO81" s="67">
        <v>279.89999999999998</v>
      </c>
      <c r="AP81" s="67">
        <v>281.10000000000002</v>
      </c>
      <c r="AQ81" s="67">
        <v>281.2</v>
      </c>
      <c r="AR81" s="68">
        <v>281.2</v>
      </c>
      <c r="AS81" s="69">
        <f>IFERROR(AVERAGEIF(Tabella01MarzoInverter[[#This Row],[Active power TX3-INV-1]:[Active power TX3-INV-12]], "&gt;0"), 0)</f>
        <v>280.77499999999998</v>
      </c>
      <c r="AT81" s="67">
        <f>MAX(Tabella01MarzoInverter[[#This Row],[Active power TX3-INV-1]:[Active power TX3-INV-12]])</f>
        <v>281.39999999999998</v>
      </c>
      <c r="AU81" s="70">
        <f>MIN(Tabella01MarzoInverter[[#This Row],[Active power TX3-INV-1]:[Active power TX3-INV-12]])</f>
        <v>279.7</v>
      </c>
    </row>
    <row r="82" spans="1:47" x14ac:dyDescent="0.25">
      <c r="A82" s="65">
        <v>46144</v>
      </c>
      <c r="B82" s="72" t="s">
        <v>82</v>
      </c>
      <c r="C82" s="67">
        <v>281.2</v>
      </c>
      <c r="D82" s="67">
        <v>281.2</v>
      </c>
      <c r="E82" s="67">
        <v>281.10000000000002</v>
      </c>
      <c r="F82" s="67">
        <v>281.10000000000002</v>
      </c>
      <c r="G82" s="67">
        <v>281.10000000000002</v>
      </c>
      <c r="H82" s="67">
        <v>281.10000000000002</v>
      </c>
      <c r="I82" s="67">
        <v>280.39999999999998</v>
      </c>
      <c r="J82" s="67">
        <v>280.7</v>
      </c>
      <c r="K82" s="67">
        <v>281</v>
      </c>
      <c r="L82" s="67">
        <v>281.3</v>
      </c>
      <c r="M82" s="67">
        <v>281.10000000000002</v>
      </c>
      <c r="N82" s="68">
        <v>281</v>
      </c>
      <c r="O82" s="69">
        <f>IFERROR(AVERAGEIF(Tabella01MarzoInverter[[#This Row],[Active power TX1-INV-1]:[Active power TX1-INV-12]], "&gt;0"), 0)</f>
        <v>281.02499999999998</v>
      </c>
      <c r="P82" s="67">
        <f>MAX(Tabella01MarzoInverter[[#This Row],[Active power TX1-INV-1]:[Active power TX1-INV-12]])</f>
        <v>281.3</v>
      </c>
      <c r="Q82" s="70">
        <f>MIN(Tabella01MarzoInverter[[#This Row],[Active power TX1-INV-1]:[Active power TX1-INV-12]])</f>
        <v>280.39999999999998</v>
      </c>
      <c r="R82" s="71">
        <v>281.10000000000002</v>
      </c>
      <c r="S82" s="67">
        <v>281.3</v>
      </c>
      <c r="T82" s="67">
        <v>280.2</v>
      </c>
      <c r="U82" s="67">
        <v>281.3</v>
      </c>
      <c r="V82" s="67">
        <v>281.5</v>
      </c>
      <c r="W82" s="67">
        <v>280.8</v>
      </c>
      <c r="X82" s="67">
        <v>281.10000000000002</v>
      </c>
      <c r="Y82" s="67">
        <v>281</v>
      </c>
      <c r="Z82" s="67">
        <v>281.10000000000002</v>
      </c>
      <c r="AA82" s="67">
        <v>281.7</v>
      </c>
      <c r="AB82" s="67">
        <v>281.10000000000002</v>
      </c>
      <c r="AC82" s="68">
        <v>280</v>
      </c>
      <c r="AD82" s="69">
        <f>IFERROR(AVERAGEIF(Tabella01MarzoInverter[[#This Row],[Active power TX2-INV-1]:[Active power TX2-INV-12]], "&gt;0"), 0)</f>
        <v>281.01666666666665</v>
      </c>
      <c r="AE82" s="67">
        <f>MAX(Tabella01MarzoInverter[[#This Row],[Active power TX2-INV-1]:[Active power TX2-INV-12]])</f>
        <v>281.7</v>
      </c>
      <c r="AF82" s="70">
        <f>MIN(Tabella01MarzoInverter[[#This Row],[Active power TX2-INV-1]:[Active power TX2-INV-12]])</f>
        <v>280</v>
      </c>
      <c r="AG82" s="71">
        <v>281.10000000000002</v>
      </c>
      <c r="AH82" s="67">
        <v>281</v>
      </c>
      <c r="AI82" s="67">
        <v>281.3</v>
      </c>
      <c r="AJ82" s="67">
        <v>279.7</v>
      </c>
      <c r="AK82" s="67">
        <v>280</v>
      </c>
      <c r="AL82" s="67">
        <v>281.39999999999998</v>
      </c>
      <c r="AM82" s="67">
        <v>280</v>
      </c>
      <c r="AN82" s="67">
        <v>281.3</v>
      </c>
      <c r="AO82" s="67">
        <v>279.89999999999998</v>
      </c>
      <c r="AP82" s="67">
        <v>281.10000000000002</v>
      </c>
      <c r="AQ82" s="67">
        <v>281.2</v>
      </c>
      <c r="AR82" s="68">
        <v>281.2</v>
      </c>
      <c r="AS82" s="69">
        <f>IFERROR(AVERAGEIF(Tabella01MarzoInverter[[#This Row],[Active power TX3-INV-1]:[Active power TX3-INV-12]], "&gt;0"), 0)</f>
        <v>280.76666666666665</v>
      </c>
      <c r="AT82" s="67">
        <f>MAX(Tabella01MarzoInverter[[#This Row],[Active power TX3-INV-1]:[Active power TX3-INV-12]])</f>
        <v>281.39999999999998</v>
      </c>
      <c r="AU82" s="70">
        <f>MIN(Tabella01MarzoInverter[[#This Row],[Active power TX3-INV-1]:[Active power TX3-INV-12]])</f>
        <v>279.7</v>
      </c>
    </row>
    <row r="83" spans="1:47" x14ac:dyDescent="0.25">
      <c r="A83" s="65">
        <v>46144</v>
      </c>
      <c r="B83" s="66" t="s">
        <v>83</v>
      </c>
      <c r="C83" s="67">
        <v>281.3</v>
      </c>
      <c r="D83" s="67">
        <v>281.2</v>
      </c>
      <c r="E83" s="67">
        <v>281.2</v>
      </c>
      <c r="F83" s="67">
        <v>281.2</v>
      </c>
      <c r="G83" s="67">
        <v>281.10000000000002</v>
      </c>
      <c r="H83" s="67">
        <v>281.2</v>
      </c>
      <c r="I83" s="67">
        <v>280.39999999999998</v>
      </c>
      <c r="J83" s="67">
        <v>280.7</v>
      </c>
      <c r="K83" s="67">
        <v>281.10000000000002</v>
      </c>
      <c r="L83" s="67">
        <v>281.3</v>
      </c>
      <c r="M83" s="67">
        <v>281.10000000000002</v>
      </c>
      <c r="N83" s="68">
        <v>281</v>
      </c>
      <c r="O83" s="69">
        <f>IFERROR(AVERAGEIF(Tabella01MarzoInverter[[#This Row],[Active power TX1-INV-1]:[Active power TX1-INV-12]], "&gt;0"), 0)</f>
        <v>281.06666666666666</v>
      </c>
      <c r="P83" s="67">
        <f>MAX(Tabella01MarzoInverter[[#This Row],[Active power TX1-INV-1]:[Active power TX1-INV-12]])</f>
        <v>281.3</v>
      </c>
      <c r="Q83" s="70">
        <f>MIN(Tabella01MarzoInverter[[#This Row],[Active power TX1-INV-1]:[Active power TX1-INV-12]])</f>
        <v>280.39999999999998</v>
      </c>
      <c r="R83" s="71">
        <v>281.2</v>
      </c>
      <c r="S83" s="67">
        <v>281.3</v>
      </c>
      <c r="T83" s="67">
        <v>280.2</v>
      </c>
      <c r="U83" s="67">
        <v>281.39999999999998</v>
      </c>
      <c r="V83" s="67">
        <v>281.60000000000002</v>
      </c>
      <c r="W83" s="67">
        <v>280.8</v>
      </c>
      <c r="X83" s="67">
        <v>281.10000000000002</v>
      </c>
      <c r="Y83" s="67">
        <v>281.10000000000002</v>
      </c>
      <c r="Z83" s="67">
        <v>281.10000000000002</v>
      </c>
      <c r="AA83" s="67">
        <v>281.8</v>
      </c>
      <c r="AB83" s="67">
        <v>281.10000000000002</v>
      </c>
      <c r="AC83" s="68">
        <v>280</v>
      </c>
      <c r="AD83" s="69">
        <f>IFERROR(AVERAGEIF(Tabella01MarzoInverter[[#This Row],[Active power TX2-INV-1]:[Active power TX2-INV-12]], "&gt;0"), 0)</f>
        <v>281.05833333333334</v>
      </c>
      <c r="AE83" s="67">
        <f>MAX(Tabella01MarzoInverter[[#This Row],[Active power TX2-INV-1]:[Active power TX2-INV-12]])</f>
        <v>281.8</v>
      </c>
      <c r="AF83" s="70">
        <f>MIN(Tabella01MarzoInverter[[#This Row],[Active power TX2-INV-1]:[Active power TX2-INV-12]])</f>
        <v>280</v>
      </c>
      <c r="AG83" s="71">
        <v>281.10000000000002</v>
      </c>
      <c r="AH83" s="67">
        <v>281.10000000000002</v>
      </c>
      <c r="AI83" s="67">
        <v>281.3</v>
      </c>
      <c r="AJ83" s="67">
        <v>279.7</v>
      </c>
      <c r="AK83" s="67">
        <v>280.10000000000002</v>
      </c>
      <c r="AL83" s="67">
        <v>281.5</v>
      </c>
      <c r="AM83" s="67">
        <v>280.10000000000002</v>
      </c>
      <c r="AN83" s="67">
        <v>281.39999999999998</v>
      </c>
      <c r="AO83" s="67">
        <v>280</v>
      </c>
      <c r="AP83" s="67">
        <v>281.10000000000002</v>
      </c>
      <c r="AQ83" s="67">
        <v>281.3</v>
      </c>
      <c r="AR83" s="68">
        <v>281.3</v>
      </c>
      <c r="AS83" s="69">
        <f>IFERROR(AVERAGEIF(Tabella01MarzoInverter[[#This Row],[Active power TX3-INV-1]:[Active power TX3-INV-12]], "&gt;0"), 0)</f>
        <v>280.83333333333337</v>
      </c>
      <c r="AT83" s="67">
        <f>MAX(Tabella01MarzoInverter[[#This Row],[Active power TX3-INV-1]:[Active power TX3-INV-12]])</f>
        <v>281.5</v>
      </c>
      <c r="AU83" s="70">
        <f>MIN(Tabella01MarzoInverter[[#This Row],[Active power TX3-INV-1]:[Active power TX3-INV-12]])</f>
        <v>279.7</v>
      </c>
    </row>
    <row r="84" spans="1:47" x14ac:dyDescent="0.25">
      <c r="A84" s="65">
        <v>46144</v>
      </c>
      <c r="B84" s="72" t="s">
        <v>84</v>
      </c>
      <c r="C84" s="67">
        <v>280.5</v>
      </c>
      <c r="D84" s="67">
        <v>280.10000000000002</v>
      </c>
      <c r="E84" s="67">
        <v>280.3</v>
      </c>
      <c r="F84" s="67">
        <v>280.2</v>
      </c>
      <c r="G84" s="67">
        <v>280.10000000000002</v>
      </c>
      <c r="H84" s="67">
        <v>280.3</v>
      </c>
      <c r="I84" s="67">
        <v>280.7</v>
      </c>
      <c r="J84" s="67">
        <v>280.89999999999998</v>
      </c>
      <c r="K84" s="67">
        <v>281.3</v>
      </c>
      <c r="L84" s="67">
        <v>281.60000000000002</v>
      </c>
      <c r="M84" s="67">
        <v>281.5</v>
      </c>
      <c r="N84" s="68">
        <v>280.10000000000002</v>
      </c>
      <c r="O84" s="69">
        <f>IFERROR(AVERAGEIF(Tabella01MarzoInverter[[#This Row],[Active power TX1-INV-1]:[Active power TX1-INV-12]], "&gt;0"), 0)</f>
        <v>280.63333333333338</v>
      </c>
      <c r="P84" s="67">
        <f>MAX(Tabella01MarzoInverter[[#This Row],[Active power TX1-INV-1]:[Active power TX1-INV-12]])</f>
        <v>281.60000000000002</v>
      </c>
      <c r="Q84" s="70">
        <f>MIN(Tabella01MarzoInverter[[#This Row],[Active power TX1-INV-1]:[Active power TX1-INV-12]])</f>
        <v>280.10000000000002</v>
      </c>
      <c r="R84" s="71">
        <v>270.2</v>
      </c>
      <c r="S84" s="67">
        <v>279.39999999999998</v>
      </c>
      <c r="T84" s="67">
        <v>277.2</v>
      </c>
      <c r="U84" s="67">
        <v>269.7</v>
      </c>
      <c r="V84" s="67">
        <v>273.5</v>
      </c>
      <c r="W84" s="67">
        <v>281</v>
      </c>
      <c r="X84" s="67">
        <v>276.60000000000002</v>
      </c>
      <c r="Y84" s="67">
        <v>280.2</v>
      </c>
      <c r="Z84" s="67">
        <v>280.3</v>
      </c>
      <c r="AA84" s="67">
        <v>275.2</v>
      </c>
      <c r="AB84" s="67">
        <v>279.89999999999998</v>
      </c>
      <c r="AC84" s="68">
        <v>279.2</v>
      </c>
      <c r="AD84" s="69">
        <f>IFERROR(AVERAGEIF(Tabella01MarzoInverter[[#This Row],[Active power TX2-INV-1]:[Active power TX2-INV-12]], "&gt;0"), 0)</f>
        <v>276.86666666666662</v>
      </c>
      <c r="AE84" s="67">
        <f>MAX(Tabella01MarzoInverter[[#This Row],[Active power TX2-INV-1]:[Active power TX2-INV-12]])</f>
        <v>281</v>
      </c>
      <c r="AF84" s="70">
        <f>MIN(Tabella01MarzoInverter[[#This Row],[Active power TX2-INV-1]:[Active power TX2-INV-12]])</f>
        <v>269.7</v>
      </c>
      <c r="AG84" s="71">
        <v>281.3</v>
      </c>
      <c r="AH84" s="67">
        <v>281.39999999999998</v>
      </c>
      <c r="AI84" s="67">
        <v>261.10000000000002</v>
      </c>
      <c r="AJ84" s="67">
        <v>279.89999999999998</v>
      </c>
      <c r="AK84" s="67">
        <v>280.2</v>
      </c>
      <c r="AL84" s="67">
        <v>281.7</v>
      </c>
      <c r="AM84" s="67">
        <v>280.2</v>
      </c>
      <c r="AN84" s="67">
        <v>261.60000000000002</v>
      </c>
      <c r="AO84" s="67">
        <v>280.10000000000002</v>
      </c>
      <c r="AP84" s="67">
        <v>281.3</v>
      </c>
      <c r="AQ84" s="67">
        <v>281.5</v>
      </c>
      <c r="AR84" s="68">
        <v>280.7</v>
      </c>
      <c r="AS84" s="69">
        <f>IFERROR(AVERAGEIF(Tabella01MarzoInverter[[#This Row],[Active power TX3-INV-1]:[Active power TX3-INV-12]], "&gt;0"), 0)</f>
        <v>277.58333333333331</v>
      </c>
      <c r="AT84" s="67">
        <f>MAX(Tabella01MarzoInverter[[#This Row],[Active power TX3-INV-1]:[Active power TX3-INV-12]])</f>
        <v>281.7</v>
      </c>
      <c r="AU84" s="70">
        <f>MIN(Tabella01MarzoInverter[[#This Row],[Active power TX3-INV-1]:[Active power TX3-INV-12]])</f>
        <v>261.10000000000002</v>
      </c>
    </row>
    <row r="85" spans="1:47" x14ac:dyDescent="0.25">
      <c r="A85" s="65">
        <v>46144</v>
      </c>
      <c r="B85" s="66" t="s">
        <v>85</v>
      </c>
      <c r="C85" s="67">
        <v>258.7</v>
      </c>
      <c r="D85" s="67">
        <v>248.7</v>
      </c>
      <c r="E85" s="67">
        <v>257.2</v>
      </c>
      <c r="F85" s="67">
        <v>258</v>
      </c>
      <c r="G85" s="67">
        <v>257.89999999999998</v>
      </c>
      <c r="H85" s="67">
        <v>257.5</v>
      </c>
      <c r="I85" s="67">
        <v>262</v>
      </c>
      <c r="J85" s="67">
        <v>277.10000000000002</v>
      </c>
      <c r="K85" s="67">
        <v>275.2</v>
      </c>
      <c r="L85" s="67">
        <v>272.39999999999998</v>
      </c>
      <c r="M85" s="67">
        <v>271.5</v>
      </c>
      <c r="N85" s="68">
        <v>256.8</v>
      </c>
      <c r="O85" s="69">
        <f>IFERROR(AVERAGEIF(Tabella01MarzoInverter[[#This Row],[Active power TX1-INV-1]:[Active power TX1-INV-12]], "&gt;0"), 0)</f>
        <v>262.75</v>
      </c>
      <c r="P85" s="67">
        <f>MAX(Tabella01MarzoInverter[[#This Row],[Active power TX1-INV-1]:[Active power TX1-INV-12]])</f>
        <v>277.10000000000002</v>
      </c>
      <c r="Q85" s="70">
        <f>MIN(Tabella01MarzoInverter[[#This Row],[Active power TX1-INV-1]:[Active power TX1-INV-12]])</f>
        <v>248.7</v>
      </c>
      <c r="R85" s="71">
        <v>242.2</v>
      </c>
      <c r="S85" s="67">
        <v>255.6</v>
      </c>
      <c r="T85" s="67">
        <v>251.6</v>
      </c>
      <c r="U85" s="67">
        <v>241</v>
      </c>
      <c r="V85" s="67">
        <v>245.1</v>
      </c>
      <c r="W85" s="67">
        <v>252.9</v>
      </c>
      <c r="X85" s="67">
        <v>249.1</v>
      </c>
      <c r="Y85" s="67">
        <v>254.5</v>
      </c>
      <c r="Z85" s="67">
        <v>257.60000000000002</v>
      </c>
      <c r="AA85" s="67">
        <v>246.3</v>
      </c>
      <c r="AB85" s="67">
        <v>255</v>
      </c>
      <c r="AC85" s="68">
        <v>256.39999999999998</v>
      </c>
      <c r="AD85" s="69">
        <f>IFERROR(AVERAGEIF(Tabella01MarzoInverter[[#This Row],[Active power TX2-INV-1]:[Active power TX2-INV-12]], "&gt;0"), 0)</f>
        <v>250.60833333333335</v>
      </c>
      <c r="AE85" s="67">
        <f>MAX(Tabella01MarzoInverter[[#This Row],[Active power TX2-INV-1]:[Active power TX2-INV-12]])</f>
        <v>257.60000000000002</v>
      </c>
      <c r="AF85" s="70">
        <f>MIN(Tabella01MarzoInverter[[#This Row],[Active power TX2-INV-1]:[Active power TX2-INV-12]])</f>
        <v>241</v>
      </c>
      <c r="AG85" s="71">
        <v>279.89999999999998</v>
      </c>
      <c r="AH85" s="67">
        <v>280.2</v>
      </c>
      <c r="AI85" s="67">
        <v>269.60000000000002</v>
      </c>
      <c r="AJ85" s="67">
        <v>278.60000000000002</v>
      </c>
      <c r="AK85" s="67">
        <v>276.89999999999998</v>
      </c>
      <c r="AL85" s="67">
        <v>278</v>
      </c>
      <c r="AM85" s="67">
        <v>279</v>
      </c>
      <c r="AN85" s="67">
        <v>275.7</v>
      </c>
      <c r="AO85" s="67">
        <v>277.60000000000002</v>
      </c>
      <c r="AP85" s="67">
        <v>280.10000000000002</v>
      </c>
      <c r="AQ85" s="67">
        <v>279.7</v>
      </c>
      <c r="AR85" s="68">
        <v>259.89999999999998</v>
      </c>
      <c r="AS85" s="69">
        <f>IFERROR(AVERAGEIF(Tabella01MarzoInverter[[#This Row],[Active power TX3-INV-1]:[Active power TX3-INV-12]], "&gt;0"), 0)</f>
        <v>276.26666666666659</v>
      </c>
      <c r="AT85" s="67">
        <f>MAX(Tabella01MarzoInverter[[#This Row],[Active power TX3-INV-1]:[Active power TX3-INV-12]])</f>
        <v>280.2</v>
      </c>
      <c r="AU85" s="70">
        <f>MIN(Tabella01MarzoInverter[[#This Row],[Active power TX3-INV-1]:[Active power TX3-INV-12]])</f>
        <v>259.89999999999998</v>
      </c>
    </row>
    <row r="86" spans="1:47" x14ac:dyDescent="0.25">
      <c r="A86" s="65">
        <v>46144</v>
      </c>
      <c r="B86" s="72" t="s">
        <v>86</v>
      </c>
      <c r="C86" s="67">
        <v>228.4</v>
      </c>
      <c r="D86" s="67">
        <v>226.9</v>
      </c>
      <c r="E86" s="67">
        <v>226.5</v>
      </c>
      <c r="F86" s="67">
        <v>227.7</v>
      </c>
      <c r="G86" s="67">
        <v>227.6</v>
      </c>
      <c r="H86" s="67">
        <v>226.5</v>
      </c>
      <c r="I86" s="67">
        <v>224.3</v>
      </c>
      <c r="J86" s="67">
        <v>249.3</v>
      </c>
      <c r="K86" s="67">
        <v>245.8</v>
      </c>
      <c r="L86" s="67">
        <v>241.7</v>
      </c>
      <c r="M86" s="67">
        <v>241</v>
      </c>
      <c r="N86" s="68">
        <v>226.1</v>
      </c>
      <c r="O86" s="69">
        <f>IFERROR(AVERAGEIF(Tabella01MarzoInverter[[#This Row],[Active power TX1-INV-1]:[Active power TX1-INV-12]], "&gt;0"), 0)</f>
        <v>232.64999999999998</v>
      </c>
      <c r="P86" s="67">
        <f>MAX(Tabella01MarzoInverter[[#This Row],[Active power TX1-INV-1]:[Active power TX1-INV-12]])</f>
        <v>249.3</v>
      </c>
      <c r="Q86" s="70">
        <f>MIN(Tabella01MarzoInverter[[#This Row],[Active power TX1-INV-1]:[Active power TX1-INV-12]])</f>
        <v>224.3</v>
      </c>
      <c r="R86" s="71">
        <v>213.2</v>
      </c>
      <c r="S86" s="67">
        <v>225.4</v>
      </c>
      <c r="T86" s="67">
        <v>222</v>
      </c>
      <c r="U86" s="67">
        <v>211.6</v>
      </c>
      <c r="V86" s="67">
        <v>215.3</v>
      </c>
      <c r="W86" s="67">
        <v>229.2</v>
      </c>
      <c r="X86" s="67">
        <v>218.9</v>
      </c>
      <c r="Y86" s="67">
        <v>223.8</v>
      </c>
      <c r="Z86" s="67">
        <v>225.8</v>
      </c>
      <c r="AA86" s="67">
        <v>215.5</v>
      </c>
      <c r="AB86" s="67">
        <v>222.3</v>
      </c>
      <c r="AC86" s="68">
        <v>224.2</v>
      </c>
      <c r="AD86" s="69">
        <f>IFERROR(AVERAGEIF(Tabella01MarzoInverter[[#This Row],[Active power TX2-INV-1]:[Active power TX2-INV-12]], "&gt;0"), 0)</f>
        <v>220.6</v>
      </c>
      <c r="AE86" s="67">
        <f>MAX(Tabella01MarzoInverter[[#This Row],[Active power TX2-INV-1]:[Active power TX2-INV-12]])</f>
        <v>229.2</v>
      </c>
      <c r="AF86" s="70">
        <f>MIN(Tabella01MarzoInverter[[#This Row],[Active power TX2-INV-1]:[Active power TX2-INV-12]])</f>
        <v>211.6</v>
      </c>
      <c r="AG86" s="71">
        <v>256</v>
      </c>
      <c r="AH86" s="67">
        <v>257</v>
      </c>
      <c r="AI86" s="67">
        <v>253.5</v>
      </c>
      <c r="AJ86" s="67">
        <v>253</v>
      </c>
      <c r="AK86" s="67">
        <v>248.3</v>
      </c>
      <c r="AL86" s="67">
        <v>249.6</v>
      </c>
      <c r="AM86" s="67">
        <v>245</v>
      </c>
      <c r="AN86" s="67">
        <v>247.2</v>
      </c>
      <c r="AO86" s="67">
        <v>252.3</v>
      </c>
      <c r="AP86" s="67">
        <v>258</v>
      </c>
      <c r="AQ86" s="67">
        <v>255</v>
      </c>
      <c r="AR86" s="68">
        <v>230.4</v>
      </c>
      <c r="AS86" s="69">
        <f>IFERROR(AVERAGEIF(Tabella01MarzoInverter[[#This Row],[Active power TX3-INV-1]:[Active power TX3-INV-12]], "&gt;0"), 0)</f>
        <v>250.44166666666669</v>
      </c>
      <c r="AT86" s="67">
        <f>MAX(Tabella01MarzoInverter[[#This Row],[Active power TX3-INV-1]:[Active power TX3-INV-12]])</f>
        <v>258</v>
      </c>
      <c r="AU86" s="70">
        <f>MIN(Tabella01MarzoInverter[[#This Row],[Active power TX3-INV-1]:[Active power TX3-INV-12]])</f>
        <v>230.4</v>
      </c>
    </row>
    <row r="87" spans="1:47" x14ac:dyDescent="0.25">
      <c r="A87" s="65">
        <v>46144</v>
      </c>
      <c r="B87" s="66" t="s">
        <v>87</v>
      </c>
      <c r="C87" s="67">
        <v>189.5</v>
      </c>
      <c r="D87" s="67">
        <v>188.3</v>
      </c>
      <c r="E87" s="67">
        <v>193.5</v>
      </c>
      <c r="F87" s="67">
        <v>194.5</v>
      </c>
      <c r="G87" s="67">
        <v>194.7</v>
      </c>
      <c r="H87" s="67">
        <v>192.8</v>
      </c>
      <c r="I87" s="67">
        <v>183.5</v>
      </c>
      <c r="J87" s="67">
        <v>216</v>
      </c>
      <c r="K87" s="67">
        <v>212.2</v>
      </c>
      <c r="L87" s="67">
        <v>208.8</v>
      </c>
      <c r="M87" s="67">
        <v>209</v>
      </c>
      <c r="N87" s="68">
        <v>193.9</v>
      </c>
      <c r="O87" s="69">
        <f>IFERROR(AVERAGEIF(Tabella01MarzoInverter[[#This Row],[Active power TX1-INV-1]:[Active power TX1-INV-12]], "&gt;0"), 0)</f>
        <v>198.05833333333337</v>
      </c>
      <c r="P87" s="67">
        <f>MAX(Tabella01MarzoInverter[[#This Row],[Active power TX1-INV-1]:[Active power TX1-INV-12]])</f>
        <v>216</v>
      </c>
      <c r="Q87" s="70">
        <f>MIN(Tabella01MarzoInverter[[#This Row],[Active power TX1-INV-1]:[Active power TX1-INV-12]])</f>
        <v>183.5</v>
      </c>
      <c r="R87" s="71">
        <v>182.8</v>
      </c>
      <c r="S87" s="67">
        <v>192.9</v>
      </c>
      <c r="T87" s="67">
        <v>190.1</v>
      </c>
      <c r="U87" s="67">
        <v>180.3</v>
      </c>
      <c r="V87" s="67">
        <v>183.6</v>
      </c>
      <c r="W87" s="67">
        <v>195.2</v>
      </c>
      <c r="X87" s="67">
        <v>186.7</v>
      </c>
      <c r="Y87" s="67">
        <v>191.4</v>
      </c>
      <c r="Z87" s="67">
        <v>192.3</v>
      </c>
      <c r="AA87" s="67">
        <v>183.4</v>
      </c>
      <c r="AB87" s="67">
        <v>188.6</v>
      </c>
      <c r="AC87" s="68">
        <v>190.6</v>
      </c>
      <c r="AD87" s="69">
        <f>IFERROR(AVERAGEIF(Tabella01MarzoInverter[[#This Row],[Active power TX2-INV-1]:[Active power TX2-INV-12]], "&gt;0"), 0)</f>
        <v>188.15833333333333</v>
      </c>
      <c r="AE87" s="67">
        <f>MAX(Tabella01MarzoInverter[[#This Row],[Active power TX2-INV-1]:[Active power TX2-INV-12]])</f>
        <v>195.2</v>
      </c>
      <c r="AF87" s="70">
        <f>MIN(Tabella01MarzoInverter[[#This Row],[Active power TX2-INV-1]:[Active power TX2-INV-12]])</f>
        <v>180.3</v>
      </c>
      <c r="AG87" s="71">
        <v>222.4</v>
      </c>
      <c r="AH87" s="67">
        <v>224.6</v>
      </c>
      <c r="AI87" s="67">
        <v>218.9</v>
      </c>
      <c r="AJ87" s="67">
        <v>215.5</v>
      </c>
      <c r="AK87" s="67">
        <v>213</v>
      </c>
      <c r="AL87" s="67">
        <v>214.2</v>
      </c>
      <c r="AM87" s="67">
        <v>219.6</v>
      </c>
      <c r="AN87" s="67">
        <v>213.1</v>
      </c>
      <c r="AO87" s="67">
        <v>210.9</v>
      </c>
      <c r="AP87" s="67">
        <v>225.4</v>
      </c>
      <c r="AQ87" s="67">
        <v>219.9</v>
      </c>
      <c r="AR87" s="68">
        <v>198.3</v>
      </c>
      <c r="AS87" s="69">
        <f>IFERROR(AVERAGEIF(Tabella01MarzoInverter[[#This Row],[Active power TX3-INV-1]:[Active power TX3-INV-12]], "&gt;0"), 0)</f>
        <v>216.31666666666669</v>
      </c>
      <c r="AT87" s="67">
        <f>MAX(Tabella01MarzoInverter[[#This Row],[Active power TX3-INV-1]:[Active power TX3-INV-12]])</f>
        <v>225.4</v>
      </c>
      <c r="AU87" s="70">
        <f>MIN(Tabella01MarzoInverter[[#This Row],[Active power TX3-INV-1]:[Active power TX3-INV-12]])</f>
        <v>198.3</v>
      </c>
    </row>
    <row r="88" spans="1:47" x14ac:dyDescent="0.25">
      <c r="A88" s="65">
        <v>46144</v>
      </c>
      <c r="B88" s="72" t="s">
        <v>88</v>
      </c>
      <c r="C88" s="67">
        <v>160.80000000000001</v>
      </c>
      <c r="D88" s="67">
        <v>160.1</v>
      </c>
      <c r="E88" s="67">
        <v>159.1</v>
      </c>
      <c r="F88" s="67">
        <v>160.19999999999999</v>
      </c>
      <c r="G88" s="67">
        <v>160.30000000000001</v>
      </c>
      <c r="H88" s="67">
        <v>157.80000000000001</v>
      </c>
      <c r="I88" s="67">
        <v>149.1</v>
      </c>
      <c r="J88" s="67">
        <v>178.7</v>
      </c>
      <c r="K88" s="67">
        <v>175.2</v>
      </c>
      <c r="L88" s="67">
        <v>172.3</v>
      </c>
      <c r="M88" s="67">
        <v>172.1</v>
      </c>
      <c r="N88" s="68">
        <v>160.1</v>
      </c>
      <c r="O88" s="69">
        <f>IFERROR(AVERAGEIF(Tabella01MarzoInverter[[#This Row],[Active power TX1-INV-1]:[Active power TX1-INV-12]], "&gt;0"), 0)</f>
        <v>163.81666666666663</v>
      </c>
      <c r="P88" s="67">
        <f>MAX(Tabella01MarzoInverter[[#This Row],[Active power TX1-INV-1]:[Active power TX1-INV-12]])</f>
        <v>178.7</v>
      </c>
      <c r="Q88" s="70">
        <f>MIN(Tabella01MarzoInverter[[#This Row],[Active power TX1-INV-1]:[Active power TX1-INV-12]])</f>
        <v>149.1</v>
      </c>
      <c r="R88" s="71">
        <v>145.19999999999999</v>
      </c>
      <c r="S88" s="67">
        <v>157.4</v>
      </c>
      <c r="T88" s="67">
        <v>157.1</v>
      </c>
      <c r="U88" s="67">
        <v>148</v>
      </c>
      <c r="V88" s="67">
        <v>149.5</v>
      </c>
      <c r="W88" s="67">
        <v>159.30000000000001</v>
      </c>
      <c r="X88" s="67">
        <v>147.19999999999999</v>
      </c>
      <c r="Y88" s="67">
        <v>156.69999999999999</v>
      </c>
      <c r="Z88" s="67">
        <v>156.5</v>
      </c>
      <c r="AA88" s="67">
        <v>148.19999999999999</v>
      </c>
      <c r="AB88" s="67">
        <v>151.1</v>
      </c>
      <c r="AC88" s="68">
        <v>153.30000000000001</v>
      </c>
      <c r="AD88" s="69">
        <f>IFERROR(AVERAGEIF(Tabella01MarzoInverter[[#This Row],[Active power TX2-INV-1]:[Active power TX2-INV-12]], "&gt;0"), 0)</f>
        <v>152.45833333333334</v>
      </c>
      <c r="AE88" s="67">
        <f>MAX(Tabella01MarzoInverter[[#This Row],[Active power TX2-INV-1]:[Active power TX2-INV-12]])</f>
        <v>159.30000000000001</v>
      </c>
      <c r="AF88" s="70">
        <f>MIN(Tabella01MarzoInverter[[#This Row],[Active power TX2-INV-1]:[Active power TX2-INV-12]])</f>
        <v>145.19999999999999</v>
      </c>
      <c r="AG88" s="71">
        <v>185.6</v>
      </c>
      <c r="AH88" s="67">
        <v>188.5</v>
      </c>
      <c r="AI88" s="67">
        <v>181.6</v>
      </c>
      <c r="AJ88" s="67">
        <v>176.4</v>
      </c>
      <c r="AK88" s="67">
        <v>176</v>
      </c>
      <c r="AL88" s="67">
        <v>178.9</v>
      </c>
      <c r="AM88" s="67">
        <v>183.8</v>
      </c>
      <c r="AN88" s="67">
        <v>178.5</v>
      </c>
      <c r="AO88" s="67">
        <v>183.9</v>
      </c>
      <c r="AP88" s="67">
        <v>189.8</v>
      </c>
      <c r="AQ88" s="67">
        <v>181.6</v>
      </c>
      <c r="AR88" s="68">
        <v>159.69999999999999</v>
      </c>
      <c r="AS88" s="69">
        <f>IFERROR(AVERAGEIF(Tabella01MarzoInverter[[#This Row],[Active power TX3-INV-1]:[Active power TX3-INV-12]], "&gt;0"), 0)</f>
        <v>180.35833333333332</v>
      </c>
      <c r="AT88" s="67">
        <f>MAX(Tabella01MarzoInverter[[#This Row],[Active power TX3-INV-1]:[Active power TX3-INV-12]])</f>
        <v>189.8</v>
      </c>
      <c r="AU88" s="70">
        <f>MIN(Tabella01MarzoInverter[[#This Row],[Active power TX3-INV-1]:[Active power TX3-INV-12]])</f>
        <v>159.69999999999999</v>
      </c>
    </row>
    <row r="89" spans="1:47" x14ac:dyDescent="0.25">
      <c r="A89" s="65">
        <v>46144</v>
      </c>
      <c r="B89" s="66" t="s">
        <v>89</v>
      </c>
      <c r="C89" s="67">
        <v>127.8</v>
      </c>
      <c r="D89" s="67">
        <v>127.3</v>
      </c>
      <c r="E89" s="67">
        <v>126.3</v>
      </c>
      <c r="F89" s="67">
        <v>127.3</v>
      </c>
      <c r="G89" s="67">
        <v>127.5</v>
      </c>
      <c r="H89" s="67">
        <v>123.9</v>
      </c>
      <c r="I89" s="67">
        <v>116.3</v>
      </c>
      <c r="J89" s="67">
        <v>143.9</v>
      </c>
      <c r="K89" s="67">
        <v>140.5</v>
      </c>
      <c r="L89" s="67">
        <v>137.9</v>
      </c>
      <c r="M89" s="67">
        <v>137.9</v>
      </c>
      <c r="N89" s="68">
        <v>126.1</v>
      </c>
      <c r="O89" s="69">
        <f>IFERROR(AVERAGEIF(Tabella01MarzoInverter[[#This Row],[Active power TX1-INV-1]:[Active power TX1-INV-12]], "&gt;0"), 0)</f>
        <v>130.22499999999999</v>
      </c>
      <c r="P89" s="67">
        <f>MAX(Tabella01MarzoInverter[[#This Row],[Active power TX1-INV-1]:[Active power TX1-INV-12]])</f>
        <v>143.9</v>
      </c>
      <c r="Q89" s="70">
        <f>MIN(Tabella01MarzoInverter[[#This Row],[Active power TX1-INV-1]:[Active power TX1-INV-12]])</f>
        <v>116.3</v>
      </c>
      <c r="R89" s="71">
        <v>118.9</v>
      </c>
      <c r="S89" s="67">
        <v>124.1</v>
      </c>
      <c r="T89" s="67">
        <v>124.2</v>
      </c>
      <c r="U89" s="67">
        <v>115.9</v>
      </c>
      <c r="V89" s="67">
        <v>116.4</v>
      </c>
      <c r="W89" s="67">
        <v>123.8</v>
      </c>
      <c r="X89" s="67">
        <v>115.5</v>
      </c>
      <c r="Y89" s="67">
        <v>122.5</v>
      </c>
      <c r="Z89" s="67">
        <v>121.8</v>
      </c>
      <c r="AA89" s="67">
        <v>114.8</v>
      </c>
      <c r="AB89" s="67">
        <v>115.8</v>
      </c>
      <c r="AC89" s="68">
        <v>118.2</v>
      </c>
      <c r="AD89" s="69">
        <f>IFERROR(AVERAGEIF(Tabella01MarzoInverter[[#This Row],[Active power TX2-INV-1]:[Active power TX2-INV-12]], "&gt;0"), 0)</f>
        <v>119.32499999999999</v>
      </c>
      <c r="AE89" s="67">
        <f>MAX(Tabella01MarzoInverter[[#This Row],[Active power TX2-INV-1]:[Active power TX2-INV-12]])</f>
        <v>124.2</v>
      </c>
      <c r="AF89" s="70">
        <f>MIN(Tabella01MarzoInverter[[#This Row],[Active power TX2-INV-1]:[Active power TX2-INV-12]])</f>
        <v>114.8</v>
      </c>
      <c r="AG89" s="71">
        <v>149.80000000000001</v>
      </c>
      <c r="AH89" s="67">
        <v>151.6</v>
      </c>
      <c r="AI89" s="67">
        <v>142.9</v>
      </c>
      <c r="AJ89" s="67">
        <v>139.1</v>
      </c>
      <c r="AK89" s="67">
        <v>138.4</v>
      </c>
      <c r="AL89" s="67">
        <v>142.5</v>
      </c>
      <c r="AM89" s="67">
        <v>147.4</v>
      </c>
      <c r="AN89" s="67">
        <v>143.19999999999999</v>
      </c>
      <c r="AO89" s="67">
        <v>148.5</v>
      </c>
      <c r="AP89" s="67">
        <v>153.9</v>
      </c>
      <c r="AQ89" s="67">
        <v>146.4</v>
      </c>
      <c r="AR89" s="68">
        <v>133.1</v>
      </c>
      <c r="AS89" s="69">
        <f>IFERROR(AVERAGEIF(Tabella01MarzoInverter[[#This Row],[Active power TX3-INV-1]:[Active power TX3-INV-12]], "&gt;0"), 0)</f>
        <v>144.73333333333332</v>
      </c>
      <c r="AT89" s="67">
        <f>MAX(Tabella01MarzoInverter[[#This Row],[Active power TX3-INV-1]:[Active power TX3-INV-12]])</f>
        <v>153.9</v>
      </c>
      <c r="AU89" s="70">
        <f>MIN(Tabella01MarzoInverter[[#This Row],[Active power TX3-INV-1]:[Active power TX3-INV-12]])</f>
        <v>133.1</v>
      </c>
    </row>
    <row r="90" spans="1:47" x14ac:dyDescent="0.25">
      <c r="A90" s="65">
        <v>46144</v>
      </c>
      <c r="B90" s="72" t="s">
        <v>90</v>
      </c>
      <c r="C90" s="67">
        <v>93.7</v>
      </c>
      <c r="D90" s="67">
        <v>93.3</v>
      </c>
      <c r="E90" s="67">
        <v>89.6</v>
      </c>
      <c r="F90" s="67">
        <v>93.5</v>
      </c>
      <c r="G90" s="67">
        <v>93.7</v>
      </c>
      <c r="H90" s="67">
        <v>89.5</v>
      </c>
      <c r="I90" s="67">
        <v>84.4</v>
      </c>
      <c r="J90" s="67">
        <v>107.7</v>
      </c>
      <c r="K90" s="67">
        <v>105.3</v>
      </c>
      <c r="L90" s="67">
        <v>102.5</v>
      </c>
      <c r="M90" s="67">
        <v>102.5</v>
      </c>
      <c r="N90" s="68">
        <v>92.3</v>
      </c>
      <c r="O90" s="69">
        <f>IFERROR(AVERAGEIF(Tabella01MarzoInverter[[#This Row],[Active power TX1-INV-1]:[Active power TX1-INV-12]], "&gt;0"), 0)</f>
        <v>95.666666666666643</v>
      </c>
      <c r="P90" s="67">
        <f>MAX(Tabella01MarzoInverter[[#This Row],[Active power TX1-INV-1]:[Active power TX1-INV-12]])</f>
        <v>107.7</v>
      </c>
      <c r="Q90" s="70">
        <f>MIN(Tabella01MarzoInverter[[#This Row],[Active power TX1-INV-1]:[Active power TX1-INV-12]])</f>
        <v>84.4</v>
      </c>
      <c r="R90" s="71">
        <v>86.6</v>
      </c>
      <c r="S90" s="67">
        <v>90.6</v>
      </c>
      <c r="T90" s="67">
        <v>90.1</v>
      </c>
      <c r="U90" s="67">
        <v>82.9</v>
      </c>
      <c r="V90" s="67">
        <v>83.9</v>
      </c>
      <c r="W90" s="67">
        <v>88.8</v>
      </c>
      <c r="X90" s="67">
        <v>86.1</v>
      </c>
      <c r="Y90" s="67">
        <v>88.2</v>
      </c>
      <c r="Z90" s="67">
        <v>87.1</v>
      </c>
      <c r="AA90" s="67">
        <v>81.599999999999994</v>
      </c>
      <c r="AB90" s="67">
        <v>81</v>
      </c>
      <c r="AC90" s="68">
        <v>83.2</v>
      </c>
      <c r="AD90" s="69">
        <f>IFERROR(AVERAGEIF(Tabella01MarzoInverter[[#This Row],[Active power TX2-INV-1]:[Active power TX2-INV-12]], "&gt;0"), 0)</f>
        <v>85.841666666666654</v>
      </c>
      <c r="AE90" s="67">
        <f>MAX(Tabella01MarzoInverter[[#This Row],[Active power TX2-INV-1]:[Active power TX2-INV-12]])</f>
        <v>90.6</v>
      </c>
      <c r="AF90" s="70">
        <f>MIN(Tabella01MarzoInverter[[#This Row],[Active power TX2-INV-1]:[Active power TX2-INV-12]])</f>
        <v>81</v>
      </c>
      <c r="AG90" s="71">
        <v>112.5</v>
      </c>
      <c r="AH90" s="67">
        <v>113.2</v>
      </c>
      <c r="AI90" s="67">
        <v>102.3</v>
      </c>
      <c r="AJ90" s="67">
        <v>103.3</v>
      </c>
      <c r="AK90" s="67">
        <v>98.6</v>
      </c>
      <c r="AL90" s="67">
        <v>105.3</v>
      </c>
      <c r="AM90" s="67">
        <v>106</v>
      </c>
      <c r="AN90" s="67">
        <v>106.5</v>
      </c>
      <c r="AO90" s="67">
        <v>111.9</v>
      </c>
      <c r="AP90" s="67">
        <v>116.1</v>
      </c>
      <c r="AQ90" s="67">
        <v>108.1</v>
      </c>
      <c r="AR90" s="68">
        <v>96.1</v>
      </c>
      <c r="AS90" s="69">
        <f>IFERROR(AVERAGEIF(Tabella01MarzoInverter[[#This Row],[Active power TX3-INV-1]:[Active power TX3-INV-12]], "&gt;0"), 0)</f>
        <v>106.6583333333333</v>
      </c>
      <c r="AT90" s="67">
        <f>MAX(Tabella01MarzoInverter[[#This Row],[Active power TX3-INV-1]:[Active power TX3-INV-12]])</f>
        <v>116.1</v>
      </c>
      <c r="AU90" s="70">
        <f>MIN(Tabella01MarzoInverter[[#This Row],[Active power TX3-INV-1]:[Active power TX3-INV-12]])</f>
        <v>96.1</v>
      </c>
    </row>
    <row r="91" spans="1:47" x14ac:dyDescent="0.25">
      <c r="A91" s="65">
        <v>46144</v>
      </c>
      <c r="B91" s="66" t="s">
        <v>91</v>
      </c>
      <c r="C91" s="67">
        <v>61.9</v>
      </c>
      <c r="D91" s="67">
        <v>61.2</v>
      </c>
      <c r="E91" s="67">
        <v>60.5</v>
      </c>
      <c r="F91" s="67">
        <v>61.7</v>
      </c>
      <c r="G91" s="67">
        <v>61.9</v>
      </c>
      <c r="H91" s="67">
        <v>58.1</v>
      </c>
      <c r="I91" s="67">
        <v>56.3</v>
      </c>
      <c r="J91" s="67">
        <v>73.400000000000006</v>
      </c>
      <c r="K91" s="67">
        <v>71.599999999999994</v>
      </c>
      <c r="L91" s="67">
        <v>67</v>
      </c>
      <c r="M91" s="67">
        <v>69</v>
      </c>
      <c r="N91" s="68">
        <v>61.5</v>
      </c>
      <c r="O91" s="69">
        <f>IFERROR(AVERAGEIF(Tabella01MarzoInverter[[#This Row],[Active power TX1-INV-1]:[Active power TX1-INV-12]], "&gt;0"), 0)</f>
        <v>63.675000000000004</v>
      </c>
      <c r="P91" s="67">
        <f>MAX(Tabella01MarzoInverter[[#This Row],[Active power TX1-INV-1]:[Active power TX1-INV-12]])</f>
        <v>73.400000000000006</v>
      </c>
      <c r="Q91" s="70">
        <f>MIN(Tabella01MarzoInverter[[#This Row],[Active power TX1-INV-1]:[Active power TX1-INV-12]])</f>
        <v>56.3</v>
      </c>
      <c r="R91" s="71">
        <v>56.5</v>
      </c>
      <c r="S91" s="67">
        <v>59.8</v>
      </c>
      <c r="T91" s="67">
        <v>58.6</v>
      </c>
      <c r="U91" s="67">
        <v>53</v>
      </c>
      <c r="V91" s="67">
        <v>53.9</v>
      </c>
      <c r="W91" s="67">
        <v>56.6</v>
      </c>
      <c r="X91" s="67">
        <v>54.8</v>
      </c>
      <c r="Y91" s="67">
        <v>56.6</v>
      </c>
      <c r="Z91" s="67">
        <v>55.5</v>
      </c>
      <c r="AA91" s="67">
        <v>51.6</v>
      </c>
      <c r="AB91" s="67">
        <v>50</v>
      </c>
      <c r="AC91" s="68">
        <v>52.1</v>
      </c>
      <c r="AD91" s="69">
        <f>IFERROR(AVERAGEIF(Tabella01MarzoInverter[[#This Row],[Active power TX2-INV-1]:[Active power TX2-INV-12]], "&gt;0"), 0)</f>
        <v>54.916666666666679</v>
      </c>
      <c r="AE91" s="67">
        <f>MAX(Tabella01MarzoInverter[[#This Row],[Active power TX2-INV-1]:[Active power TX2-INV-12]])</f>
        <v>59.8</v>
      </c>
      <c r="AF91" s="70">
        <f>MIN(Tabella01MarzoInverter[[#This Row],[Active power TX2-INV-1]:[Active power TX2-INV-12]])</f>
        <v>50</v>
      </c>
      <c r="AG91" s="71">
        <v>76.5</v>
      </c>
      <c r="AH91" s="67">
        <v>77.400000000000006</v>
      </c>
      <c r="AI91" s="67">
        <v>71</v>
      </c>
      <c r="AJ91" s="67">
        <v>70</v>
      </c>
      <c r="AK91" s="67">
        <v>66.599999999999994</v>
      </c>
      <c r="AL91" s="67">
        <v>70.5</v>
      </c>
      <c r="AM91" s="67">
        <v>74.5</v>
      </c>
      <c r="AN91" s="67">
        <v>66.7</v>
      </c>
      <c r="AO91" s="67">
        <v>77.099999999999994</v>
      </c>
      <c r="AP91" s="67">
        <v>80.5</v>
      </c>
      <c r="AQ91" s="67">
        <v>72.400000000000006</v>
      </c>
      <c r="AR91" s="68">
        <v>68.3</v>
      </c>
      <c r="AS91" s="69">
        <f>IFERROR(AVERAGEIF(Tabella01MarzoInverter[[#This Row],[Active power TX3-INV-1]:[Active power TX3-INV-12]], "&gt;0"), 0)</f>
        <v>72.625</v>
      </c>
      <c r="AT91" s="67">
        <f>MAX(Tabella01MarzoInverter[[#This Row],[Active power TX3-INV-1]:[Active power TX3-INV-12]])</f>
        <v>80.5</v>
      </c>
      <c r="AU91" s="70">
        <f>MIN(Tabella01MarzoInverter[[#This Row],[Active power TX3-INV-1]:[Active power TX3-INV-12]])</f>
        <v>66.599999999999994</v>
      </c>
    </row>
    <row r="92" spans="1:47" x14ac:dyDescent="0.25">
      <c r="A92" s="65">
        <v>46144</v>
      </c>
      <c r="B92" s="72" t="s">
        <v>92</v>
      </c>
      <c r="C92" s="67">
        <v>34.4</v>
      </c>
      <c r="D92" s="67">
        <v>33.799999999999997</v>
      </c>
      <c r="E92" s="67">
        <v>33.299999999999997</v>
      </c>
      <c r="F92" s="67">
        <v>34.299999999999997</v>
      </c>
      <c r="G92" s="67">
        <v>34.5</v>
      </c>
      <c r="H92" s="67">
        <v>32</v>
      </c>
      <c r="I92" s="67">
        <v>33</v>
      </c>
      <c r="J92" s="67">
        <v>43.3</v>
      </c>
      <c r="K92" s="67">
        <v>42.1</v>
      </c>
      <c r="L92" s="67">
        <v>40.299999999999997</v>
      </c>
      <c r="M92" s="67">
        <v>40</v>
      </c>
      <c r="N92" s="68">
        <v>34.799999999999997</v>
      </c>
      <c r="O92" s="69">
        <f>IFERROR(AVERAGEIF(Tabella01MarzoInverter[[#This Row],[Active power TX1-INV-1]:[Active power TX1-INV-12]], "&gt;0"), 0)</f>
        <v>36.31666666666667</v>
      </c>
      <c r="P92" s="67">
        <f>MAX(Tabella01MarzoInverter[[#This Row],[Active power TX1-INV-1]:[Active power TX1-INV-12]])</f>
        <v>43.3</v>
      </c>
      <c r="Q92" s="70">
        <f>MIN(Tabella01MarzoInverter[[#This Row],[Active power TX1-INV-1]:[Active power TX1-INV-12]])</f>
        <v>32</v>
      </c>
      <c r="R92" s="71">
        <v>30.6</v>
      </c>
      <c r="S92" s="67">
        <v>32.9</v>
      </c>
      <c r="T92" s="67">
        <v>31.8</v>
      </c>
      <c r="U92" s="67">
        <v>27.7</v>
      </c>
      <c r="V92" s="67">
        <v>28.7</v>
      </c>
      <c r="W92" s="67">
        <v>29.7</v>
      </c>
      <c r="X92" s="67">
        <v>28.8</v>
      </c>
      <c r="Y92" s="67">
        <v>29.7</v>
      </c>
      <c r="Z92" s="67">
        <v>28.4</v>
      </c>
      <c r="AA92" s="67">
        <v>25.8</v>
      </c>
      <c r="AB92" s="67">
        <v>23.9</v>
      </c>
      <c r="AC92" s="68">
        <v>26.2</v>
      </c>
      <c r="AD92" s="69">
        <f>IFERROR(AVERAGEIF(Tabella01MarzoInverter[[#This Row],[Active power TX2-INV-1]:[Active power TX2-INV-12]], "&gt;0"), 0)</f>
        <v>28.683333333333326</v>
      </c>
      <c r="AE92" s="67">
        <f>MAX(Tabella01MarzoInverter[[#This Row],[Active power TX2-INV-1]:[Active power TX2-INV-12]])</f>
        <v>32.9</v>
      </c>
      <c r="AF92" s="70">
        <f>MIN(Tabella01MarzoInverter[[#This Row],[Active power TX2-INV-1]:[Active power TX2-INV-12]])</f>
        <v>23.9</v>
      </c>
      <c r="AG92" s="71">
        <v>45.2</v>
      </c>
      <c r="AH92" s="67">
        <v>46.4</v>
      </c>
      <c r="AI92" s="67">
        <v>40.9</v>
      </c>
      <c r="AJ92" s="67">
        <v>41.3</v>
      </c>
      <c r="AK92" s="67">
        <v>40.6</v>
      </c>
      <c r="AL92" s="67">
        <v>39.9</v>
      </c>
      <c r="AM92" s="67">
        <v>43.6</v>
      </c>
      <c r="AN92" s="67">
        <v>42.1</v>
      </c>
      <c r="AO92" s="67">
        <v>46.3</v>
      </c>
      <c r="AP92" s="67">
        <v>49.3</v>
      </c>
      <c r="AQ92" s="67">
        <v>41.3</v>
      </c>
      <c r="AR92" s="68">
        <v>40.6</v>
      </c>
      <c r="AS92" s="69">
        <f>IFERROR(AVERAGEIF(Tabella01MarzoInverter[[#This Row],[Active power TX3-INV-1]:[Active power TX3-INV-12]], "&gt;0"), 0)</f>
        <v>43.125000000000007</v>
      </c>
      <c r="AT92" s="67">
        <f>MAX(Tabella01MarzoInverter[[#This Row],[Active power TX3-INV-1]:[Active power TX3-INV-12]])</f>
        <v>49.3</v>
      </c>
      <c r="AU92" s="70">
        <f>MIN(Tabella01MarzoInverter[[#This Row],[Active power TX3-INV-1]:[Active power TX3-INV-12]])</f>
        <v>39.9</v>
      </c>
    </row>
    <row r="93" spans="1:47" x14ac:dyDescent="0.25">
      <c r="A93" s="65">
        <v>46144</v>
      </c>
      <c r="B93" s="66" t="s">
        <v>93</v>
      </c>
      <c r="C93" s="67">
        <v>14.3</v>
      </c>
      <c r="D93" s="67">
        <v>14.1</v>
      </c>
      <c r="E93" s="67">
        <v>14</v>
      </c>
      <c r="F93" s="67">
        <v>14.4</v>
      </c>
      <c r="G93" s="67">
        <v>13.9</v>
      </c>
      <c r="H93" s="67">
        <v>13</v>
      </c>
      <c r="I93" s="67">
        <v>14.9</v>
      </c>
      <c r="J93" s="67">
        <v>19.7</v>
      </c>
      <c r="K93" s="67">
        <v>19.100000000000001</v>
      </c>
      <c r="L93" s="67">
        <v>18.100000000000001</v>
      </c>
      <c r="M93" s="67">
        <v>17.899999999999999</v>
      </c>
      <c r="N93" s="68">
        <v>15.3</v>
      </c>
      <c r="O93" s="69">
        <f>IFERROR(AVERAGEIF(Tabella01MarzoInverter[[#This Row],[Active power TX1-INV-1]:[Active power TX1-INV-12]], "&gt;0"), 0)</f>
        <v>15.725000000000001</v>
      </c>
      <c r="P93" s="67">
        <f>MAX(Tabella01MarzoInverter[[#This Row],[Active power TX1-INV-1]:[Active power TX1-INV-12]])</f>
        <v>19.7</v>
      </c>
      <c r="Q93" s="70">
        <f>MIN(Tabella01MarzoInverter[[#This Row],[Active power TX1-INV-1]:[Active power TX1-INV-12]])</f>
        <v>13</v>
      </c>
      <c r="R93" s="71">
        <v>12.1</v>
      </c>
      <c r="S93" s="67">
        <v>13.4</v>
      </c>
      <c r="T93" s="67">
        <v>12.8</v>
      </c>
      <c r="U93" s="67">
        <v>10.5</v>
      </c>
      <c r="V93" s="67">
        <v>11.9</v>
      </c>
      <c r="W93" s="67">
        <v>12.7</v>
      </c>
      <c r="X93" s="67">
        <v>13</v>
      </c>
      <c r="Y93" s="67">
        <v>14.1</v>
      </c>
      <c r="Z93" s="67">
        <v>14.2</v>
      </c>
      <c r="AA93" s="67">
        <v>13.8</v>
      </c>
      <c r="AB93" s="67">
        <v>14</v>
      </c>
      <c r="AC93" s="68">
        <v>15.2</v>
      </c>
      <c r="AD93" s="69">
        <f>IFERROR(AVERAGEIF(Tabella01MarzoInverter[[#This Row],[Active power TX2-INV-1]:[Active power TX2-INV-12]], "&gt;0"), 0)</f>
        <v>13.141666666666666</v>
      </c>
      <c r="AE93" s="67">
        <f>MAX(Tabella01MarzoInverter[[#This Row],[Active power TX2-INV-1]:[Active power TX2-INV-12]])</f>
        <v>15.2</v>
      </c>
      <c r="AF93" s="70">
        <f>MIN(Tabella01MarzoInverter[[#This Row],[Active power TX2-INV-1]:[Active power TX2-INV-12]])</f>
        <v>10.5</v>
      </c>
      <c r="AG93" s="71">
        <v>20.7</v>
      </c>
      <c r="AH93" s="67">
        <v>21.9</v>
      </c>
      <c r="AI93" s="67">
        <v>19.399999999999999</v>
      </c>
      <c r="AJ93" s="67">
        <v>18.7</v>
      </c>
      <c r="AK93" s="67">
        <v>18.5</v>
      </c>
      <c r="AL93" s="67">
        <v>16.600000000000001</v>
      </c>
      <c r="AM93" s="67">
        <v>18.899999999999999</v>
      </c>
      <c r="AN93" s="67">
        <v>18.3</v>
      </c>
      <c r="AO93" s="67">
        <v>21.2</v>
      </c>
      <c r="AP93" s="67">
        <v>23.8</v>
      </c>
      <c r="AQ93" s="67">
        <v>18.399999999999999</v>
      </c>
      <c r="AR93" s="68">
        <v>18.100000000000001</v>
      </c>
      <c r="AS93" s="69">
        <f>IFERROR(AVERAGEIF(Tabella01MarzoInverter[[#This Row],[Active power TX3-INV-1]:[Active power TX3-INV-12]], "&gt;0"), 0)</f>
        <v>19.541666666666668</v>
      </c>
      <c r="AT93" s="67">
        <f>MAX(Tabella01MarzoInverter[[#This Row],[Active power TX3-INV-1]:[Active power TX3-INV-12]])</f>
        <v>23.8</v>
      </c>
      <c r="AU93" s="70">
        <f>MIN(Tabella01MarzoInverter[[#This Row],[Active power TX3-INV-1]:[Active power TX3-INV-12]])</f>
        <v>16.600000000000001</v>
      </c>
    </row>
    <row r="94" spans="1:47" x14ac:dyDescent="0.25">
      <c r="A94" s="65">
        <v>46144</v>
      </c>
      <c r="B94" s="72" t="s">
        <v>94</v>
      </c>
      <c r="C94" s="67">
        <v>6.5</v>
      </c>
      <c r="D94" s="67">
        <v>6.3</v>
      </c>
      <c r="E94" s="67">
        <v>6.2</v>
      </c>
      <c r="F94" s="67">
        <v>6</v>
      </c>
      <c r="G94" s="67">
        <v>6.5</v>
      </c>
      <c r="H94" s="67">
        <v>6.1</v>
      </c>
      <c r="I94" s="67">
        <v>5.5</v>
      </c>
      <c r="J94" s="67">
        <v>6.8</v>
      </c>
      <c r="K94" s="67">
        <v>6.7</v>
      </c>
      <c r="L94" s="67">
        <v>6.3</v>
      </c>
      <c r="M94" s="67">
        <v>5.9</v>
      </c>
      <c r="N94" s="68">
        <v>5.6</v>
      </c>
      <c r="O94" s="69">
        <f>IFERROR(AVERAGEIF(Tabella01MarzoInverter[[#This Row],[Active power TX1-INV-1]:[Active power TX1-INV-12]], "&gt;0"), 0)</f>
        <v>6.1999999999999993</v>
      </c>
      <c r="P94" s="67">
        <f>MAX(Tabella01MarzoInverter[[#This Row],[Active power TX1-INV-1]:[Active power TX1-INV-12]])</f>
        <v>6.8</v>
      </c>
      <c r="Q94" s="70">
        <f>MIN(Tabella01MarzoInverter[[#This Row],[Active power TX1-INV-1]:[Active power TX1-INV-12]])</f>
        <v>5.5</v>
      </c>
      <c r="R94" s="71">
        <v>6.3</v>
      </c>
      <c r="S94" s="67">
        <v>5.9</v>
      </c>
      <c r="T94" s="67">
        <v>5.9</v>
      </c>
      <c r="U94" s="67">
        <v>6.1</v>
      </c>
      <c r="V94" s="67">
        <v>6.7</v>
      </c>
      <c r="W94" s="67">
        <v>6.6</v>
      </c>
      <c r="X94" s="67">
        <v>7</v>
      </c>
      <c r="Y94" s="67">
        <v>7.3</v>
      </c>
      <c r="Z94" s="67">
        <v>8.1999999999999993</v>
      </c>
      <c r="AA94" s="67">
        <v>8.1999999999999993</v>
      </c>
      <c r="AB94" s="67">
        <v>8.3000000000000007</v>
      </c>
      <c r="AC94" s="68">
        <v>8.3000000000000007</v>
      </c>
      <c r="AD94" s="69">
        <f>IFERROR(AVERAGEIF(Tabella01MarzoInverter[[#This Row],[Active power TX2-INV-1]:[Active power TX2-INV-12]], "&gt;0"), 0)</f>
        <v>7.0666666666666664</v>
      </c>
      <c r="AE94" s="67">
        <f>MAX(Tabella01MarzoInverter[[#This Row],[Active power TX2-INV-1]:[Active power TX2-INV-12]])</f>
        <v>8.3000000000000007</v>
      </c>
      <c r="AF94" s="70">
        <f>MIN(Tabella01MarzoInverter[[#This Row],[Active power TX2-INV-1]:[Active power TX2-INV-12]])</f>
        <v>5.9</v>
      </c>
      <c r="AG94" s="71">
        <v>7</v>
      </c>
      <c r="AH94" s="67">
        <v>7</v>
      </c>
      <c r="AI94" s="67">
        <v>6.7</v>
      </c>
      <c r="AJ94" s="67">
        <v>6.2</v>
      </c>
      <c r="AK94" s="67">
        <v>6.4</v>
      </c>
      <c r="AL94" s="67">
        <v>5.8</v>
      </c>
      <c r="AM94" s="67">
        <v>6.3</v>
      </c>
      <c r="AN94" s="67">
        <v>6.3</v>
      </c>
      <c r="AO94" s="67">
        <v>7.1</v>
      </c>
      <c r="AP94" s="67">
        <v>7.9</v>
      </c>
      <c r="AQ94" s="67">
        <v>6.5</v>
      </c>
      <c r="AR94" s="68">
        <v>6.3</v>
      </c>
      <c r="AS94" s="69">
        <f>IFERROR(AVERAGEIF(Tabella01MarzoInverter[[#This Row],[Active power TX3-INV-1]:[Active power TX3-INV-12]], "&gt;0"), 0)</f>
        <v>6.6249999999999991</v>
      </c>
      <c r="AT94" s="67">
        <f>MAX(Tabella01MarzoInverter[[#This Row],[Active power TX3-INV-1]:[Active power TX3-INV-12]])</f>
        <v>7.9</v>
      </c>
      <c r="AU94" s="70">
        <f>MIN(Tabella01MarzoInverter[[#This Row],[Active power TX3-INV-1]:[Active power TX3-INV-12]])</f>
        <v>5.8</v>
      </c>
    </row>
    <row r="95" spans="1:47" x14ac:dyDescent="0.25">
      <c r="A95" s="65">
        <v>46144</v>
      </c>
      <c r="B95" s="66" t="s">
        <v>95</v>
      </c>
      <c r="C95" s="67">
        <v>1.9</v>
      </c>
      <c r="D95" s="67">
        <v>1.8</v>
      </c>
      <c r="E95" s="67">
        <v>1.9</v>
      </c>
      <c r="F95" s="67">
        <v>2</v>
      </c>
      <c r="G95" s="67">
        <v>2</v>
      </c>
      <c r="H95" s="67">
        <v>2.2000000000000002</v>
      </c>
      <c r="I95" s="67">
        <v>2</v>
      </c>
      <c r="J95" s="67">
        <v>2.1</v>
      </c>
      <c r="K95" s="67">
        <v>2.2000000000000002</v>
      </c>
      <c r="L95" s="67">
        <v>2.2000000000000002</v>
      </c>
      <c r="M95" s="67">
        <v>2.1</v>
      </c>
      <c r="N95" s="68">
        <v>1.9</v>
      </c>
      <c r="O95" s="69">
        <f>IFERROR(AVERAGEIF(Tabella01MarzoInverter[[#This Row],[Active power TX1-INV-1]:[Active power TX1-INV-12]], "&gt;0"), 0)</f>
        <v>2.0249999999999999</v>
      </c>
      <c r="P95" s="67">
        <f>MAX(Tabella01MarzoInverter[[#This Row],[Active power TX1-INV-1]:[Active power TX1-INV-12]])</f>
        <v>2.2000000000000002</v>
      </c>
      <c r="Q95" s="70">
        <f>MIN(Tabella01MarzoInverter[[#This Row],[Active power TX1-INV-1]:[Active power TX1-INV-12]])</f>
        <v>1.8</v>
      </c>
      <c r="R95" s="71">
        <v>1.8</v>
      </c>
      <c r="S95" s="67">
        <v>1.9</v>
      </c>
      <c r="T95" s="67">
        <v>1.8</v>
      </c>
      <c r="U95" s="67">
        <v>1.8</v>
      </c>
      <c r="V95" s="67">
        <v>1.8</v>
      </c>
      <c r="W95" s="67">
        <v>2</v>
      </c>
      <c r="X95" s="67">
        <v>2</v>
      </c>
      <c r="Y95" s="67">
        <v>2.1</v>
      </c>
      <c r="Z95" s="67">
        <v>2.2000000000000002</v>
      </c>
      <c r="AA95" s="67">
        <v>2</v>
      </c>
      <c r="AB95" s="67">
        <v>2.2000000000000002</v>
      </c>
      <c r="AC95" s="68">
        <v>2.2000000000000002</v>
      </c>
      <c r="AD95" s="69">
        <f>IFERROR(AVERAGEIF(Tabella01MarzoInverter[[#This Row],[Active power TX2-INV-1]:[Active power TX2-INV-12]], "&gt;0"), 0)</f>
        <v>1.9833333333333332</v>
      </c>
      <c r="AE95" s="67">
        <f>MAX(Tabella01MarzoInverter[[#This Row],[Active power TX2-INV-1]:[Active power TX2-INV-12]])</f>
        <v>2.2000000000000002</v>
      </c>
      <c r="AF95" s="70">
        <f>MIN(Tabella01MarzoInverter[[#This Row],[Active power TX2-INV-1]:[Active power TX2-INV-12]])</f>
        <v>1.8</v>
      </c>
      <c r="AG95" s="71">
        <v>2.1</v>
      </c>
      <c r="AH95" s="67">
        <v>1.8</v>
      </c>
      <c r="AI95" s="67">
        <v>2.1</v>
      </c>
      <c r="AJ95" s="67">
        <v>2</v>
      </c>
      <c r="AK95" s="67">
        <v>2.2000000000000002</v>
      </c>
      <c r="AL95" s="67">
        <v>2</v>
      </c>
      <c r="AM95" s="67">
        <v>2</v>
      </c>
      <c r="AN95" s="67">
        <v>2.1</v>
      </c>
      <c r="AO95" s="67">
        <v>2.2000000000000002</v>
      </c>
      <c r="AP95" s="67">
        <v>2.2000000000000002</v>
      </c>
      <c r="AQ95" s="67">
        <v>2.1</v>
      </c>
      <c r="AR95" s="68">
        <v>1.8</v>
      </c>
      <c r="AS95" s="69">
        <f>IFERROR(AVERAGEIF(Tabella01MarzoInverter[[#This Row],[Active power TX3-INV-1]:[Active power TX3-INV-12]], "&gt;0"), 0)</f>
        <v>2.0500000000000003</v>
      </c>
      <c r="AT95" s="67">
        <f>MAX(Tabella01MarzoInverter[[#This Row],[Active power TX3-INV-1]:[Active power TX3-INV-12]])</f>
        <v>2.2000000000000002</v>
      </c>
      <c r="AU95" s="70">
        <f>MIN(Tabella01MarzoInverter[[#This Row],[Active power TX3-INV-1]:[Active power TX3-INV-12]])</f>
        <v>1.8</v>
      </c>
    </row>
    <row r="96" spans="1:47" x14ac:dyDescent="0.25">
      <c r="A96" s="65">
        <v>46144</v>
      </c>
      <c r="B96" s="72" t="s">
        <v>96</v>
      </c>
      <c r="C96" s="67">
        <v>0.3</v>
      </c>
      <c r="D96" s="67">
        <v>0.2</v>
      </c>
      <c r="E96" s="67">
        <v>0.5</v>
      </c>
      <c r="F96" s="67">
        <v>0.5</v>
      </c>
      <c r="G96" s="67">
        <v>0.7</v>
      </c>
      <c r="H96" s="67">
        <v>0.5</v>
      </c>
      <c r="I96" s="67">
        <v>0.6</v>
      </c>
      <c r="J96" s="67">
        <v>0.5</v>
      </c>
      <c r="K96" s="67">
        <v>0.5</v>
      </c>
      <c r="L96" s="67">
        <v>0.5</v>
      </c>
      <c r="M96" s="67">
        <v>0.4</v>
      </c>
      <c r="N96" s="68">
        <v>0.6</v>
      </c>
      <c r="O96" s="69">
        <f>IFERROR(AVERAGEIF(Tabella01MarzoInverter[[#This Row],[Active power TX1-INV-1]:[Active power TX1-INV-12]], "&gt;0"), 0)</f>
        <v>0.48333333333333339</v>
      </c>
      <c r="P96" s="67">
        <f>MAX(Tabella01MarzoInverter[[#This Row],[Active power TX1-INV-1]:[Active power TX1-INV-12]])</f>
        <v>0.7</v>
      </c>
      <c r="Q96" s="70">
        <f>MIN(Tabella01MarzoInverter[[#This Row],[Active power TX1-INV-1]:[Active power TX1-INV-12]])</f>
        <v>0.2</v>
      </c>
      <c r="R96" s="71">
        <v>0.5</v>
      </c>
      <c r="S96" s="67">
        <v>0.5</v>
      </c>
      <c r="T96" s="67">
        <v>0.2</v>
      </c>
      <c r="U96" s="67">
        <v>0.5</v>
      </c>
      <c r="V96" s="67">
        <v>0.6</v>
      </c>
      <c r="W96" s="67">
        <v>0.6</v>
      </c>
      <c r="X96" s="67">
        <v>0.6</v>
      </c>
      <c r="Y96" s="67">
        <v>0.6</v>
      </c>
      <c r="Z96" s="67">
        <v>0.6</v>
      </c>
      <c r="AA96" s="67">
        <v>0.5</v>
      </c>
      <c r="AB96" s="67">
        <v>0.4</v>
      </c>
      <c r="AC96" s="68">
        <v>0.5</v>
      </c>
      <c r="AD96" s="69">
        <f>IFERROR(AVERAGEIF(Tabella01MarzoInverter[[#This Row],[Active power TX2-INV-1]:[Active power TX2-INV-12]], "&gt;0"), 0)</f>
        <v>0.5083333333333333</v>
      </c>
      <c r="AE96" s="67">
        <f>MAX(Tabella01MarzoInverter[[#This Row],[Active power TX2-INV-1]:[Active power TX2-INV-12]])</f>
        <v>0.6</v>
      </c>
      <c r="AF96" s="70">
        <f>MIN(Tabella01MarzoInverter[[#This Row],[Active power TX2-INV-1]:[Active power TX2-INV-12]])</f>
        <v>0.2</v>
      </c>
      <c r="AG96" s="71">
        <v>0.6</v>
      </c>
      <c r="AH96" s="67">
        <v>0.6</v>
      </c>
      <c r="AI96" s="67">
        <v>0.6</v>
      </c>
      <c r="AJ96" s="67">
        <v>0.6</v>
      </c>
      <c r="AK96" s="67">
        <v>0.6</v>
      </c>
      <c r="AL96" s="67">
        <v>0.6</v>
      </c>
      <c r="AM96" s="67">
        <v>0.5</v>
      </c>
      <c r="AN96" s="67">
        <v>0.6</v>
      </c>
      <c r="AO96" s="67">
        <v>0.6</v>
      </c>
      <c r="AP96" s="67">
        <v>0.6</v>
      </c>
      <c r="AQ96" s="67">
        <v>0.6</v>
      </c>
      <c r="AR96" s="68">
        <v>0.5</v>
      </c>
      <c r="AS96" s="69">
        <f>IFERROR(AVERAGEIF(Tabella01MarzoInverter[[#This Row],[Active power TX3-INV-1]:[Active power TX3-INV-12]], "&gt;0"), 0)</f>
        <v>0.58333333333333315</v>
      </c>
      <c r="AT96" s="67">
        <f>MAX(Tabella01MarzoInverter[[#This Row],[Active power TX3-INV-1]:[Active power TX3-INV-12]])</f>
        <v>0.6</v>
      </c>
      <c r="AU96" s="70">
        <f>MIN(Tabella01MarzoInverter[[#This Row],[Active power TX3-INV-1]:[Active power TX3-INV-12]])</f>
        <v>0.5</v>
      </c>
    </row>
    <row r="97" spans="1:47" x14ac:dyDescent="0.25">
      <c r="A97" s="65">
        <v>46144</v>
      </c>
      <c r="B97" s="66" t="s">
        <v>97</v>
      </c>
      <c r="C97" s="67">
        <v>0.1</v>
      </c>
      <c r="D97" s="67">
        <v>0.1</v>
      </c>
      <c r="E97" s="67">
        <v>0.1</v>
      </c>
      <c r="F97" s="67">
        <v>0.1</v>
      </c>
      <c r="G97" s="67">
        <v>0.3</v>
      </c>
      <c r="H97" s="67">
        <v>0.1</v>
      </c>
      <c r="I97" s="67">
        <v>0.1</v>
      </c>
      <c r="J97" s="67">
        <v>0.1</v>
      </c>
      <c r="K97" s="67">
        <v>0.1</v>
      </c>
      <c r="L97" s="67">
        <v>0.1</v>
      </c>
      <c r="M97" s="67">
        <v>0.1</v>
      </c>
      <c r="N97" s="68">
        <v>0.2</v>
      </c>
      <c r="O97" s="69">
        <f>IFERROR(AVERAGEIF(Tabella01MarzoInverter[[#This Row],[Active power TX1-INV-1]:[Active power TX1-INV-12]], "&gt;0"), 0)</f>
        <v>0.125</v>
      </c>
      <c r="P97" s="67">
        <f>MAX(Tabella01MarzoInverter[[#This Row],[Active power TX1-INV-1]:[Active power TX1-INV-12]])</f>
        <v>0.3</v>
      </c>
      <c r="Q97" s="70">
        <f>MIN(Tabella01MarzoInverter[[#This Row],[Active power TX1-INV-1]:[Active power TX1-INV-12]])</f>
        <v>0.1</v>
      </c>
      <c r="R97" s="71">
        <v>0.1</v>
      </c>
      <c r="S97" s="67">
        <v>0.1</v>
      </c>
      <c r="T97" s="67">
        <v>0.8</v>
      </c>
      <c r="U97" s="67">
        <v>0.1</v>
      </c>
      <c r="V97" s="67">
        <v>0.4</v>
      </c>
      <c r="W97" s="67">
        <v>0.1</v>
      </c>
      <c r="X97" s="67">
        <v>0.1</v>
      </c>
      <c r="Y97" s="67">
        <v>0.2</v>
      </c>
      <c r="Z97" s="67">
        <v>0.1</v>
      </c>
      <c r="AA97" s="67">
        <v>0.1</v>
      </c>
      <c r="AB97" s="67">
        <v>0.1</v>
      </c>
      <c r="AC97" s="68">
        <v>0.4</v>
      </c>
      <c r="AD97" s="69">
        <f>IFERROR(AVERAGEIF(Tabella01MarzoInverter[[#This Row],[Active power TX2-INV-1]:[Active power TX2-INV-12]], "&gt;0"), 0)</f>
        <v>0.21666666666666667</v>
      </c>
      <c r="AE97" s="67">
        <f>MAX(Tabella01MarzoInverter[[#This Row],[Active power TX2-INV-1]:[Active power TX2-INV-12]])</f>
        <v>0.8</v>
      </c>
      <c r="AF97" s="70">
        <f>MIN(Tabella01MarzoInverter[[#This Row],[Active power TX2-INV-1]:[Active power TX2-INV-12]])</f>
        <v>0.1</v>
      </c>
      <c r="AG97" s="71">
        <v>0.3</v>
      </c>
      <c r="AH97" s="67">
        <v>0.1</v>
      </c>
      <c r="AI97" s="67">
        <v>0.1</v>
      </c>
      <c r="AJ97" s="67">
        <v>0.1</v>
      </c>
      <c r="AK97" s="67">
        <v>0.1</v>
      </c>
      <c r="AL97" s="67">
        <v>0.1</v>
      </c>
      <c r="AM97" s="67">
        <v>0.1</v>
      </c>
      <c r="AN97" s="67">
        <v>0.1</v>
      </c>
      <c r="AO97" s="67">
        <v>0.1</v>
      </c>
      <c r="AP97" s="67">
        <v>0.1</v>
      </c>
      <c r="AQ97" s="67">
        <v>0.1</v>
      </c>
      <c r="AR97" s="68">
        <v>0.1</v>
      </c>
      <c r="AS97" s="69">
        <f>IFERROR(AVERAGEIF(Tabella01MarzoInverter[[#This Row],[Active power TX3-INV-1]:[Active power TX3-INV-12]], "&gt;0"), 0)</f>
        <v>0.11666666666666668</v>
      </c>
      <c r="AT97" s="67">
        <f>MAX(Tabella01MarzoInverter[[#This Row],[Active power TX3-INV-1]:[Active power TX3-INV-12]])</f>
        <v>0.3</v>
      </c>
      <c r="AU97" s="70">
        <f>MIN(Tabella01MarzoInverter[[#This Row],[Active power TX3-INV-1]:[Active power TX3-INV-12]])</f>
        <v>0.1</v>
      </c>
    </row>
    <row r="98" spans="1:47" x14ac:dyDescent="0.25">
      <c r="A98" s="65">
        <v>46144</v>
      </c>
      <c r="B98" s="72" t="s">
        <v>98</v>
      </c>
      <c r="C98" s="67">
        <v>0</v>
      </c>
      <c r="D98" s="67">
        <v>0</v>
      </c>
      <c r="E98" s="67">
        <v>0</v>
      </c>
      <c r="F98" s="67">
        <v>0</v>
      </c>
      <c r="G98" s="67">
        <v>0.2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8">
        <v>0.1</v>
      </c>
      <c r="O98" s="69">
        <f>IFERROR(AVERAGEIF(Tabella01MarzoInverter[[#This Row],[Active power TX1-INV-1]:[Active power TX1-INV-12]], "&gt;0"), 0)</f>
        <v>0.15000000000000002</v>
      </c>
      <c r="P98" s="67">
        <f>MAX(Tabella01MarzoInverter[[#This Row],[Active power TX1-INV-1]:[Active power TX1-INV-12]])</f>
        <v>0.2</v>
      </c>
      <c r="Q98" s="70">
        <f>MIN(Tabella01MarzoInverter[[#This Row],[Active power TX1-INV-1]:[Active power TX1-INV-12]])</f>
        <v>0</v>
      </c>
      <c r="R98" s="71">
        <v>0</v>
      </c>
      <c r="S98" s="67">
        <v>0</v>
      </c>
      <c r="T98" s="67">
        <v>0.2</v>
      </c>
      <c r="U98" s="67">
        <v>0</v>
      </c>
      <c r="V98" s="67">
        <v>0.1</v>
      </c>
      <c r="W98" s="67">
        <v>0</v>
      </c>
      <c r="X98" s="67">
        <v>0.1</v>
      </c>
      <c r="Y98" s="67">
        <v>0.1</v>
      </c>
      <c r="Z98" s="67">
        <v>0.1</v>
      </c>
      <c r="AA98" s="67">
        <v>0</v>
      </c>
      <c r="AB98" s="67">
        <v>0</v>
      </c>
      <c r="AC98" s="68">
        <v>0.1</v>
      </c>
      <c r="AD98" s="69">
        <f>IFERROR(AVERAGEIF(Tabella01MarzoInverter[[#This Row],[Active power TX2-INV-1]:[Active power TX2-INV-12]], "&gt;0"), 0)</f>
        <v>0.11666666666666665</v>
      </c>
      <c r="AE98" s="67">
        <f>MAX(Tabella01MarzoInverter[[#This Row],[Active power TX2-INV-1]:[Active power TX2-INV-12]])</f>
        <v>0.2</v>
      </c>
      <c r="AF98" s="70">
        <f>MIN(Tabella01MarzoInverter[[#This Row],[Active power TX2-INV-1]:[Active power TX2-INV-12]])</f>
        <v>0</v>
      </c>
      <c r="AG98" s="71">
        <v>0.2</v>
      </c>
      <c r="AH98" s="67">
        <v>0.1</v>
      </c>
      <c r="AI98" s="67">
        <v>0</v>
      </c>
      <c r="AJ98" s="67">
        <v>0</v>
      </c>
      <c r="AK98" s="67">
        <v>0.1</v>
      </c>
      <c r="AL98" s="67">
        <v>0</v>
      </c>
      <c r="AM98" s="67">
        <v>0</v>
      </c>
      <c r="AN98" s="67">
        <v>0.1</v>
      </c>
      <c r="AO98" s="67">
        <v>0</v>
      </c>
      <c r="AP98" s="67">
        <v>0</v>
      </c>
      <c r="AQ98" s="67">
        <v>0.1</v>
      </c>
      <c r="AR98" s="68">
        <v>0</v>
      </c>
      <c r="AS98" s="69">
        <f>IFERROR(AVERAGEIF(Tabella01MarzoInverter[[#This Row],[Active power TX3-INV-1]:[Active power TX3-INV-12]], "&gt;0"), 0)</f>
        <v>0.12</v>
      </c>
      <c r="AT98" s="67">
        <f>MAX(Tabella01MarzoInverter[[#This Row],[Active power TX3-INV-1]:[Active power TX3-INV-12]])</f>
        <v>0.2</v>
      </c>
      <c r="AU98" s="70">
        <f>MIN(Tabella01MarzoInverter[[#This Row],[Active power TX3-INV-1]:[Active power TX3-INV-12]])</f>
        <v>0</v>
      </c>
    </row>
    <row r="99" spans="1:47" x14ac:dyDescent="0.25">
      <c r="A99" s="65">
        <v>46144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0.1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0.1</v>
      </c>
      <c r="P99" s="67">
        <f>MAX(Tabella01MarzoInverter[[#This Row],[Active power TX1-INV-1]:[Active power TX1-INV-12]])</f>
        <v>0.1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0.1</v>
      </c>
      <c r="U99" s="67">
        <v>0</v>
      </c>
      <c r="V99" s="67">
        <v>0</v>
      </c>
      <c r="W99" s="67">
        <v>0</v>
      </c>
      <c r="X99" s="67">
        <v>0</v>
      </c>
      <c r="Y99" s="67">
        <v>0</v>
      </c>
      <c r="Z99" s="67">
        <v>0</v>
      </c>
      <c r="AA99" s="67">
        <v>0</v>
      </c>
      <c r="AB99" s="67">
        <v>0</v>
      </c>
      <c r="AC99" s="68">
        <v>0</v>
      </c>
      <c r="AD99" s="69">
        <f>IFERROR(AVERAGEIF(Tabella01MarzoInverter[[#This Row],[Active power TX2-INV-1]:[Active power TX2-INV-12]], "&gt;0"), 0)</f>
        <v>0.1</v>
      </c>
      <c r="AE99" s="67">
        <f>MAX(Tabella01MarzoInverter[[#This Row],[Active power TX2-INV-1]:[Active power TX2-INV-12]])</f>
        <v>0.1</v>
      </c>
      <c r="AF99" s="70">
        <f>MIN(Tabella01MarzoInverter[[#This Row],[Active power TX2-INV-1]:[Active power TX2-INV-12]])</f>
        <v>0</v>
      </c>
      <c r="AG99" s="71">
        <v>0.1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0.1</v>
      </c>
      <c r="AT99" s="67">
        <f>MAX(Tabella01MarzoInverter[[#This Row],[Active power TX3-INV-1]:[Active power TX3-INV-12]])</f>
        <v>0.1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46144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</v>
      </c>
      <c r="U100" s="67">
        <v>0</v>
      </c>
      <c r="V100" s="67">
        <v>0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</v>
      </c>
      <c r="AD100" s="69">
        <f>IFERROR(AVERAGEIF(Tabella01MarzoInverter[[#This Row],[Active power TX2-INV-1]:[Active power TX2-INV-12]], "&gt;0"), 0)</f>
        <v>0</v>
      </c>
      <c r="AE100" s="67">
        <f>MAX(Tabella01MarzoInverter[[#This Row],[Active power TX2-INV-1]:[Active power TX2-INV-12]])</f>
        <v>0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46144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46144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46144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46144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46144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46144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46144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46144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46144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46144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2026-05-18T13:25:48Z</dcterms:modified>
</cp:coreProperties>
</file>