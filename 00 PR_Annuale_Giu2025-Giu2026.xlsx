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_Annu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73E8"/>
      <sz val="14"/>
    </font>
    <font>
      <i val="1"/>
      <color rgb="005F6368"/>
    </font>
    <font>
      <b val="1"/>
      <color rgb="00FFFFFF"/>
    </font>
    <font>
      <b val="1"/>
    </font>
    <font>
      <i val="1"/>
      <color rgb="00C0392B"/>
      <sz val="9"/>
    </font>
    <font>
      <i val="1"/>
      <color rgb="005F6368"/>
      <sz val="9"/>
    </font>
    <font>
      <b val="1"/>
      <color rgb="001A73E8"/>
    </font>
  </fonts>
  <fills count="6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DE7E9"/>
      </patternFill>
    </fill>
    <fill>
      <patternFill patternType="solid">
        <fgColor rgb="00FFF3CD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C0C8D0"/>
      </left>
      <right style="thin">
        <color rgb="00C0C8D0"/>
      </right>
      <top style="thin">
        <color rgb="00C0C8D0"/>
      </top>
      <bottom style="thin">
        <color rgb="00C0C8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4" fillId="4" borderId="1" pivotButton="0" quotePrefix="0" xfId="0"/>
    <xf numFmtId="0" fontId="0" fillId="4" borderId="1" pivotButton="0" quotePrefix="0" xfId="0"/>
    <xf numFmtId="0" fontId="4" fillId="5" borderId="1" pivotButton="0" quotePrefix="0" xfId="0"/>
    <xf numFmtId="0" fontId="5" fillId="5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12" customWidth="1" min="5" max="5"/>
    <col width="12" customWidth="1" min="6" max="6"/>
    <col width="15" customWidth="1" min="7" max="7"/>
    <col width="14" customWidth="1" min="8" max="8"/>
    <col width="13" customWidth="1" min="9" max="9"/>
    <col width="13" customWidth="1" min="10" max="10"/>
    <col width="13" customWidth="1" min="11" max="11"/>
    <col width="42" customWidth="1" min="12" max="12"/>
  </cols>
  <sheetData>
    <row r="1">
      <c r="A1" s="1" t="inlineStr">
        <is>
          <t>Performance Ratio - Riepilogo Annuale  (Giugno 2025 - Giugno 2026)</t>
        </is>
      </c>
    </row>
    <row r="2">
      <c r="A2" s="2" t="inlineStr">
        <is>
          <t>Valori collegati tramite formule ai file Madre mensili (00 PR_recalculation_*.xlsx).</t>
        </is>
      </c>
    </row>
    <row r="4">
      <c r="A4" s="3" t="inlineStr">
        <is>
          <t>Mese</t>
        </is>
      </c>
      <c r="B4" s="3" t="inlineStr">
        <is>
          <t>Irradiance [kWh/m2]</t>
        </is>
      </c>
      <c r="C4" s="3" t="inlineStr">
        <is>
          <t>Energy [kWh]</t>
        </is>
      </c>
      <c r="D4" s="3" t="inlineStr">
        <is>
          <t>PR Total [%]</t>
        </is>
      </c>
      <c r="E4" s="3" t="inlineStr">
        <is>
          <t>PR SCADA [%]</t>
        </is>
      </c>
      <c r="F4" s="3" t="inlineStr">
        <is>
          <t>PR VCOM [%]</t>
        </is>
      </c>
      <c r="G4" s="3" t="inlineStr">
        <is>
          <t>PR Compensated [%]</t>
        </is>
      </c>
      <c r="H4" s="3" t="inlineStr">
        <is>
          <t>External Avail. [%]</t>
        </is>
      </c>
      <c r="I4" s="3" t="inlineStr">
        <is>
          <t>Loss TX1 [kWh]</t>
        </is>
      </c>
      <c r="J4" s="3" t="inlineStr">
        <is>
          <t>Loss TX2 [kWh]</t>
        </is>
      </c>
      <c r="K4" s="3" t="inlineStr">
        <is>
          <t>Loss TX3 [kWh]</t>
        </is>
      </c>
      <c r="L4" s="3" t="inlineStr">
        <is>
          <t>Note</t>
        </is>
      </c>
    </row>
    <row r="5">
      <c r="A5" s="4" t="inlineStr">
        <is>
          <t>Giugno 2025</t>
        </is>
      </c>
      <c r="B5" s="5">
        <f>'\s01\get\2025.01 Mazara 01 A2A\03 - REPORT\Report\01 Daily Reports\2025 06\PR CALCOLO FILE\[00 PR_recalculation_GIUG.xlsx]PR_Calc'!$D$35</f>
        <v/>
      </c>
      <c r="C5" s="5">
        <f>'\s01\get\2025.01 Mazara 01 A2A\03 - REPORT\Report\01 Daily Reports\2025 06\PR CALCOLO FILE\[00 PR_recalculation_GIUG.xlsx]PR_Calc'!$E$35</f>
        <v/>
      </c>
      <c r="D5" s="5">
        <f>'\s01\get\2025.01 Mazara 01 A2A\03 - REPORT\Report\01 Daily Reports\2025 06\PR CALCOLO FILE\[00 PR_recalculation_GIUG.xlsx]PR_Calc'!$F$35</f>
        <v/>
      </c>
      <c r="E5" s="5">
        <f>'\s01\get\2025.01 Mazara 01 A2A\03 - REPORT\Report\01 Daily Reports\2025 06\PR CALCOLO FILE\[00 PR_recalculation_GIUG.xlsx]PR_Calc'!$G$35</f>
        <v/>
      </c>
      <c r="F5" s="5">
        <f>'\s01\get\2025.01 Mazara 01 A2A\03 - REPORT\Report\01 Daily Reports\2025 06\PR CALCOLO FILE\[00 PR_recalculation_GIUG.xlsx]PR_Calc'!$H$35</f>
        <v/>
      </c>
      <c r="G5" s="5">
        <f>'\s01\get\2025.01 Mazara 01 A2A\03 - REPORT\Report\01 Daily Reports\2025 06\PR CALCOLO FILE\[00 PR_recalculation_GIUG.xlsx]PR_Calc'!$I$35</f>
        <v/>
      </c>
      <c r="H5" s="5">
        <f>'\s01\get\2025.01 Mazara 01 A2A\03 - REPORT\Report\01 Daily Reports\2025 06\PR CALCOLO FILE\[00 PR_recalculation_GIUG.xlsx]PR_Calc'!$J$35</f>
        <v/>
      </c>
      <c r="I5" s="5">
        <f>'\s01\get\2025.01 Mazara 01 A2A\03 - REPORT\Report\01 Daily Reports\2025 06\PR CALCOLO FILE\[00 PR_recalculation_GIUG.xlsx]PR_Calc'!$K$35</f>
        <v/>
      </c>
      <c r="J5" s="5">
        <f>'\s01\get\2025.01 Mazara 01 A2A\03 - REPORT\Report\01 Daily Reports\2025 06\PR CALCOLO FILE\[00 PR_recalculation_GIUG.xlsx]PR_Calc'!$L$35</f>
        <v/>
      </c>
      <c r="K5" s="5">
        <f>'\s01\get\2025.01 Mazara 01 A2A\03 - REPORT\Report\01 Daily Reports\2025 06\PR CALCOLO FILE\[00 PR_recalculation_GIUG.xlsx]PR_Calc'!$M$35</f>
        <v/>
      </c>
      <c r="L5" s="5" t="n"/>
    </row>
    <row r="6">
      <c r="A6" s="4" t="inlineStr">
        <is>
          <t>Luglio 2025</t>
        </is>
      </c>
      <c r="B6" s="5">
        <f>'\s01\get\2025.01 Mazara 01 A2A\03 - REPORT\Report\01 Daily Reports\2025 07\PR CALCOLO FILE\[00 PR_recalculation_LUGL.xlsx]PR_Calc'!$D$36</f>
        <v/>
      </c>
      <c r="C6" s="5">
        <f>'\s01\get\2025.01 Mazara 01 A2A\03 - REPORT\Report\01 Daily Reports\2025 07\PR CALCOLO FILE\[00 PR_recalculation_LUGL.xlsx]PR_Calc'!$E$36</f>
        <v/>
      </c>
      <c r="D6" s="5">
        <f>'\s01\get\2025.01 Mazara 01 A2A\03 - REPORT\Report\01 Daily Reports\2025 07\PR CALCOLO FILE\[00 PR_recalculation_LUGL.xlsx]PR_Calc'!$F$36</f>
        <v/>
      </c>
      <c r="E6" s="5">
        <f>'\s01\get\2025.01 Mazara 01 A2A\03 - REPORT\Report\01 Daily Reports\2025 07\PR CALCOLO FILE\[00 PR_recalculation_LUGL.xlsx]PR_Calc'!$G$36</f>
        <v/>
      </c>
      <c r="F6" s="5">
        <f>'\s01\get\2025.01 Mazara 01 A2A\03 - REPORT\Report\01 Daily Reports\2025 07\PR CALCOLO FILE\[00 PR_recalculation_LUGL.xlsx]PR_Calc'!$H$36</f>
        <v/>
      </c>
      <c r="G6" s="5">
        <f>'\s01\get\2025.01 Mazara 01 A2A\03 - REPORT\Report\01 Daily Reports\2025 07\PR CALCOLO FILE\[00 PR_recalculation_LUGL.xlsx]PR_Calc'!$I$36</f>
        <v/>
      </c>
      <c r="H6" s="5">
        <f>'\s01\get\2025.01 Mazara 01 A2A\03 - REPORT\Report\01 Daily Reports\2025 07\PR CALCOLO FILE\[00 PR_recalculation_LUGL.xlsx]PR_Calc'!$J$36</f>
        <v/>
      </c>
      <c r="I6" s="5">
        <f>'\s01\get\2025.01 Mazara 01 A2A\03 - REPORT\Report\01 Daily Reports\2025 07\PR CALCOLO FILE\[00 PR_recalculation_LUGL.xlsx]PR_Calc'!$K$36</f>
        <v/>
      </c>
      <c r="J6" s="5">
        <f>'\s01\get\2025.01 Mazara 01 A2A\03 - REPORT\Report\01 Daily Reports\2025 07\PR CALCOLO FILE\[00 PR_recalculation_LUGL.xlsx]PR_Calc'!$L$36</f>
        <v/>
      </c>
      <c r="K6" s="5">
        <f>'\s01\get\2025.01 Mazara 01 A2A\03 - REPORT\Report\01 Daily Reports\2025 07\PR CALCOLO FILE\[00 PR_recalculation_LUGL.xlsx]PR_Calc'!$M$36</f>
        <v/>
      </c>
      <c r="L6" s="5" t="n"/>
    </row>
    <row r="7">
      <c r="A7" s="6" t="inlineStr">
        <is>
          <t>Agosto 2025</t>
        </is>
      </c>
      <c r="B7" s="7">
        <f>'\s01\get\2025.01 Mazara 01 A2A\03 - REPORT\Report\01 Daily Reports\2025 08\PR CALCOLO FILE\[00 PR_recalculation_AGOS.xlsx]PR_Calc'!$D$36</f>
        <v/>
      </c>
      <c r="C7" s="7">
        <f>'\s01\get\2025.01 Mazara 01 A2A\03 - REPORT\Report\01 Daily Reports\2025 08\PR CALCOLO FILE\[00 PR_recalculation_AGOS.xlsx]PR_Calc'!$E$36</f>
        <v/>
      </c>
      <c r="D7" s="7">
        <f>'\s01\get\2025.01 Mazara 01 A2A\03 - REPORT\Report\01 Daily Reports\2025 08\PR CALCOLO FILE\[00 PR_recalculation_AGOS.xlsx]PR_Calc'!$F$36</f>
        <v/>
      </c>
      <c r="E7" s="7">
        <f>'\s01\get\2025.01 Mazara 01 A2A\03 - REPORT\Report\01 Daily Reports\2025 08\PR CALCOLO FILE\[00 PR_recalculation_AGOS.xlsx]PR_Calc'!$G$36</f>
        <v/>
      </c>
      <c r="F7" s="7">
        <f>'\s01\get\2025.01 Mazara 01 A2A\03 - REPORT\Report\01 Daily Reports\2025 08\PR CALCOLO FILE\[00 PR_recalculation_AGOS.xlsx]PR_Calc'!$H$36</f>
        <v/>
      </c>
      <c r="G7" s="7">
        <f>'\s01\get\2025.01 Mazara 01 A2A\03 - REPORT\Report\01 Daily Reports\2025 08\PR CALCOLO FILE\[00 PR_recalculation_AGOS.xlsx]PR_Calc'!$I$36</f>
        <v/>
      </c>
      <c r="H7" s="7">
        <f>'\s01\get\2025.01 Mazara 01 A2A\03 - REPORT\Report\01 Daily Reports\2025 08\PR CALCOLO FILE\[00 PR_recalculation_AGOS.xlsx]PR_Calc'!$J$36</f>
        <v/>
      </c>
      <c r="I7" s="7">
        <f>'\s01\get\2025.01 Mazara 01 A2A\03 - REPORT\Report\01 Daily Reports\2025 08\PR CALCOLO FILE\[00 PR_recalculation_AGOS.xlsx]PR_Calc'!$K$36</f>
        <v/>
      </c>
      <c r="J7" s="7">
        <f>'\s01\get\2025.01 Mazara 01 A2A\03 - REPORT\Report\01 Daily Reports\2025 08\PR CALCOLO FILE\[00 PR_recalculation_AGOS.xlsx]PR_Calc'!$L$36</f>
        <v/>
      </c>
      <c r="K7" s="7">
        <f>'\s01\get\2025.01 Mazara 01 A2A\03 - REPORT\Report\01 Daily Reports\2025 08\PR CALCOLO FILE\[00 PR_recalculation_AGOS.xlsx]PR_Calc'!$M$36</f>
        <v/>
      </c>
      <c r="L7" s="5" t="inlineStr">
        <is>
          <t>Dati sorgente anomali - rielaborare il mese</t>
        </is>
      </c>
    </row>
    <row r="8">
      <c r="A8" s="4" t="inlineStr">
        <is>
          <t>Settembre 2025</t>
        </is>
      </c>
      <c r="B8" s="5">
        <f>'\s01\get\2025.01 Mazara 01 A2A\03 - REPORT\Report\01 Daily Reports\2025 09\PR CALCOLO FILE\[00 PR_recalculation_SETT.xlsx]PR_Calc'!$D$35</f>
        <v/>
      </c>
      <c r="C8" s="5">
        <f>'\s01\get\2025.01 Mazara 01 A2A\03 - REPORT\Report\01 Daily Reports\2025 09\PR CALCOLO FILE\[00 PR_recalculation_SETT.xlsx]PR_Calc'!$E$35</f>
        <v/>
      </c>
      <c r="D8" s="5">
        <f>'\s01\get\2025.01 Mazara 01 A2A\03 - REPORT\Report\01 Daily Reports\2025 09\PR CALCOLO FILE\[00 PR_recalculation_SETT.xlsx]PR_Calc'!$F$35</f>
        <v/>
      </c>
      <c r="E8" s="5">
        <f>'\s01\get\2025.01 Mazara 01 A2A\03 - REPORT\Report\01 Daily Reports\2025 09\PR CALCOLO FILE\[00 PR_recalculation_SETT.xlsx]PR_Calc'!$G$35</f>
        <v/>
      </c>
      <c r="F8" s="5">
        <f>'\s01\get\2025.01 Mazara 01 A2A\03 - REPORT\Report\01 Daily Reports\2025 09\PR CALCOLO FILE\[00 PR_recalculation_SETT.xlsx]PR_Calc'!$H$35</f>
        <v/>
      </c>
      <c r="G8" s="5">
        <f>'\s01\get\2025.01 Mazara 01 A2A\03 - REPORT\Report\01 Daily Reports\2025 09\PR CALCOLO FILE\[00 PR_recalculation_SETT.xlsx]PR_Calc'!$I$35</f>
        <v/>
      </c>
      <c r="H8" s="5">
        <f>'\s01\get\2025.01 Mazara 01 A2A\03 - REPORT\Report\01 Daily Reports\2025 09\PR CALCOLO FILE\[00 PR_recalculation_SETT.xlsx]PR_Calc'!$J$35</f>
        <v/>
      </c>
      <c r="I8" s="5">
        <f>'\s01\get\2025.01 Mazara 01 A2A\03 - REPORT\Report\01 Daily Reports\2025 09\PR CALCOLO FILE\[00 PR_recalculation_SETT.xlsx]PR_Calc'!$K$35</f>
        <v/>
      </c>
      <c r="J8" s="5">
        <f>'\s01\get\2025.01 Mazara 01 A2A\03 - REPORT\Report\01 Daily Reports\2025 09\PR CALCOLO FILE\[00 PR_recalculation_SETT.xlsx]PR_Calc'!$L$35</f>
        <v/>
      </c>
      <c r="K8" s="5">
        <f>'\s01\get\2025.01 Mazara 01 A2A\03 - REPORT\Report\01 Daily Reports\2025 09\PR CALCOLO FILE\[00 PR_recalculation_SETT.xlsx]PR_Calc'!$M$35</f>
        <v/>
      </c>
      <c r="L8" s="5" t="n"/>
    </row>
    <row r="9">
      <c r="A9" s="8" t="inlineStr">
        <is>
          <t>Ottobre 2025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inlineStr">
        <is>
          <t>File Madre mancante (mese non elaborato)</t>
        </is>
      </c>
    </row>
    <row r="10">
      <c r="A10" s="4" t="inlineStr">
        <is>
          <t>Novembre 2025</t>
        </is>
      </c>
      <c r="B10" s="5">
        <f>'\s01\get\2025.01 Mazara 01 A2A\03 - REPORT\Report\01 Daily Reports\2025 11\PR CALCOLO FILE\[00 PR_recalculation_NOVE.xlsx]PR_Calc'!$D$35</f>
        <v/>
      </c>
      <c r="C10" s="5">
        <f>'\s01\get\2025.01 Mazara 01 A2A\03 - REPORT\Report\01 Daily Reports\2025 11\PR CALCOLO FILE\[00 PR_recalculation_NOVE.xlsx]PR_Calc'!$E$35</f>
        <v/>
      </c>
      <c r="D10" s="5">
        <f>'\s01\get\2025.01 Mazara 01 A2A\03 - REPORT\Report\01 Daily Reports\2025 11\PR CALCOLO FILE\[00 PR_recalculation_NOVE.xlsx]PR_Calc'!$F$35</f>
        <v/>
      </c>
      <c r="E10" s="5">
        <f>'\s01\get\2025.01 Mazara 01 A2A\03 - REPORT\Report\01 Daily Reports\2025 11\PR CALCOLO FILE\[00 PR_recalculation_NOVE.xlsx]PR_Calc'!$G$35</f>
        <v/>
      </c>
      <c r="F10" s="5">
        <f>'\s01\get\2025.01 Mazara 01 A2A\03 - REPORT\Report\01 Daily Reports\2025 11\PR CALCOLO FILE\[00 PR_recalculation_NOVE.xlsx]PR_Calc'!$H$35</f>
        <v/>
      </c>
      <c r="G10" s="5">
        <f>'\s01\get\2025.01 Mazara 01 A2A\03 - REPORT\Report\01 Daily Reports\2025 11\PR CALCOLO FILE\[00 PR_recalculation_NOVE.xlsx]PR_Calc'!$I$35</f>
        <v/>
      </c>
      <c r="H10" s="5">
        <f>'\s01\get\2025.01 Mazara 01 A2A\03 - REPORT\Report\01 Daily Reports\2025 11\PR CALCOLO FILE\[00 PR_recalculation_NOVE.xlsx]PR_Calc'!$J$35</f>
        <v/>
      </c>
      <c r="I10" s="5">
        <f>'\s01\get\2025.01 Mazara 01 A2A\03 - REPORT\Report\01 Daily Reports\2025 11\PR CALCOLO FILE\[00 PR_recalculation_NOVE.xlsx]PR_Calc'!$K$35</f>
        <v/>
      </c>
      <c r="J10" s="5">
        <f>'\s01\get\2025.01 Mazara 01 A2A\03 - REPORT\Report\01 Daily Reports\2025 11\PR CALCOLO FILE\[00 PR_recalculation_NOVE.xlsx]PR_Calc'!$L$35</f>
        <v/>
      </c>
      <c r="K10" s="5">
        <f>'\s01\get\2025.01 Mazara 01 A2A\03 - REPORT\Report\01 Daily Reports\2025 11\PR CALCOLO FILE\[00 PR_recalculation_NOVE.xlsx]PR_Calc'!$M$35</f>
        <v/>
      </c>
      <c r="L10" s="5" t="n"/>
    </row>
    <row r="11">
      <c r="A11" s="4" t="inlineStr">
        <is>
          <t>Dicembre 2025</t>
        </is>
      </c>
      <c r="B11" s="5">
        <f>'\s01\get\2025.01 Mazara 01 A2A\03 - REPORT\Report\01 Daily Reports\2025 12\PR CALCOLO FILE\[00 PR_recalculation_DICE.xlsx]PR_Calc'!$D$36</f>
        <v/>
      </c>
      <c r="C11" s="5">
        <f>'\s01\get\2025.01 Mazara 01 A2A\03 - REPORT\Report\01 Daily Reports\2025 12\PR CALCOLO FILE\[00 PR_recalculation_DICE.xlsx]PR_Calc'!$E$36</f>
        <v/>
      </c>
      <c r="D11" s="5">
        <f>'\s01\get\2025.01 Mazara 01 A2A\03 - REPORT\Report\01 Daily Reports\2025 12\PR CALCOLO FILE\[00 PR_recalculation_DICE.xlsx]PR_Calc'!$F$36</f>
        <v/>
      </c>
      <c r="E11" s="5">
        <f>'\s01\get\2025.01 Mazara 01 A2A\03 - REPORT\Report\01 Daily Reports\2025 12\PR CALCOLO FILE\[00 PR_recalculation_DICE.xlsx]PR_Calc'!$G$36</f>
        <v/>
      </c>
      <c r="F11" s="5">
        <f>'\s01\get\2025.01 Mazara 01 A2A\03 - REPORT\Report\01 Daily Reports\2025 12\PR CALCOLO FILE\[00 PR_recalculation_DICE.xlsx]PR_Calc'!$H$36</f>
        <v/>
      </c>
      <c r="G11" s="5">
        <f>'\s01\get\2025.01 Mazara 01 A2A\03 - REPORT\Report\01 Daily Reports\2025 12\PR CALCOLO FILE\[00 PR_recalculation_DICE.xlsx]PR_Calc'!$I$36</f>
        <v/>
      </c>
      <c r="H11" s="5">
        <f>'\s01\get\2025.01 Mazara 01 A2A\03 - REPORT\Report\01 Daily Reports\2025 12\PR CALCOLO FILE\[00 PR_recalculation_DICE.xlsx]PR_Calc'!$J$36</f>
        <v/>
      </c>
      <c r="I11" s="5">
        <f>'\s01\get\2025.01 Mazara 01 A2A\03 - REPORT\Report\01 Daily Reports\2025 12\PR CALCOLO FILE\[00 PR_recalculation_DICE.xlsx]PR_Calc'!$K$36</f>
        <v/>
      </c>
      <c r="J11" s="5">
        <f>'\s01\get\2025.01 Mazara 01 A2A\03 - REPORT\Report\01 Daily Reports\2025 12\PR CALCOLO FILE\[00 PR_recalculation_DICE.xlsx]PR_Calc'!$L$36</f>
        <v/>
      </c>
      <c r="K11" s="5">
        <f>'\s01\get\2025.01 Mazara 01 A2A\03 - REPORT\Report\01 Daily Reports\2025 12\PR CALCOLO FILE\[00 PR_recalculation_DICE.xlsx]PR_Calc'!$M$36</f>
        <v/>
      </c>
      <c r="L11" s="5" t="n"/>
    </row>
    <row r="12">
      <c r="A12" s="4" t="inlineStr">
        <is>
          <t>Gennaio 2026</t>
        </is>
      </c>
      <c r="B12" s="5">
        <f>'\s01\get\2025.01 Mazara 01 A2A\03 - REPORT\Report\01 Daily Reports\2026 01\PR CALCOLO FILE\[00 PR_recalculation_GENN.xlsx]PR_Calc'!$D$36</f>
        <v/>
      </c>
      <c r="C12" s="5">
        <f>'\s01\get\2025.01 Mazara 01 A2A\03 - REPORT\Report\01 Daily Reports\2026 01\PR CALCOLO FILE\[00 PR_recalculation_GENN.xlsx]PR_Calc'!$E$36</f>
        <v/>
      </c>
      <c r="D12" s="5">
        <f>'\s01\get\2025.01 Mazara 01 A2A\03 - REPORT\Report\01 Daily Reports\2026 01\PR CALCOLO FILE\[00 PR_recalculation_GENN.xlsx]PR_Calc'!$F$36</f>
        <v/>
      </c>
      <c r="E12" s="5">
        <f>'\s01\get\2025.01 Mazara 01 A2A\03 - REPORT\Report\01 Daily Reports\2026 01\PR CALCOLO FILE\[00 PR_recalculation_GENN.xlsx]PR_Calc'!$G$36</f>
        <v/>
      </c>
      <c r="F12" s="5">
        <f>'\s01\get\2025.01 Mazara 01 A2A\03 - REPORT\Report\01 Daily Reports\2026 01\PR CALCOLO FILE\[00 PR_recalculation_GENN.xlsx]PR_Calc'!$H$36</f>
        <v/>
      </c>
      <c r="G12" s="5">
        <f>'\s01\get\2025.01 Mazara 01 A2A\03 - REPORT\Report\01 Daily Reports\2026 01\PR CALCOLO FILE\[00 PR_recalculation_GENN.xlsx]PR_Calc'!$I$36</f>
        <v/>
      </c>
      <c r="H12" s="5">
        <f>'\s01\get\2025.01 Mazara 01 A2A\03 - REPORT\Report\01 Daily Reports\2026 01\PR CALCOLO FILE\[00 PR_recalculation_GENN.xlsx]PR_Calc'!$J$36</f>
        <v/>
      </c>
      <c r="I12" s="5">
        <f>'\s01\get\2025.01 Mazara 01 A2A\03 - REPORT\Report\01 Daily Reports\2026 01\PR CALCOLO FILE\[00 PR_recalculation_GENN.xlsx]PR_Calc'!$K$36</f>
        <v/>
      </c>
      <c r="J12" s="5">
        <f>'\s01\get\2025.01 Mazara 01 A2A\03 - REPORT\Report\01 Daily Reports\2026 01\PR CALCOLO FILE\[00 PR_recalculation_GENN.xlsx]PR_Calc'!$L$36</f>
        <v/>
      </c>
      <c r="K12" s="5">
        <f>'\s01\get\2025.01 Mazara 01 A2A\03 - REPORT\Report\01 Daily Reports\2026 01\PR CALCOLO FILE\[00 PR_recalculation_GENN.xlsx]PR_Calc'!$M$36</f>
        <v/>
      </c>
      <c r="L12" s="5" t="n"/>
    </row>
    <row r="13">
      <c r="A13" s="4" t="inlineStr">
        <is>
          <t>Febbraio 2026</t>
        </is>
      </c>
      <c r="B13" s="5">
        <f>'\s01\get\2025.01 Mazara 01 A2A\03 - REPORT\Report\01 Daily Reports\2026 02\PR CALCOLO FILE\[00 PR_recalculation_FEBB.xlsx]PR_Calc'!$D$33</f>
        <v/>
      </c>
      <c r="C13" s="5">
        <f>'\s01\get\2025.01 Mazara 01 A2A\03 - REPORT\Report\01 Daily Reports\2026 02\PR CALCOLO FILE\[00 PR_recalculation_FEBB.xlsx]PR_Calc'!$E$33</f>
        <v/>
      </c>
      <c r="D13" s="5">
        <f>'\s01\get\2025.01 Mazara 01 A2A\03 - REPORT\Report\01 Daily Reports\2026 02\PR CALCOLO FILE\[00 PR_recalculation_FEBB.xlsx]PR_Calc'!$F$33</f>
        <v/>
      </c>
      <c r="E13" s="5">
        <f>'\s01\get\2025.01 Mazara 01 A2A\03 - REPORT\Report\01 Daily Reports\2026 02\PR CALCOLO FILE\[00 PR_recalculation_FEBB.xlsx]PR_Calc'!$G$33</f>
        <v/>
      </c>
      <c r="F13" s="5">
        <f>'\s01\get\2025.01 Mazara 01 A2A\03 - REPORT\Report\01 Daily Reports\2026 02\PR CALCOLO FILE\[00 PR_recalculation_FEBB.xlsx]PR_Calc'!$H$33</f>
        <v/>
      </c>
      <c r="G13" s="5">
        <f>'\s01\get\2025.01 Mazara 01 A2A\03 - REPORT\Report\01 Daily Reports\2026 02\PR CALCOLO FILE\[00 PR_recalculation_FEBB.xlsx]PR_Calc'!$I$33</f>
        <v/>
      </c>
      <c r="H13" s="5">
        <f>'\s01\get\2025.01 Mazara 01 A2A\03 - REPORT\Report\01 Daily Reports\2026 02\PR CALCOLO FILE\[00 PR_recalculation_FEBB.xlsx]PR_Calc'!$J$33</f>
        <v/>
      </c>
      <c r="I13" s="5">
        <f>'\s01\get\2025.01 Mazara 01 A2A\03 - REPORT\Report\01 Daily Reports\2026 02\PR CALCOLO FILE\[00 PR_recalculation_FEBB.xlsx]PR_Calc'!$K$33</f>
        <v/>
      </c>
      <c r="J13" s="5">
        <f>'\s01\get\2025.01 Mazara 01 A2A\03 - REPORT\Report\01 Daily Reports\2026 02\PR CALCOLO FILE\[00 PR_recalculation_FEBB.xlsx]PR_Calc'!$L$33</f>
        <v/>
      </c>
      <c r="K13" s="5">
        <f>'\s01\get\2025.01 Mazara 01 A2A\03 - REPORT\Report\01 Daily Reports\2026 02\PR CALCOLO FILE\[00 PR_recalculation_FEBB.xlsx]PR_Calc'!$M$33</f>
        <v/>
      </c>
      <c r="L13" s="5" t="n"/>
    </row>
    <row r="14">
      <c r="A14" s="6" t="inlineStr">
        <is>
          <t>Marzo 2026</t>
        </is>
      </c>
      <c r="B14" s="7">
        <f>'\s01\get\2025.01 Mazara 01 A2A\03 - REPORT\Report\01 Daily Reports\2026 03\PR CALCOLO FILE\[00 PR_recalculation_MARZ.xlsx]PR_Calc'!$D$36</f>
        <v/>
      </c>
      <c r="C14" s="7">
        <f>'\s01\get\2025.01 Mazara 01 A2A\03 - REPORT\Report\01 Daily Reports\2026 03\PR CALCOLO FILE\[00 PR_recalculation_MARZ.xlsx]PR_Calc'!$E$36</f>
        <v/>
      </c>
      <c r="D14" s="7">
        <f>'\s01\get\2025.01 Mazara 01 A2A\03 - REPORT\Report\01 Daily Reports\2026 03\PR CALCOLO FILE\[00 PR_recalculation_MARZ.xlsx]PR_Calc'!$F$36</f>
        <v/>
      </c>
      <c r="E14" s="7">
        <f>'\s01\get\2025.01 Mazara 01 A2A\03 - REPORT\Report\01 Daily Reports\2026 03\PR CALCOLO FILE\[00 PR_recalculation_MARZ.xlsx]PR_Calc'!$G$36</f>
        <v/>
      </c>
      <c r="F14" s="7">
        <f>'\s01\get\2025.01 Mazara 01 A2A\03 - REPORT\Report\01 Daily Reports\2026 03\PR CALCOLO FILE\[00 PR_recalculation_MARZ.xlsx]PR_Calc'!$H$36</f>
        <v/>
      </c>
      <c r="G14" s="7">
        <f>'\s01\get\2025.01 Mazara 01 A2A\03 - REPORT\Report\01 Daily Reports\2026 03\PR CALCOLO FILE\[00 PR_recalculation_MARZ.xlsx]PR_Calc'!$I$36</f>
        <v/>
      </c>
      <c r="H14" s="7">
        <f>'\s01\get\2025.01 Mazara 01 A2A\03 - REPORT\Report\01 Daily Reports\2026 03\PR CALCOLO FILE\[00 PR_recalculation_MARZ.xlsx]PR_Calc'!$J$36</f>
        <v/>
      </c>
      <c r="I14" s="7">
        <f>'\s01\get\2025.01 Mazara 01 A2A\03 - REPORT\Report\01 Daily Reports\2026 03\PR CALCOLO FILE\[00 PR_recalculation_MARZ.xlsx]PR_Calc'!$K$36</f>
        <v/>
      </c>
      <c r="J14" s="7">
        <f>'\s01\get\2025.01 Mazara 01 A2A\03 - REPORT\Report\01 Daily Reports\2026 03\PR CALCOLO FILE\[00 PR_recalculation_MARZ.xlsx]PR_Calc'!$L$36</f>
        <v/>
      </c>
      <c r="K14" s="7">
        <f>'\s01\get\2025.01 Mazara 01 A2A\03 - REPORT\Report\01 Daily Reports\2026 03\PR CALCOLO FILE\[00 PR_recalculation_MARZ.xlsx]PR_Calc'!$M$36</f>
        <v/>
      </c>
      <c r="L14" s="5" t="inlineStr">
        <is>
          <t>Dati sorgente anomali - rielaborare il mese</t>
        </is>
      </c>
    </row>
    <row r="15">
      <c r="A15" s="6" t="inlineStr">
        <is>
          <t>Aprile 2026</t>
        </is>
      </c>
      <c r="B15" s="7">
        <f>'\s01\get\2025.01 Mazara 01 A2A\03 - REPORT\Report\01 Daily Reports\2026 04\PR CALCOLO FILE\[00 PR_recalculation_APRL.xlsx]PR_Calc'!$D$35</f>
        <v/>
      </c>
      <c r="C15" s="7">
        <f>'\s01\get\2025.01 Mazara 01 A2A\03 - REPORT\Report\01 Daily Reports\2026 04\PR CALCOLO FILE\[00 PR_recalculation_APRL.xlsx]PR_Calc'!$E$35</f>
        <v/>
      </c>
      <c r="D15" s="7">
        <f>'\s01\get\2025.01 Mazara 01 A2A\03 - REPORT\Report\01 Daily Reports\2026 04\PR CALCOLO FILE\[00 PR_recalculation_APRL.xlsx]PR_Calc'!$F$35</f>
        <v/>
      </c>
      <c r="E15" s="7">
        <f>'\s01\get\2025.01 Mazara 01 A2A\03 - REPORT\Report\01 Daily Reports\2026 04\PR CALCOLO FILE\[00 PR_recalculation_APRL.xlsx]PR_Calc'!$G$35</f>
        <v/>
      </c>
      <c r="F15" s="7">
        <f>'\s01\get\2025.01 Mazara 01 A2A\03 - REPORT\Report\01 Daily Reports\2026 04\PR CALCOLO FILE\[00 PR_recalculation_APRL.xlsx]PR_Calc'!$H$35</f>
        <v/>
      </c>
      <c r="G15" s="7">
        <f>'\s01\get\2025.01 Mazara 01 A2A\03 - REPORT\Report\01 Daily Reports\2026 04\PR CALCOLO FILE\[00 PR_recalculation_APRL.xlsx]PR_Calc'!$I$35</f>
        <v/>
      </c>
      <c r="H15" s="7">
        <f>'\s01\get\2025.01 Mazara 01 A2A\03 - REPORT\Report\01 Daily Reports\2026 04\PR CALCOLO FILE\[00 PR_recalculation_APRL.xlsx]PR_Calc'!$J$35</f>
        <v/>
      </c>
      <c r="I15" s="7">
        <f>'\s01\get\2025.01 Mazara 01 A2A\03 - REPORT\Report\01 Daily Reports\2026 04\PR CALCOLO FILE\[00 PR_recalculation_APRL.xlsx]PR_Calc'!$K$35</f>
        <v/>
      </c>
      <c r="J15" s="7">
        <f>'\s01\get\2025.01 Mazara 01 A2A\03 - REPORT\Report\01 Daily Reports\2026 04\PR CALCOLO FILE\[00 PR_recalculation_APRL.xlsx]PR_Calc'!$L$35</f>
        <v/>
      </c>
      <c r="K15" s="7">
        <f>'\s01\get\2025.01 Mazara 01 A2A\03 - REPORT\Report\01 Daily Reports\2026 04\PR CALCOLO FILE\[00 PR_recalculation_APRL.xlsx]PR_Calc'!$M$35</f>
        <v/>
      </c>
      <c r="L15" s="5" t="inlineStr">
        <is>
          <t>Dati sorgente anomali - rielaborare il mese</t>
        </is>
      </c>
    </row>
    <row r="16">
      <c r="A16" s="4" t="inlineStr">
        <is>
          <t>Maggio 2026</t>
        </is>
      </c>
      <c r="B16" s="5">
        <f>'\s01\get\2025.01 Mazara 01 A2A\03 - REPORT\Report\01 Daily Reports\2026 05\PR CALCOLO FILE\[00 PR_recalculation_MAGG.xlsx]PR_Calc'!$D$36</f>
        <v/>
      </c>
      <c r="C16" s="5">
        <f>'\s01\get\2025.01 Mazara 01 A2A\03 - REPORT\Report\01 Daily Reports\2026 05\PR CALCOLO FILE\[00 PR_recalculation_MAGG.xlsx]PR_Calc'!$E$36</f>
        <v/>
      </c>
      <c r="D16" s="5">
        <f>'\s01\get\2025.01 Mazara 01 A2A\03 - REPORT\Report\01 Daily Reports\2026 05\PR CALCOLO FILE\[00 PR_recalculation_MAGG.xlsx]PR_Calc'!$F$36</f>
        <v/>
      </c>
      <c r="E16" s="5">
        <f>'\s01\get\2025.01 Mazara 01 A2A\03 - REPORT\Report\01 Daily Reports\2026 05\PR CALCOLO FILE\[00 PR_recalculation_MAGG.xlsx]PR_Calc'!$G$36</f>
        <v/>
      </c>
      <c r="F16" s="5">
        <f>'\s01\get\2025.01 Mazara 01 A2A\03 - REPORT\Report\01 Daily Reports\2026 05\PR CALCOLO FILE\[00 PR_recalculation_MAGG.xlsx]PR_Calc'!$H$36</f>
        <v/>
      </c>
      <c r="G16" s="5">
        <f>'\s01\get\2025.01 Mazara 01 A2A\03 - REPORT\Report\01 Daily Reports\2026 05\PR CALCOLO FILE\[00 PR_recalculation_MAGG.xlsx]PR_Calc'!$I$36</f>
        <v/>
      </c>
      <c r="H16" s="5">
        <f>'\s01\get\2025.01 Mazara 01 A2A\03 - REPORT\Report\01 Daily Reports\2026 05\PR CALCOLO FILE\[00 PR_recalculation_MAGG.xlsx]PR_Calc'!$J$36</f>
        <v/>
      </c>
      <c r="I16" s="5">
        <f>'\s01\get\2025.01 Mazara 01 A2A\03 - REPORT\Report\01 Daily Reports\2026 05\PR CALCOLO FILE\[00 PR_recalculation_MAGG.xlsx]PR_Calc'!$K$36</f>
        <v/>
      </c>
      <c r="J16" s="5">
        <f>'\s01\get\2025.01 Mazara 01 A2A\03 - REPORT\Report\01 Daily Reports\2026 05\PR CALCOLO FILE\[00 PR_recalculation_MAGG.xlsx]PR_Calc'!$L$36</f>
        <v/>
      </c>
      <c r="K16" s="5">
        <f>'\s01\get\2025.01 Mazara 01 A2A\03 - REPORT\Report\01 Daily Reports\2026 05\PR CALCOLO FILE\[00 PR_recalculation_MAGG.xlsx]PR_Calc'!$M$36</f>
        <v/>
      </c>
      <c r="L16" s="5" t="n"/>
    </row>
    <row r="17">
      <c r="A17" s="4" t="inlineStr">
        <is>
          <t>Giugno 2026</t>
        </is>
      </c>
      <c r="B17" s="5">
        <f>'\s01\get\2025.01 Mazara 01 A2A\03 - REPORT\Report\01 Daily Reports\2026 06\PR CALCOLO FILE\[00 PR_recalculation_GIUG.xlsx]PR_Calc'!$D$35</f>
        <v/>
      </c>
      <c r="C17" s="5">
        <f>'\s01\get\2025.01 Mazara 01 A2A\03 - REPORT\Report\01 Daily Reports\2026 06\PR CALCOLO FILE\[00 PR_recalculation_GIUG.xlsx]PR_Calc'!$E$35</f>
        <v/>
      </c>
      <c r="D17" s="5">
        <f>'\s01\get\2025.01 Mazara 01 A2A\03 - REPORT\Report\01 Daily Reports\2026 06\PR CALCOLO FILE\[00 PR_recalculation_GIUG.xlsx]PR_Calc'!$F$35</f>
        <v/>
      </c>
      <c r="E17" s="5">
        <f>'\s01\get\2025.01 Mazara 01 A2A\03 - REPORT\Report\01 Daily Reports\2026 06\PR CALCOLO FILE\[00 PR_recalculation_GIUG.xlsx]PR_Calc'!$G$35</f>
        <v/>
      </c>
      <c r="F17" s="5">
        <f>'\s01\get\2025.01 Mazara 01 A2A\03 - REPORT\Report\01 Daily Reports\2026 06\PR CALCOLO FILE\[00 PR_recalculation_GIUG.xlsx]PR_Calc'!$H$35</f>
        <v/>
      </c>
      <c r="G17" s="5">
        <f>'\s01\get\2025.01 Mazara 01 A2A\03 - REPORT\Report\01 Daily Reports\2026 06\PR CALCOLO FILE\[00 PR_recalculation_GIUG.xlsx]PR_Calc'!$I$35</f>
        <v/>
      </c>
      <c r="H17" s="5">
        <f>'\s01\get\2025.01 Mazara 01 A2A\03 - REPORT\Report\01 Daily Reports\2026 06\PR CALCOLO FILE\[00 PR_recalculation_GIUG.xlsx]PR_Calc'!$J$35</f>
        <v/>
      </c>
      <c r="I17" s="5">
        <f>'\s01\get\2025.01 Mazara 01 A2A\03 - REPORT\Report\01 Daily Reports\2026 06\PR CALCOLO FILE\[00 PR_recalculation_GIUG.xlsx]PR_Calc'!$K$35</f>
        <v/>
      </c>
      <c r="J17" s="5">
        <f>'\s01\get\2025.01 Mazara 01 A2A\03 - REPORT\Report\01 Daily Reports\2026 06\PR CALCOLO FILE\[00 PR_recalculation_GIUG.xlsx]PR_Calc'!$L$35</f>
        <v/>
      </c>
      <c r="K17" s="5">
        <f>'\s01\get\2025.01 Mazara 01 A2A\03 - REPORT\Report\01 Daily Reports\2026 06\PR CALCOLO FILE\[00 PR_recalculation_GIUG.xlsx]PR_Calc'!$M$35</f>
        <v/>
      </c>
      <c r="L17" s="5" t="n"/>
    </row>
    <row r="18">
      <c r="A18" s="10" t="inlineStr">
        <is>
          <t>TOTALE / MEDIA</t>
        </is>
      </c>
      <c r="B18" s="10">
        <f>SUM(B5:B17)</f>
        <v/>
      </c>
      <c r="C18" s="10">
        <f>SUM(C5:C17)</f>
        <v/>
      </c>
      <c r="D18" s="10">
        <f>AVERAGE(D5:D17)</f>
        <v/>
      </c>
      <c r="E18" s="10">
        <f>AVERAGE(E5:E17)</f>
        <v/>
      </c>
      <c r="F18" s="10">
        <f>AVERAGE(F5:F17)</f>
        <v/>
      </c>
      <c r="G18" s="10">
        <f>AVERAGE(G5:G17)</f>
        <v/>
      </c>
      <c r="H18" s="10">
        <f>AVERAGE(H5:H17)</f>
        <v/>
      </c>
      <c r="I18" s="10">
        <f>SUM(I5:I17)</f>
        <v/>
      </c>
      <c r="J18" s="10">
        <f>SUM(J5:J17)</f>
        <v/>
      </c>
      <c r="K18" s="10">
        <f>SUM(K5:K17)</f>
        <v/>
      </c>
      <c r="L18" s="11" t="inlineStr">
        <is>
          <t>MEDIA ignora celle vuote; correggere i mesi anomali</t>
        </is>
      </c>
    </row>
    <row r="20">
      <c r="A20" s="12" t="inlineStr">
        <is>
          <t>PR Annuale (pesato energia)</t>
        </is>
      </c>
      <c r="B20" s="13">
        <f> Energia / (12625 x Irraggiamento) x 100</f>
        <v/>
      </c>
      <c r="D20" s="14">
        <f>C18/(12625*B18)*100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2026-07-13T07:39:27Z</dcterms:created>
  <dcterms:modified xmlns:dcterms="http://purl.org/dc/terms/" xmlns:xsi="http://www.w3.org/2001/XMLSchema-instance" xsi:type="dcterms:W3CDTF">2026-07-13T07:39:27Z</dcterms:modified>
</cp:coreProperties>
</file>