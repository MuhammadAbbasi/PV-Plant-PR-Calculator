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_Calc" sheetId="1" state="visible" r:id="rId1"/>
    <sheet xmlns:r="http://schemas.openxmlformats.org/officeDocument/2006/relationships" name="Inverter_data" sheetId="2" state="visible" r:id="rId2"/>
    <sheet xmlns:r="http://schemas.openxmlformats.org/officeDocument/2006/relationships" name="Nominal_Values" sheetId="3" state="visible" r:id="rId3"/>
  </sheets>
  <definedNames>
    <definedName name="Tabella01AprileInverter">Tabella01MarzoInverter[]</definedName>
  </definedNames>
  <calcPr calcId="191029" fullCalcOnLoad="1" calcOnSave="0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"/>
    <numFmt numFmtId="166" formatCode="0.00000"/>
    <numFmt numFmtId="167" formatCode="[$-410]d\-mmm\-yy;@"/>
    <numFmt numFmtId="168" formatCode="0.0000"/>
  </numFmts>
  <fonts count="1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sz val="11"/>
      <scheme val="minor"/>
    </font>
    <font>
      <name val="Aptos Narrow"/>
      <family val="2"/>
      <strike val="1"/>
      <color theme="1"/>
      <sz val="11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sz val="8"/>
      <scheme val="minor"/>
    </font>
    <font>
      <name val="Calibri"/>
      <family val="2"/>
      <b val="1"/>
      <color rgb="FF000000"/>
      <sz val="10"/>
    </font>
    <font>
      <name val="Calibri"/>
      <family val="2"/>
      <b val="1"/>
      <color rgb="FF000000"/>
      <sz val="11"/>
    </font>
    <font>
      <name val="Aptos Narrow"/>
      <family val="2"/>
      <color theme="1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2CC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BDD7EE"/>
        <bgColor rgb="FF000000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11" fillId="0" borderId="0"/>
    <xf numFmtId="44" fontId="11" fillId="0" borderId="0"/>
  </cellStyleXfs>
  <cellXfs count="14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0" borderId="1" pivotButton="0" quotePrefix="0" xfId="0"/>
    <xf numFmtId="164" fontId="4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right"/>
    </xf>
    <xf numFmtId="0" fontId="9" fillId="8" borderId="1" applyAlignment="1" pivotButton="0" quotePrefix="0" xfId="0">
      <alignment horizontal="center" vertical="center" wrapText="1"/>
    </xf>
    <xf numFmtId="0" fontId="9" fillId="8" borderId="4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10" fillId="11" borderId="10" applyAlignment="1" pivotButton="0" quotePrefix="0" xfId="0">
      <alignment vertical="center" wrapText="1"/>
    </xf>
    <xf numFmtId="0" fontId="10" fillId="0" borderId="10" applyAlignment="1" pivotButton="0" quotePrefix="0" xfId="0">
      <alignment vertical="center"/>
    </xf>
    <xf numFmtId="0" fontId="10" fillId="10" borderId="1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10" fillId="9" borderId="9" applyAlignment="1" pivotButton="0" quotePrefix="0" xfId="0">
      <alignment vertical="center" wrapText="1"/>
    </xf>
    <xf numFmtId="0" fontId="10" fillId="9" borderId="7" applyAlignment="1" pivotButton="0" quotePrefix="0" xfId="0">
      <alignment vertical="center" wrapText="1"/>
    </xf>
    <xf numFmtId="0" fontId="10" fillId="0" borderId="7" applyAlignment="1" pivotButton="0" quotePrefix="0" xfId="0">
      <alignment vertical="center"/>
    </xf>
    <xf numFmtId="0" fontId="1" fillId="3" borderId="1" pivotButton="0" quotePrefix="0" xfId="0"/>
    <xf numFmtId="0" fontId="0" fillId="6" borderId="11" applyAlignment="1" pivotButton="0" quotePrefix="0" xfId="0">
      <alignment horizontal="center" vertical="center" wrapText="1"/>
    </xf>
    <xf numFmtId="165" fontId="0" fillId="0" borderId="4" pivotButton="0" quotePrefix="0" xfId="0"/>
    <xf numFmtId="0" fontId="0" fillId="6" borderId="12" applyAlignment="1" pivotButton="0" quotePrefix="0" xfId="0">
      <alignment horizontal="center" vertical="center" wrapText="1"/>
    </xf>
    <xf numFmtId="0" fontId="0" fillId="6" borderId="13" applyAlignment="1" pivotButton="0" quotePrefix="0" xfId="0">
      <alignment horizontal="center" vertical="center" wrapText="1"/>
    </xf>
    <xf numFmtId="0" fontId="0" fillId="6" borderId="14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right"/>
    </xf>
    <xf numFmtId="165" fontId="0" fillId="0" borderId="17" pivotButton="0" quotePrefix="0" xfId="0"/>
    <xf numFmtId="165" fontId="0" fillId="0" borderId="18" pivotButton="0" quotePrefix="0" xfId="0"/>
    <xf numFmtId="0" fontId="1" fillId="3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0" fontId="1" fillId="0" borderId="0" pivotButton="0" quotePrefix="0" xfId="0"/>
    <xf numFmtId="0" fontId="1" fillId="3" borderId="14" pivotButton="0" quotePrefix="0" xfId="0"/>
    <xf numFmtId="0" fontId="1" fillId="3" borderId="16" pivotButton="0" quotePrefix="0" xfId="0"/>
    <xf numFmtId="0" fontId="1" fillId="3" borderId="26" pivotButton="0" quotePrefix="0" xfId="0"/>
    <xf numFmtId="166" fontId="1" fillId="3" borderId="16" pivotButton="0" quotePrefix="0" xfId="0"/>
    <xf numFmtId="1" fontId="1" fillId="3" borderId="16" pivotButton="0" quotePrefix="0" xfId="1"/>
    <xf numFmtId="2" fontId="1" fillId="3" borderId="16" pivotButton="0" quotePrefix="0" xfId="0"/>
    <xf numFmtId="164" fontId="1" fillId="3" borderId="16" pivotButton="0" quotePrefix="0" xfId="0"/>
    <xf numFmtId="167" fontId="0" fillId="0" borderId="4" applyAlignment="1" pivotButton="0" quotePrefix="0" xfId="0">
      <alignment horizontal="right"/>
    </xf>
    <xf numFmtId="0" fontId="0" fillId="0" borderId="8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65" fontId="0" fillId="0" borderId="15" applyAlignment="1" pivotButton="0" quotePrefix="0" xfId="0">
      <alignment horizontal="right"/>
    </xf>
    <xf numFmtId="165" fontId="0" fillId="0" borderId="16" applyAlignment="1" pivotButton="0" quotePrefix="0" xfId="0">
      <alignment horizontal="right"/>
    </xf>
    <xf numFmtId="165" fontId="0" fillId="0" borderId="4" applyAlignment="1" pivotButton="0" quotePrefix="0" xfId="0">
      <alignment horizontal="right"/>
    </xf>
    <xf numFmtId="0" fontId="0" fillId="7" borderId="8" applyAlignment="1" pivotButton="0" quotePrefix="0" xfId="0">
      <alignment horizontal="right"/>
    </xf>
    <xf numFmtId="0" fontId="1" fillId="3" borderId="4" applyAlignment="1" pivotButton="0" quotePrefix="0" xfId="0">
      <alignment horizontal="center"/>
    </xf>
    <xf numFmtId="0" fontId="1" fillId="4" borderId="2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/>
    </xf>
    <xf numFmtId="49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4" applyAlignment="1" pivotButton="0" quotePrefix="0" xfId="0">
      <alignment horizontal="center"/>
    </xf>
    <xf numFmtId="0" fontId="1" fillId="3" borderId="22" applyAlignment="1" pivotButton="0" quotePrefix="0" xfId="0">
      <alignment horizontal="center"/>
    </xf>
    <xf numFmtId="0" fontId="1" fillId="3" borderId="23" applyAlignment="1" pivotButton="0" quotePrefix="0" xfId="0">
      <alignment horizontal="center"/>
    </xf>
    <xf numFmtId="0" fontId="1" fillId="3" borderId="24" applyAlignment="1" pivotButton="0" quotePrefix="0" xfId="0">
      <alignment horizontal="center"/>
    </xf>
    <xf numFmtId="0" fontId="1" fillId="3" borderId="25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3" fillId="0" borderId="27" applyAlignment="1" pivotButton="0" quotePrefix="0" xfId="0">
      <alignment horizontal="center" vertical="center"/>
    </xf>
    <xf numFmtId="0" fontId="3" fillId="0" borderId="28" applyAlignment="1" pivotButton="0" quotePrefix="0" xfId="0">
      <alignment horizontal="center" vertical="center"/>
    </xf>
    <xf numFmtId="0" fontId="3" fillId="0" borderId="29" applyAlignment="1" pivotButton="0" quotePrefix="0" xfId="0">
      <alignment horizontal="center" vertical="center"/>
    </xf>
    <xf numFmtId="0" fontId="1" fillId="3" borderId="19" applyAlignment="1" pivotButton="0" quotePrefix="0" xfId="0">
      <alignment horizontal="center"/>
    </xf>
    <xf numFmtId="0" fontId="1" fillId="3" borderId="20" applyAlignment="1" pivotButton="0" quotePrefix="0" xfId="0">
      <alignment horizontal="center"/>
    </xf>
    <xf numFmtId="0" fontId="1" fillId="3" borderId="21" applyAlignment="1" pivotButton="0" quotePrefix="0" xfId="0">
      <alignment horizontal="center"/>
    </xf>
    <xf numFmtId="0" fontId="10" fillId="11" borderId="10" applyAlignment="1" pivotButton="0" quotePrefix="0" xfId="0">
      <alignment horizontal="center" vertical="center" wrapText="1"/>
    </xf>
    <xf numFmtId="0" fontId="10" fillId="11" borderId="9" applyAlignment="1" pivotButton="0" quotePrefix="0" xfId="0">
      <alignment horizontal="center" vertical="center" wrapText="1"/>
    </xf>
    <xf numFmtId="0" fontId="10" fillId="10" borderId="10" applyAlignment="1" pivotButton="0" quotePrefix="0" xfId="0">
      <alignment horizontal="center" vertical="center" wrapText="1"/>
    </xf>
    <xf numFmtId="0" fontId="10" fillId="10" borderId="9" applyAlignment="1" pivotButton="0" quotePrefix="0" xfId="0">
      <alignment horizontal="center" vertical="center" wrapText="1"/>
    </xf>
    <xf numFmtId="168" fontId="1" fillId="4" borderId="2" applyAlignment="1" pivotButton="0" quotePrefix="0" xfId="0">
      <alignment horizontal="center" wrapText="1"/>
    </xf>
    <xf numFmtId="167" fontId="0" fillId="0" borderId="30" pivotButton="0" quotePrefix="0" xfId="0"/>
    <xf numFmtId="164" fontId="0" fillId="0" borderId="9" pivotButton="0" quotePrefix="0" xfId="0"/>
    <xf numFmtId="1" fontId="0" fillId="0" borderId="9" pivotButton="0" quotePrefix="0" xfId="0"/>
    <xf numFmtId="166" fontId="0" fillId="0" borderId="9" pivotButton="0" quotePrefix="0" xfId="0"/>
    <xf numFmtId="166" fontId="0" fillId="0" borderId="30" pivotButton="0" quotePrefix="0" xfId="0"/>
    <xf numFmtId="0" fontId="0" fillId="0" borderId="0" pivotButton="0" quotePrefix="0" xfId="0"/>
    <xf numFmtId="0" fontId="0" fillId="0" borderId="24" pivotButton="0" quotePrefix="0" xfId="0"/>
    <xf numFmtId="0" fontId="0" fillId="0" borderId="31" pivotButton="0" quotePrefix="0" xfId="0"/>
    <xf numFmtId="164" fontId="0" fillId="0" borderId="31" pivotButton="0" quotePrefix="0" xfId="0"/>
    <xf numFmtId="164" fontId="4" fillId="0" borderId="31" pivotButton="0" quotePrefix="0" xfId="0"/>
    <xf numFmtId="165" fontId="0" fillId="0" borderId="31" pivotButton="0" quotePrefix="0" xfId="0"/>
    <xf numFmtId="165" fontId="0" fillId="0" borderId="18" applyAlignment="1" pivotButton="0" quotePrefix="0" xfId="0">
      <alignment horizontal="right"/>
    </xf>
    <xf numFmtId="165" fontId="0" fillId="0" borderId="32" pivotButton="0" quotePrefix="0" xfId="0"/>
    <xf numFmtId="0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1" fillId="6" borderId="6" applyAlignment="1" pivotButton="0" quotePrefix="0" xfId="0">
      <alignment horizontal="center" vertical="center" wrapText="1"/>
    </xf>
    <xf numFmtId="165" fontId="0" fillId="6" borderId="33" applyAlignment="1" pivotButton="0" quotePrefix="0" xfId="0">
      <alignment horizontal="center" vertical="center" wrapText="1"/>
    </xf>
    <xf numFmtId="0" fontId="0" fillId="6" borderId="34" applyAlignment="1" pivotButton="0" quotePrefix="0" xfId="0">
      <alignment horizontal="center" vertical="center" wrapText="1"/>
    </xf>
    <xf numFmtId="167" fontId="0" fillId="0" borderId="4" pivotButton="0" quotePrefix="0" xfId="0"/>
    <xf numFmtId="165" fontId="0" fillId="0" borderId="22" pivotButton="0" quotePrefix="0" xfId="0"/>
    <xf numFmtId="167" fontId="0" fillId="0" borderId="32" pivotButton="0" quotePrefix="0" xfId="0"/>
    <xf numFmtId="165" fontId="0" fillId="0" borderId="35" pivotButton="0" quotePrefix="0" xfId="0"/>
    <xf numFmtId="1" fontId="0" fillId="0" borderId="36" applyAlignment="1" pivotButton="0" quotePrefix="0" xfId="0">
      <alignment horizontal="right"/>
    </xf>
    <xf numFmtId="168" fontId="0" fillId="0" borderId="36" pivotButton="0" quotePrefix="0" xfId="0"/>
    <xf numFmtId="168" fontId="0" fillId="0" borderId="30" pivotButton="0" quotePrefix="0" xfId="0"/>
    <xf numFmtId="165" fontId="0" fillId="0" borderId="37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38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" fillId="3" borderId="12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0" fontId="1" fillId="3" borderId="15" applyAlignment="1" pivotButton="0" quotePrefix="0" xfId="0">
      <alignment horizontal="center"/>
    </xf>
    <xf numFmtId="168" fontId="1" fillId="4" borderId="2" applyAlignment="1" pivotButton="0" quotePrefix="0" xfId="0">
      <alignment horizontal="center" wrapText="1"/>
    </xf>
    <xf numFmtId="166" fontId="1" fillId="3" borderId="16" pivotButton="0" quotePrefix="0" xfId="0"/>
    <xf numFmtId="164" fontId="1" fillId="3" borderId="16" pivotButton="0" quotePrefix="0" xfId="0"/>
    <xf numFmtId="0" fontId="1" fillId="3" borderId="44" applyAlignment="1" pivotButton="0" quotePrefix="0" xfId="0">
      <alignment horizontal="center"/>
    </xf>
    <xf numFmtId="0" fontId="0" fillId="0" borderId="25" pivotButton="0" quotePrefix="0" xfId="0"/>
    <xf numFmtId="165" fontId="0" fillId="6" borderId="33" applyAlignment="1" pivotButton="0" quotePrefix="0" xfId="0">
      <alignment horizontal="center" vertical="center" wrapText="1"/>
    </xf>
    <xf numFmtId="167" fontId="0" fillId="0" borderId="4" pivotButton="0" quotePrefix="0" xfId="0"/>
    <xf numFmtId="164" fontId="0" fillId="0" borderId="1" pivotButton="0" quotePrefix="0" xfId="0"/>
    <xf numFmtId="164" fontId="4" fillId="0" borderId="1" pivotButton="0" quotePrefix="0" xfId="0"/>
    <xf numFmtId="165" fontId="0" fillId="0" borderId="1" pivotButton="0" quotePrefix="0" xfId="0"/>
    <xf numFmtId="165" fontId="0" fillId="0" borderId="17" applyAlignment="1" pivotButton="0" quotePrefix="0" xfId="0">
      <alignment horizontal="right"/>
    </xf>
    <xf numFmtId="165" fontId="0" fillId="0" borderId="4" pivotButton="0" quotePrefix="0" xfId="0"/>
    <xf numFmtId="165" fontId="0" fillId="0" borderId="17" pivotButton="0" quotePrefix="0" xfId="0"/>
    <xf numFmtId="165" fontId="0" fillId="0" borderId="22" pivotButton="0" quotePrefix="0" xfId="0"/>
    <xf numFmtId="167" fontId="0" fillId="0" borderId="32" pivotButton="0" quotePrefix="0" xfId="0"/>
    <xf numFmtId="164" fontId="0" fillId="0" borderId="31" pivotButton="0" quotePrefix="0" xfId="0"/>
    <xf numFmtId="164" fontId="4" fillId="0" borderId="31" pivotButton="0" quotePrefix="0" xfId="0"/>
    <xf numFmtId="165" fontId="0" fillId="0" borderId="31" pivotButton="0" quotePrefix="0" xfId="0"/>
    <xf numFmtId="165" fontId="0" fillId="0" borderId="18" applyAlignment="1" pivotButton="0" quotePrefix="0" xfId="0">
      <alignment horizontal="right"/>
    </xf>
    <xf numFmtId="165" fontId="0" fillId="0" borderId="32" pivotButton="0" quotePrefix="0" xfId="0"/>
    <xf numFmtId="165" fontId="0" fillId="0" borderId="18" pivotButton="0" quotePrefix="0" xfId="0"/>
    <xf numFmtId="165" fontId="0" fillId="0" borderId="35" pivotButton="0" quotePrefix="0" xfId="0"/>
    <xf numFmtId="167" fontId="0" fillId="0" borderId="30" pivotButton="0" quotePrefix="0" xfId="0"/>
    <xf numFmtId="164" fontId="0" fillId="0" borderId="9" pivotButton="0" quotePrefix="0" xfId="0"/>
    <xf numFmtId="166" fontId="0" fillId="0" borderId="9" pivotButton="0" quotePrefix="0" xfId="0"/>
    <xf numFmtId="166" fontId="0" fillId="0" borderId="30" pivotButton="0" quotePrefix="0" xfId="0"/>
    <xf numFmtId="168" fontId="0" fillId="0" borderId="36" pivotButton="0" quotePrefix="0" xfId="0"/>
    <xf numFmtId="168" fontId="0" fillId="0" borderId="30" pivotButton="0" quotePrefix="0" xfId="0"/>
    <xf numFmtId="165" fontId="0" fillId="0" borderId="37" pivotButton="0" quotePrefix="0" xfId="0"/>
    <xf numFmtId="167" fontId="0" fillId="0" borderId="4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65" fontId="0" fillId="0" borderId="15" applyAlignment="1" pivotButton="0" quotePrefix="0" xfId="0">
      <alignment horizontal="right"/>
    </xf>
    <xf numFmtId="165" fontId="0" fillId="0" borderId="16" applyAlignment="1" pivotButton="0" quotePrefix="0" xfId="0">
      <alignment horizontal="right"/>
    </xf>
    <xf numFmtId="165" fontId="0" fillId="0" borderId="4" applyAlignment="1" pivotButton="0" quotePrefix="0" xfId="0">
      <alignment horizontal="right"/>
    </xf>
    <xf numFmtId="0" fontId="0" fillId="0" borderId="9" pivotButton="0" quotePrefix="0" xfId="0"/>
  </cellXfs>
  <cellStyles count="2">
    <cellStyle name="Normale" xfId="0" builtinId="0"/>
    <cellStyle name="Valuta" xfId="1" builtinId="4"/>
  </cellStyles>
  <dxfs count="213">
    <dxf>
      <numFmt numFmtId="167" formatCode="0.0"/>
      <border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numFmt numFmtId="167" formatCode="0.0"/>
      <border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"/>
      <border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numFmt numFmtId="167" formatCode="0.0"/>
      <border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/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right" vertical="bottom"/>
      <border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8" formatCode="0.00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7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[$-410]d\-mmm\-yy;@"/>
      <border>
        <left/>
        <right style="thin">
          <color indexed="64"/>
        </right>
        <top style="thin">
          <color indexed="64"/>
        </top>
        <bottom/>
      </border>
    </dxf>
    <dxf>
      <numFmt numFmtId="165" formatCode="[$-410]d\-mmm\-yy;@"/>
      <border>
        <left/>
        <right style="thin">
          <color indexed="64"/>
        </right>
        <top style="thin">
          <color indexed="64"/>
        </top>
        <bottom/>
      </border>
    </dxf>
    <dxf>
      <numFmt numFmtId="165" formatCode="[$-410]d\-mmm\-yy;@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0]d\-mmm\-yy;@"/>
      <border>
        <left/>
        <right style="thin">
          <color indexed="64"/>
        </right>
        <top style="thin">
          <color indexed="64"/>
        </top>
        <bottom/>
      </border>
    </dxf>
    <dxf>
      <numFmt numFmtId="165" formatCode="[$-410]d\-mmm\-yy;@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</dxf>
    <dxf>
      <alignment horizontal="right" vertical="bottom"/>
    </dxf>
    <dxf>
      <border outline="0">
        <left style="thin">
          <color rgb="FF000000"/>
        </left>
        <right style="thin">
          <color indexed="64"/>
        </right>
        <top style="thin">
          <color rgb="FF000000"/>
        </top>
        <bottom style="thin">
          <color rgb="FF000000"/>
        </bottom>
      </border>
    </dxf>
    <dxf>
      <alignment horizontal="right" vertical="bottom"/>
    </dxf>
    <dxf>
      <border outline="0"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4" tint="0.5999938962981048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ill>
        <patternFill patternType="solid">
          <fgColor indexed="64"/>
          <bgColor theme="4" tint="0.5999938962981048"/>
        </patternFill>
      </fill>
      <alignment horizontal="center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4" tint="0.5999938962981048"/>
        </patternFill>
      </fill>
      <alignment horizontal="center" vertical="center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4" tint="0.5999938962981048"/>
        </patternFill>
      </fill>
      <alignment horizontal="center" vertical="center"/>
    </dxf>
    <dxf>
      <fill>
        <patternFill patternType="solid">
          <fgColor indexed="64"/>
          <bgColor theme="4" tint="0.5999938962981048"/>
        </patternFill>
      </fill>
      <alignment horizontal="center" vertical="center"/>
    </dxf>
    <dxf>
      <fill>
        <patternFill patternType="solid">
          <fgColor indexed="64"/>
          <bgColor theme="4" tint="0.5999938962981048"/>
        </patternFill>
      </fill>
      <alignment horizontal="center" vertical="center"/>
    </dxf>
    <dxf>
      <fill>
        <patternFill patternType="solid">
          <fgColor indexed="64"/>
          <bgColor theme="4" tint="0.5999938962981048"/>
        </patternFill>
      </fill>
      <alignment horizontal="center" vertical="center"/>
    </dxf>
    <dxf>
      <border>
        <top style="thin">
          <color rgb="FF000000"/>
        </top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4" tint="0.5999938962981048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user</author>
  </authors>
  <commentList>
    <comment ref="D64" authorId="0" shapeId="0">
      <text>
        <t>Abbasi:
PPM was off for 1 hour.</t>
      </text>
    </comment>
    <comment ref="F64" authorId="0" shapeId="0">
      <text>
        <t>Abbasi:
PPM was off for 1 hour.</t>
      </text>
    </comment>
  </commentList>
</comments>
</file>

<file path=xl/tables/table1.xml><?xml version="1.0" encoding="utf-8"?>
<table xmlns="http://schemas.openxmlformats.org/spreadsheetml/2006/main" id="1" name="TabellaMar2026" displayName="TabellaMar2026" ref="A14:BA111" headerRowCount="0" totalsRowCount="1" headerRowDxfId="212" tableBorderDxfId="103" totalsRowBorderDxfId="211">
  <tableColumns count="53">
    <tableColumn id="1" name="Colonna1" totalsRowLabel="PR for each inverter" headerRowDxfId="210" dataDxfId="102" totalsRowDxfId="101"/>
    <tableColumn id="30" name="Colonna30" headerRowDxfId="209" dataDxfId="100" totalsRowDxfId="99"/>
    <tableColumn id="74" name="Colonna65" headerRowDxfId="208" totalsRowDxfId="98"/>
    <tableColumn id="11" name="Colonna11" totalsRowFunction="custom" headerRowDxfId="207" dataDxfId="97" totalsRowDxfId="96">
      <totalsRowFormula>SUM(D15:D110)</totalsRowFormula>
    </tableColumn>
    <tableColumn id="75" name="Colonna66" headerRowDxfId="206" dataDxfId="95" totalsRowDxfId="94"/>
    <tableColumn id="4" name="Colonna4" totalsRowFunction="custom" headerRowDxfId="205" totalsRowDxfId="93">
      <totalsRowFormula>SUM(F15:F110)</totalsRowFormula>
    </tableColumn>
    <tableColumn id="12" name="Colonna12" totalsRowFunction="custom" headerRowDxfId="204" dataDxfId="92" totalsRowDxfId="91">
      <totalsRowFormula>SUM(G15:G110)</totalsRowFormula>
    </tableColumn>
    <tableColumn id="76" name="Colonna67" headerRowDxfId="203" dataDxfId="90" totalsRowDxfId="89"/>
    <tableColumn id="18" name="Colonna18" totalsRowFunction="custom" headerRowDxfId="202" dataDxfId="88" totalsRowDxfId="87">
      <totalsRowFormula>SUM(I15:I110)</totalsRowFormula>
    </tableColumn>
    <tableColumn id="13" name="Colonna13" headerRowDxfId="201" dataDxfId="86" totalsRowDxfId="85"/>
    <tableColumn id="14" name="Colonna14" headerRowDxfId="200" dataDxfId="84" totalsRowDxfId="83"/>
    <tableColumn id="16" name="Colonna15" headerRowDxfId="199" dataDxfId="82" totalsRowDxfId="81"/>
    <tableColumn id="15" name="Colonna16" totalsRowFunction="custom" headerRowDxfId="198" dataDxfId="80" totalsRowDxfId="79">
      <totalsRowFormula>SUM(M15:M110)</totalsRowFormula>
    </tableColumn>
    <tableColumn id="2" name="Colonna68" headerRowDxfId="197" dataDxfId="78" totalsRowDxfId="77"/>
    <tableColumn id="39" name="Colonna24" totalsRowFunction="custom" headerRowDxfId="196" dataDxfId="76" totalsRowDxfId="75">
      <totalsRowFormula array="1">SUM((Inverter_data!C15:C110)*0.25,O15:O110)/(O$10*(SUM(PR_Calc!$H$15:$H$110)/4000))</totalsRowFormula>
    </tableColumn>
    <tableColumn id="40" name="Colonna31" totalsRowFunction="custom" headerRowDxfId="195" dataDxfId="74" totalsRowDxfId="73">
      <totalsRowFormula array="1">SUM((Inverter_data!D15:D110)*0.25,P15:P110)/(P$10*(SUM(PR_Calc!$H$15:$H$110)/4000))</totalsRowFormula>
    </tableColumn>
    <tableColumn id="41" name="Colonna32" totalsRowFunction="custom" headerRowDxfId="194" dataDxfId="72" totalsRowDxfId="71">
      <totalsRowFormula array="1">SUM((Inverter_data!E15:E110)*0.25,Q15:Q110)/(Q$10*(SUM(PR_Calc!$H$15:$H$110)/4000))</totalsRowFormula>
    </tableColumn>
    <tableColumn id="42" name="Colonna33" totalsRowFunction="custom" headerRowDxfId="193" dataDxfId="70" totalsRowDxfId="69">
      <totalsRowFormula array="1">SUM((Inverter_data!F15:F110)*0.25,R15:R110)/(R$10*(SUM(PR_Calc!$H$15:$H$110)/4000))</totalsRowFormula>
    </tableColumn>
    <tableColumn id="43" name="Colonna34" totalsRowFunction="custom" headerRowDxfId="192" dataDxfId="68" totalsRowDxfId="67">
      <totalsRowFormula array="1">SUM((Inverter_data!G15:G110)*0.25,S15:S110)/(S$10*(SUM(PR_Calc!$H$15:$H$110)/4000))</totalsRowFormula>
    </tableColumn>
    <tableColumn id="44" name="Colonna35" totalsRowFunction="custom" headerRowDxfId="191" dataDxfId="66" totalsRowDxfId="65">
      <totalsRowFormula array="1">SUM((Inverter_data!H15:H110)*0.25,T15:T110)/(T$10*(SUM(PR_Calc!$H$15:$H$110)/4000))</totalsRowFormula>
    </tableColumn>
    <tableColumn id="45" name="Colonna36" totalsRowFunction="custom" headerRowDxfId="190" dataDxfId="64" totalsRowDxfId="63">
      <totalsRowFormula array="1">SUM((Inverter_data!I15:I110)*0.25,U15:U110)/(U$10*(SUM(PR_Calc!$H$15:$H$110)/4000))</totalsRowFormula>
    </tableColumn>
    <tableColumn id="46" name="Colonna37" totalsRowFunction="custom" headerRowDxfId="189" dataDxfId="62" totalsRowDxfId="61">
      <totalsRowFormula array="1">SUM((Inverter_data!J15:J110)*0.25,V15:V110)/(V$10*(SUM(PR_Calc!$H$15:$H$110)/4000))</totalsRowFormula>
    </tableColumn>
    <tableColumn id="32" name="Colonna3" totalsRowFunction="custom" headerRowDxfId="188" dataDxfId="60" totalsRowDxfId="59">
      <totalsRowFormula array="1">SUM((Inverter_data!K15:K110)*0.25,W15:W110)/(W$10*(SUM(PR_Calc!$H$15:$H$110)/4000))</totalsRowFormula>
    </tableColumn>
    <tableColumn id="33" name="Colonna17" totalsRowFunction="custom" headerRowDxfId="187" dataDxfId="58" totalsRowDxfId="57">
      <totalsRowFormula array="1">SUM((Inverter_data!L15:L110)*0.25,X15:X110)/(X$10*(SUM(PR_Calc!$H$15:$H$110)/4000))</totalsRowFormula>
    </tableColumn>
    <tableColumn id="34" name="Colonna19" totalsRowFunction="custom" headerRowDxfId="186" dataDxfId="56" totalsRowDxfId="55">
      <totalsRowFormula array="1">SUM((Inverter_data!M15:M110)*0.25,Y15:Y110)/(Y$10*(SUM(PR_Calc!$H$15:$H$110)/4000))</totalsRowFormula>
    </tableColumn>
    <tableColumn id="35" name="Colonna20" totalsRowFunction="custom" headerRowDxfId="185" dataDxfId="54" totalsRowDxfId="53">
      <totalsRowFormula array="1">SUM((Inverter_data!N15:N110)*0.25,Z15:Z110)/(Z$10*(SUM(PR_Calc!$H$15:$H$110)/4000))</totalsRowFormula>
    </tableColumn>
    <tableColumn id="71" name="Colonna62" totalsRowFunction="sum" headerRowDxfId="184" totalsRowDxfId="52">
      <calculatedColumnFormula>IF(AND(O14:Z14),1,"f")</calculatedColumnFormula>
    </tableColumn>
    <tableColumn id="48" name="Colonna39" totalsRowFunction="custom" headerRowDxfId="183" dataDxfId="51" totalsRowDxfId="50">
      <totalsRowFormula array="1">SUM((Inverter_data!R15:'Inverter_data'!R110)*0.25,AB15:AB110)/(AB$10*(SUM(PR_Calc!$H$15:$H$110)/4000))</totalsRowFormula>
    </tableColumn>
    <tableColumn id="49" name="Colonna40" totalsRowFunction="custom" headerRowDxfId="182" dataDxfId="49" totalsRowDxfId="48">
      <totalsRowFormula array="1">SUM((Inverter_data!S15:'Inverter_data'!S110)*0.25,AC15:AC110)/(AC$10*(SUM(PR_Calc!$H$15:$H$110)/4000))</totalsRowFormula>
    </tableColumn>
    <tableColumn id="50" name="Colonna41" totalsRowFunction="custom" headerRowDxfId="181" dataDxfId="47" totalsRowDxfId="46">
      <totalsRowFormula array="1">SUM((Inverter_data!T15:'Inverter_data'!T110)*0.25,AD15:AD110)/(AD$10*(SUM(PR_Calc!$H$15:$H$110)/4000))</totalsRowFormula>
    </tableColumn>
    <tableColumn id="51" name="Colonna42" totalsRowFunction="custom" headerRowDxfId="180" dataDxfId="45" totalsRowDxfId="44">
      <totalsRowFormula array="1">SUM((Inverter_data!U15:'Inverter_data'!U110)*0.25,AE15:AE110)/(AE$10*(SUM(PR_Calc!$H$15:$H$110)/4000))</totalsRowFormula>
    </tableColumn>
    <tableColumn id="52" name="Colonna43" totalsRowFunction="custom" headerRowDxfId="179" dataDxfId="43" totalsRowDxfId="42">
      <totalsRowFormula array="1">SUM((Inverter_data!V15:'Inverter_data'!V110)*0.25,AF15:AF110)/(AF$10*(SUM(PR_Calc!$H$15:$H$110)/4000))</totalsRowFormula>
    </tableColumn>
    <tableColumn id="53" name="Colonna44" totalsRowFunction="custom" headerRowDxfId="178" dataDxfId="41" totalsRowDxfId="40">
      <totalsRowFormula array="1">SUM((Inverter_data!W15:'Inverter_data'!W110)*0.25,AG15:AG110)/(AG$10*(SUM(PR_Calc!$H$15:$H$110)/4000))</totalsRowFormula>
    </tableColumn>
    <tableColumn id="54" name="Colonna45" totalsRowFunction="custom" headerRowDxfId="177" dataDxfId="39" totalsRowDxfId="38">
      <totalsRowFormula array="1">SUM((Inverter_data!X15:'Inverter_data'!X110)*0.25,AH15:AH110)/(AH$10*(SUM(PR_Calc!$H$15:$H$110)/4000))</totalsRowFormula>
    </tableColumn>
    <tableColumn id="55" name="Colonna46" totalsRowFunction="custom" headerRowDxfId="176" dataDxfId="37" totalsRowDxfId="36">
      <totalsRowFormula array="1">SUM((Inverter_data!Y15:'Inverter_data'!Y110)*0.25,AI15:AI110)/(AI$10*(SUM(PR_Calc!$H$15:$H$110)/4000))</totalsRowFormula>
    </tableColumn>
    <tableColumn id="47" name="Colonna38" totalsRowFunction="custom" headerRowDxfId="175" dataDxfId="35" totalsRowDxfId="34">
      <totalsRowFormula array="1">SUM((Inverter_data!Z15:'Inverter_data'!Z110)*0.25,AJ15:AJ110)/(AJ$10*(SUM(PR_Calc!$H$15:$H$110)/4000))</totalsRowFormula>
    </tableColumn>
    <tableColumn id="31" name="Colonna2" totalsRowFunction="custom" headerRowDxfId="174" dataDxfId="33" totalsRowDxfId="32">
      <totalsRowFormula array="1">SUM((Inverter_data!AA15:'Inverter_data'!AA110)*0.25,AK15:AK110)/(AK$10*(SUM(PR_Calc!$H$15:$H$110)/4000))</totalsRowFormula>
    </tableColumn>
    <tableColumn id="5" name="Colonna5" totalsRowFunction="custom" headerRowDxfId="173" dataDxfId="31" totalsRowDxfId="30">
      <totalsRowFormula array="1">SUM((Inverter_data!AB15:'Inverter_data'!AB110)*0.25,AL15:AL110)/(AL$10*(SUM(PR_Calc!$H$15:$H$110)/4000))</totalsRowFormula>
    </tableColumn>
    <tableColumn id="6" name="Colonna6" totalsRowFunction="custom" headerRowDxfId="172" dataDxfId="29" totalsRowDxfId="28">
      <totalsRowFormula array="1">SUM((Inverter_data!AC15:'Inverter_data'!AC110)*0.25,AM15:AM110)/(AM$10*(SUM(PR_Calc!$H$15:$H$110)/4000))</totalsRowFormula>
    </tableColumn>
    <tableColumn id="72" name="Colonna63" totalsRowFunction="sum" headerRowDxfId="171" dataDxfId="27" totalsRowDxfId="26"/>
    <tableColumn id="63" name="Colonna54" totalsRowFunction="custom" headerRowDxfId="170" dataDxfId="25" totalsRowDxfId="24">
      <totalsRowFormula array="1">SUM((Inverter_data!AG15:'Inverter_data'!AG110)*0.25,AO15:AO110)/(AO$10*(SUM(PR_Calc!$H$15:$H$110)/4000))</totalsRowFormula>
    </tableColumn>
    <tableColumn id="64" name="Colonna55" totalsRowFunction="custom" headerRowDxfId="169" dataDxfId="23" totalsRowDxfId="22">
      <totalsRowFormula array="1">SUM((Inverter_data!AH15:'Inverter_data'!AH110)*0.25,AP15:AP110)/(AP$10*(SUM(PR_Calc!$H$15:$H$110)/4000))</totalsRowFormula>
    </tableColumn>
    <tableColumn id="65" name="Colonna56" totalsRowFunction="custom" headerRowDxfId="168" dataDxfId="21" totalsRowDxfId="20">
      <totalsRowFormula array="1">SUM((Inverter_data!AI15:'Inverter_data'!AI110)*0.25,AQ15:AQ110)/(AQ$10*(SUM(PR_Calc!$H$15:$H$110)/4000))</totalsRowFormula>
    </tableColumn>
    <tableColumn id="66" name="Colonna57" totalsRowFunction="custom" headerRowDxfId="167" dataDxfId="19" totalsRowDxfId="18">
      <totalsRowFormula array="1">SUM((Inverter_data!AJ15:'Inverter_data'!AJ110)*0.25,AR15:AR110)/(AR$10*(SUM(PR_Calc!$H$15:$H$110)/4000))</totalsRowFormula>
    </tableColumn>
    <tableColumn id="67" name="Colonna58" totalsRowFunction="custom" headerRowDxfId="166" dataDxfId="17" totalsRowDxfId="16">
      <totalsRowFormula array="1">SUM((Inverter_data!AK15:'Inverter_data'!AK110)*0.25,AS15:AS110)/(AS$10*(SUM(PR_Calc!$H$15:$H$110)/4000))</totalsRowFormula>
    </tableColumn>
    <tableColumn id="68" name="Colonna59" totalsRowFunction="custom" headerRowDxfId="165" dataDxfId="15" totalsRowDxfId="14">
      <totalsRowFormula array="1">SUM((Inverter_data!AL15:'Inverter_data'!AL110)*0.25,AT15:AT110)/(AT$10*(SUM(PR_Calc!$H$15:$H$110)/4000))</totalsRowFormula>
    </tableColumn>
    <tableColumn id="69" name="Colonna60" totalsRowFunction="custom" headerRowDxfId="164" dataDxfId="13" totalsRowDxfId="12">
      <totalsRowFormula array="1">SUM((Inverter_data!AM15:'Inverter_data'!AM110)*0.25,AU15:AU110)/(AU$10*(SUM(PR_Calc!$H$15:$H$110)/4000))</totalsRowFormula>
    </tableColumn>
    <tableColumn id="70" name="Colonna61" totalsRowFunction="custom" headerRowDxfId="163" dataDxfId="11" totalsRowDxfId="10">
      <totalsRowFormula array="1">SUM((Inverter_data!AN15:'Inverter_data'!AN110)*0.25,AV15:AV110)/(AV$10*(SUM(PR_Calc!$H$15:$H$110)/4000))</totalsRowFormula>
    </tableColumn>
    <tableColumn id="59" name="Colonna50" totalsRowFunction="custom" headerRowDxfId="162" dataDxfId="9" totalsRowDxfId="8">
      <totalsRowFormula array="1">SUM((Inverter_data!AO15:'Inverter_data'!AO110)*0.25,AW15:AW110)/(AW$10*(SUM(PR_Calc!$H$15:$H$110)/4000))</totalsRowFormula>
    </tableColumn>
    <tableColumn id="60" name="Colonna51" totalsRowFunction="custom" headerRowDxfId="161" dataDxfId="7" totalsRowDxfId="6">
      <totalsRowFormula array="1">SUM((Inverter_data!AP15:'Inverter_data'!AP110)*0.25,AX15:AX110)/(AX$10*(SUM(PR_Calc!$H$15:$H$110)/4000))</totalsRowFormula>
    </tableColumn>
    <tableColumn id="61" name="Colonna52" totalsRowFunction="custom" headerRowDxfId="160" dataDxfId="5" totalsRowDxfId="4">
      <totalsRowFormula array="1">SUM((Inverter_data!AQ15:'Inverter_data'!AQ110)*0.25,AY15:AY110)/(AY$10*(SUM(PR_Calc!$H$15:$H$110)/4000))</totalsRowFormula>
    </tableColumn>
    <tableColumn id="62" name="Colonna53" totalsRowFunction="custom" headerRowDxfId="159" dataDxfId="3" totalsRowDxfId="2">
      <totalsRowFormula array="1">SUM((Inverter_data!AR15:'Inverter_data'!AR110)*0.25,AZ15:AZ110)/(AZ$10*(SUM(PR_Calc!$H$15:$H$110)/4000))</totalsRowFormula>
    </tableColumn>
    <tableColumn id="73" name="Colonna64" totalsRowFunction="sum" headerRowDxfId="158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la01MarzoInverter" displayName="Tabella01MarzoInverter" ref="A14:AU110" headerRowCount="1" totalsRowShown="0" headerRowDxfId="157" dataDxfId="155" headerRowBorderDxfId="156" tableBorderDxfId="154">
  <autoFilter ref="A14:AU11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  <filterColumn colId="11" hiddenButton="1" showButton="1"/>
    <filterColumn colId="12" hiddenButton="1" showButton="1"/>
    <filterColumn colId="13" hiddenButton="1" showButton="1"/>
    <filterColumn colId="14" hiddenButton="1" showButton="1"/>
    <filterColumn colId="15" hiddenButton="1" showButton="1"/>
    <filterColumn colId="16" hiddenButton="1" showButton="1"/>
    <filterColumn colId="17" hiddenButton="1" showButton="1"/>
    <filterColumn colId="18" hiddenButton="1" showButton="1"/>
    <filterColumn colId="19" hiddenButton="1" showButton="1"/>
    <filterColumn colId="20" hiddenButton="1" showButton="1"/>
    <filterColumn colId="21" hiddenButton="1" showButton="1"/>
    <filterColumn colId="22" hiddenButton="1" showButton="1"/>
    <filterColumn colId="23" hiddenButton="1" showButton="1"/>
    <filterColumn colId="24" hiddenButton="1" showButton="1"/>
    <filterColumn colId="25" hiddenButton="1" showButton="1"/>
    <filterColumn colId="26" hiddenButton="1" showButton="1"/>
    <filterColumn colId="27" hiddenButton="1" showButton="1"/>
    <filterColumn colId="28" hiddenButton="1" showButton="1"/>
    <filterColumn colId="29" hiddenButton="1" showButton="1"/>
    <filterColumn colId="30" hiddenButton="1" showButton="1"/>
    <filterColumn colId="31" hiddenButton="1" showButton="1"/>
    <filterColumn colId="32" hiddenButton="1" showButton="1"/>
    <filterColumn colId="33" hiddenButton="1" showButton="1"/>
    <filterColumn colId="34" hiddenButton="1" showButton="1"/>
    <filterColumn colId="35" hiddenButton="1" showButton="1"/>
    <filterColumn colId="36" hiddenButton="1" showButton="1"/>
    <filterColumn colId="37" hiddenButton="1" showButton="1"/>
    <filterColumn colId="38" hiddenButton="1" showButton="1"/>
    <filterColumn colId="39" hiddenButton="1" showButton="1"/>
    <filterColumn colId="40" hiddenButton="1" showButton="1"/>
    <filterColumn colId="41" hiddenButton="1" showButton="1"/>
    <filterColumn colId="42" hiddenButton="1" showButton="1"/>
    <filterColumn colId="43" hiddenButton="1" showButton="1"/>
    <filterColumn colId="44" hiddenButton="1" showButton="1"/>
    <filterColumn colId="45" hiddenButton="1" showButton="1"/>
    <filterColumn colId="46" hiddenButton="1" showButton="1"/>
  </autoFilter>
  <tableColumns count="47">
    <tableColumn id="1" name="Dati" dataDxfId="153"/>
    <tableColumn id="2" name="ORA" dataDxfId="152"/>
    <tableColumn id="3" name="Active power TX1-INV-1" dataDxfId="151"/>
    <tableColumn id="4" name="Active power TX1-INV-2" dataDxfId="150"/>
    <tableColumn id="5" name="Active power TX1-INV-3" dataDxfId="149"/>
    <tableColumn id="6" name="Active power TX1-INV-4" dataDxfId="148"/>
    <tableColumn id="7" name="Active power TX1-INV-5" dataDxfId="147"/>
    <tableColumn id="8" name="Active power TX1-INV-6" dataDxfId="146"/>
    <tableColumn id="9" name="Active power TX1-INV-7" dataDxfId="145"/>
    <tableColumn id="10" name="Active power TX1-INV-8" dataDxfId="144"/>
    <tableColumn id="11" name="Active power TX1-INV-9" dataDxfId="143"/>
    <tableColumn id="12" name="Active power TX1-INV-10" dataDxfId="142"/>
    <tableColumn id="13" name="Active power TX1-INV-11" dataDxfId="141"/>
    <tableColumn id="14" name="Active power TX1-INV-12" dataDxfId="140"/>
    <tableColumn id="15" name="TX1 - Average Power" dataDxfId="139">
      <calculatedColumnFormula>IFERROR(AVERAGEIF(Tabella01MarzoInverter[[#This Row],[Active power TX1-INV-1]:[Active power TX1-INV-12]], "&gt;0"), 0)</calculatedColumnFormula>
    </tableColumn>
    <tableColumn id="16" name="TX1 - Max Power" dataDxfId="138"/>
    <tableColumn id="17" name="TX1 - Min Power" dataDxfId="137"/>
    <tableColumn id="19" name="Active power TX2-INV-1" dataDxfId="136"/>
    <tableColumn id="20" name="Active power TX2-INV-2" dataDxfId="135"/>
    <tableColumn id="21" name="Active power TX2-INV-3" dataDxfId="134"/>
    <tableColumn id="22" name="Active power TX2-INV-4" dataDxfId="133"/>
    <tableColumn id="23" name="Active power TX2-INV-5" dataDxfId="132"/>
    <tableColumn id="24" name="Active power TX2-INV-6" dataDxfId="131"/>
    <tableColumn id="25" name="Active power TX2-INV-7" dataDxfId="130"/>
    <tableColumn id="26" name="Active power TX2-INV-8" dataDxfId="129"/>
    <tableColumn id="27" name="Active power TX2-INV-9" dataDxfId="128"/>
    <tableColumn id="28" name="Active power TX2-INV-10" dataDxfId="127"/>
    <tableColumn id="29" name="Active power TX2-INV-11" dataDxfId="126"/>
    <tableColumn id="30" name="Active power TX2-INV-12" dataDxfId="125"/>
    <tableColumn id="31" name="TX2 - Average Power" dataDxfId="124">
      <calculatedColumnFormula>IFERROR(AVERAGEIF(Tabella01MarzoInverter[[#This Row],[Active power TX2-INV-1]:[Active power TX2-INV-12]], "&gt;0"), 0)</calculatedColumnFormula>
    </tableColumn>
    <tableColumn id="32" name="TX2 - Max Power" dataDxfId="123"/>
    <tableColumn id="33" name="TX2 - Min Power" dataDxfId="122"/>
    <tableColumn id="35" name="Active power TX3-INV-1" dataDxfId="121"/>
    <tableColumn id="36" name="Active power TX3-INV-2" dataDxfId="120"/>
    <tableColumn id="37" name="Active power TX3-INV-3" dataDxfId="119"/>
    <tableColumn id="38" name="Active power TX3-INV-4" dataDxfId="118"/>
    <tableColumn id="39" name="Active power TX3-INV-5" dataDxfId="117"/>
    <tableColumn id="40" name="Active power TX3-INV-6" dataDxfId="116"/>
    <tableColumn id="41" name="Active power TX3-INV-7" dataDxfId="115"/>
    <tableColumn id="42" name="Active power TX3-INV-8" dataDxfId="114"/>
    <tableColumn id="43" name="Active power TX3-INV-9" dataDxfId="113"/>
    <tableColumn id="44" name="Active power TX3-INV-10" dataDxfId="112"/>
    <tableColumn id="45" name="Active power TX3-INV-11" dataDxfId="111"/>
    <tableColumn id="46" name="Active power TX3-INV-12" dataDxfId="110"/>
    <tableColumn id="47" name="TX3 - Average Power" dataDxfId="109">
      <calculatedColumnFormula>IFERROR(AVERAGEIF(Tabella01MarzoInverter[[#This Row],[Active power TX3-INV-1]:[Active power TX3-INV-12]], "&gt;0"), 0)</calculatedColumnFormula>
    </tableColumn>
    <tableColumn id="48" name="TX3 - Max Power" dataDxfId="108"/>
    <tableColumn id="49" name="TX3 - Min Power" dataDxfId="10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15"/>
  <sheetViews>
    <sheetView tabSelected="1" zoomScale="85" zoomScaleNormal="85" workbookViewId="0">
      <selection activeCell="G12" sqref="G12"/>
    </sheetView>
  </sheetViews>
  <sheetFormatPr baseColWidth="8" defaultColWidth="13" defaultRowHeight="15"/>
  <cols>
    <col width="14.28515625" bestFit="1" customWidth="1" style="76" min="2" max="2"/>
    <col width="14.28515625" customWidth="1" style="76" min="3" max="3"/>
    <col width="13.5703125" customWidth="1" style="76" min="4" max="5"/>
    <col width="15.42578125" customWidth="1" style="76" min="6" max="6"/>
    <col width="11.5703125" customWidth="1" style="76" min="7" max="7"/>
    <col width="15.28515625" customWidth="1" style="76" min="8" max="8"/>
    <col width="13.7109375" customWidth="1" style="76" min="9" max="9"/>
    <col width="10.42578125" customWidth="1" style="76" min="10" max="10"/>
    <col width="14.42578125" customWidth="1" style="76" min="11" max="11"/>
    <col width="13.7109375" customWidth="1" style="76" min="12" max="12"/>
    <col width="17.7109375" customWidth="1" style="76" min="13" max="14"/>
    <col width="12.140625" customWidth="1" style="76" min="15" max="26"/>
    <col width="12.140625" customWidth="1" style="7" min="27" max="27"/>
    <col width="12.140625" customWidth="1" style="76" min="28" max="53"/>
    <col width="16.5703125" customWidth="1" style="76" min="59" max="59"/>
  </cols>
  <sheetData>
    <row r="1" ht="19.5" customHeight="1" s="76" thickBot="1">
      <c r="A1" s="48" t="inlineStr">
        <is>
          <t>PR CALCULATION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97" t="n"/>
      <c r="R1" s="97" t="n"/>
      <c r="S1" s="97" t="n"/>
      <c r="T1" s="97" t="n"/>
      <c r="U1" s="97" t="n"/>
      <c r="V1" s="97" t="n"/>
      <c r="W1" s="97" t="n"/>
      <c r="X1" s="97" t="n"/>
      <c r="Y1" s="97" t="n"/>
      <c r="Z1" s="97" t="n"/>
      <c r="AA1" s="97" t="n"/>
      <c r="AB1" s="97" t="n"/>
      <c r="AC1" s="97" t="n"/>
      <c r="AD1" s="97" t="n"/>
      <c r="AE1" s="97" t="n"/>
      <c r="AF1" s="97" t="n"/>
      <c r="AG1" s="97" t="n"/>
      <c r="AH1" s="97" t="n"/>
      <c r="AI1" s="97" t="n"/>
      <c r="AJ1" s="97" t="n"/>
      <c r="AK1" s="97" t="n"/>
      <c r="AL1" s="97" t="n"/>
      <c r="AM1" s="97" t="n"/>
      <c r="AN1" s="97" t="n"/>
      <c r="AO1" s="97" t="n"/>
      <c r="AP1" s="97" t="n"/>
      <c r="AQ1" s="97" t="n"/>
      <c r="AR1" s="97" t="n"/>
      <c r="AS1" s="97" t="n"/>
      <c r="AT1" s="97" t="n"/>
      <c r="AU1" s="97" t="n"/>
      <c r="AV1" s="97" t="n"/>
      <c r="AW1" s="97" t="n"/>
      <c r="AX1" s="97" t="n"/>
      <c r="AY1" s="97" t="n"/>
      <c r="AZ1" s="97" t="n"/>
      <c r="BA1" s="98" t="n"/>
    </row>
    <row r="2" ht="19.5" customHeight="1" s="76" thickBot="1">
      <c r="A2" s="49" t="inlineStr">
        <is>
          <t>01 MAGGIO 2026</t>
        </is>
      </c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  <c r="AC2" s="97" t="n"/>
      <c r="AD2" s="97" t="n"/>
      <c r="AE2" s="97" t="n"/>
      <c r="AF2" s="97" t="n"/>
      <c r="AG2" s="97" t="n"/>
      <c r="AH2" s="97" t="n"/>
      <c r="AI2" s="97" t="n"/>
      <c r="AJ2" s="97" t="n"/>
      <c r="AK2" s="97" t="n"/>
      <c r="AL2" s="97" t="n"/>
      <c r="AM2" s="97" t="n"/>
      <c r="AN2" s="97" t="n"/>
      <c r="AO2" s="97" t="n"/>
      <c r="AP2" s="97" t="n"/>
      <c r="AQ2" s="97" t="n"/>
      <c r="AR2" s="97" t="n"/>
      <c r="AS2" s="97" t="n"/>
      <c r="AT2" s="97" t="n"/>
      <c r="AU2" s="97" t="n"/>
      <c r="AV2" s="97" t="n"/>
      <c r="AW2" s="97" t="n"/>
      <c r="AX2" s="97" t="n"/>
      <c r="AY2" s="97" t="n"/>
      <c r="AZ2" s="97" t="n"/>
      <c r="BA2" s="98" t="n"/>
      <c r="BD2" s="99" t="inlineStr">
        <is>
          <t>1 May 2026 PR Calculation</t>
        </is>
      </c>
      <c r="BE2" s="100" t="n"/>
      <c r="BF2" s="100" t="n"/>
      <c r="BG2" s="100" t="n"/>
      <c r="BH2" s="101" t="n"/>
      <c r="BI2" s="30" t="n"/>
      <c r="BJ2" s="30" t="n"/>
      <c r="BK2" s="30" t="n"/>
      <c r="BL2" s="30" t="n"/>
      <c r="BM2" s="30" t="n"/>
      <c r="BN2" s="30" t="n"/>
      <c r="BO2" s="30" t="n"/>
      <c r="BP2" s="30" t="n"/>
      <c r="BQ2" s="30" t="n"/>
      <c r="BR2" s="30" t="n"/>
      <c r="BS2" s="30" t="n"/>
      <c r="BT2" s="30" t="n"/>
      <c r="BU2" s="30" t="n"/>
      <c r="BV2" s="30" t="n"/>
      <c r="BW2" s="30" t="n"/>
      <c r="BX2" s="30" t="n"/>
      <c r="BY2" s="30" t="n"/>
      <c r="BZ2" s="30" t="n"/>
      <c r="CA2" s="30" t="n"/>
      <c r="CB2" s="30" t="n"/>
      <c r="CC2" s="30" t="n"/>
      <c r="CD2" s="30" t="n"/>
      <c r="CE2" s="30" t="n"/>
      <c r="CF2" s="30" t="n"/>
      <c r="CG2" s="30" t="n"/>
      <c r="CH2" s="30" t="n"/>
      <c r="CI2" s="30" t="n"/>
      <c r="CJ2" s="30" t="n"/>
      <c r="CK2" s="30" t="n"/>
      <c r="CL2" s="30" t="n"/>
      <c r="CM2" s="30" t="n"/>
      <c r="CN2" s="30" t="n"/>
      <c r="CO2" s="30" t="n"/>
      <c r="CP2" s="30" t="n"/>
      <c r="CQ2" s="30" t="n"/>
      <c r="CR2" s="30" t="n"/>
      <c r="CS2" s="30" t="n"/>
      <c r="CT2" s="30" t="n"/>
      <c r="CU2" s="30" t="n"/>
      <c r="CV2" s="30" t="n"/>
      <c r="CW2" s="30" t="n"/>
      <c r="CX2" s="30" t="n"/>
      <c r="CY2" s="30" t="n"/>
      <c r="CZ2" s="30" t="n"/>
      <c r="DA2" s="30" t="n"/>
      <c r="DB2" s="30" t="n"/>
      <c r="DC2" s="30" t="n"/>
      <c r="DD2" s="30" t="n"/>
      <c r="DE2" s="30" t="n"/>
      <c r="DF2" s="30" t="n"/>
      <c r="DG2" s="30" t="n"/>
      <c r="DH2" s="30" t="n"/>
      <c r="DI2" s="30" t="n"/>
      <c r="DJ2" s="30" t="n"/>
    </row>
    <row r="3" customFormat="1" s="1">
      <c r="A3" s="50" t="inlineStr">
        <is>
          <t>Total VALUES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7" t="n"/>
      <c r="W3" s="97" t="n"/>
      <c r="X3" s="97" t="n"/>
      <c r="Y3" s="97" t="n"/>
      <c r="Z3" s="97" t="n"/>
      <c r="AA3" s="97" t="n"/>
      <c r="AB3" s="97" t="n"/>
      <c r="AC3" s="97" t="n"/>
      <c r="AD3" s="97" t="n"/>
      <c r="AE3" s="97" t="n"/>
      <c r="AF3" s="97" t="n"/>
      <c r="AG3" s="97" t="n"/>
      <c r="AH3" s="97" t="n"/>
      <c r="AI3" s="97" t="n"/>
      <c r="AJ3" s="97" t="n"/>
      <c r="AK3" s="97" t="n"/>
      <c r="AL3" s="97" t="n"/>
      <c r="AM3" s="97" t="n"/>
      <c r="AN3" s="97" t="n"/>
      <c r="AO3" s="97" t="n"/>
      <c r="AP3" s="97" t="n"/>
      <c r="AQ3" s="97" t="n"/>
      <c r="AR3" s="97" t="n"/>
      <c r="AS3" s="97" t="n"/>
      <c r="AT3" s="97" t="n"/>
      <c r="AU3" s="97" t="n"/>
      <c r="AV3" s="97" t="n"/>
      <c r="AW3" s="97" t="n"/>
      <c r="AX3" s="97" t="n"/>
      <c r="AY3" s="97" t="n"/>
      <c r="AZ3" s="98" t="n"/>
      <c r="BA3" s="47">
        <f>COUNT(TabellaMar2026[[#All],[Colonna1]])</f>
        <v/>
      </c>
      <c r="BD3" s="102" t="inlineStr">
        <is>
          <t>Total VALUES (4 values for each hour)</t>
        </is>
      </c>
      <c r="BE3" s="103" t="n"/>
      <c r="BF3" s="103" t="n"/>
      <c r="BG3" s="104" t="n"/>
      <c r="BH3" s="31">
        <f>+BA3</f>
        <v/>
      </c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</row>
    <row r="4" customFormat="1" s="1">
      <c r="A4" s="50" t="inlineStr">
        <is>
          <t>PVSyst PR for current month</t>
        </is>
      </c>
      <c r="B4" s="97" t="n"/>
      <c r="C4" s="97" t="n"/>
      <c r="D4" s="97" t="n"/>
      <c r="E4" s="97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P4" s="97" t="n"/>
      <c r="Q4" s="97" t="n"/>
      <c r="R4" s="97" t="n"/>
      <c r="S4" s="97" t="n"/>
      <c r="T4" s="97" t="n"/>
      <c r="U4" s="97" t="n"/>
      <c r="V4" s="97" t="n"/>
      <c r="W4" s="97" t="n"/>
      <c r="X4" s="97" t="n"/>
      <c r="Y4" s="97" t="n"/>
      <c r="Z4" s="97" t="n"/>
      <c r="AA4" s="97" t="n"/>
      <c r="AB4" s="97" t="n"/>
      <c r="AC4" s="97" t="n"/>
      <c r="AD4" s="97" t="n"/>
      <c r="AE4" s="97" t="n"/>
      <c r="AF4" s="97" t="n"/>
      <c r="AG4" s="97" t="n"/>
      <c r="AH4" s="97" t="n"/>
      <c r="AI4" s="97" t="n"/>
      <c r="AJ4" s="97" t="n"/>
      <c r="AK4" s="97" t="n"/>
      <c r="AL4" s="97" t="n"/>
      <c r="AM4" s="97" t="n"/>
      <c r="AN4" s="97" t="n"/>
      <c r="AO4" s="97" t="n"/>
      <c r="AP4" s="97" t="n"/>
      <c r="AQ4" s="97" t="n"/>
      <c r="AR4" s="97" t="n"/>
      <c r="AS4" s="97" t="n"/>
      <c r="AT4" s="97" t="n"/>
      <c r="AU4" s="97" t="n"/>
      <c r="AV4" s="97" t="n"/>
      <c r="AW4" s="97" t="n"/>
      <c r="AX4" s="97" t="n"/>
      <c r="AY4" s="97" t="n"/>
      <c r="AZ4" s="98" t="n"/>
      <c r="BA4" s="47" t="n">
        <v>0.897</v>
      </c>
      <c r="BD4" s="105" t="inlineStr">
        <is>
          <t>Total values with POA&gt;50</t>
        </is>
      </c>
      <c r="BE4" s="97" t="n"/>
      <c r="BF4" s="97" t="n"/>
      <c r="BG4" s="98" t="n"/>
      <c r="BH4" s="35">
        <f>COUNTIF(H15:H110,"&gt;0")</f>
        <v/>
      </c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</row>
    <row r="5" customFormat="1" s="1">
      <c r="A5" s="50" t="inlineStr">
        <is>
          <t>RAW PR</t>
        </is>
      </c>
      <c r="B5" s="97" t="n"/>
      <c r="C5" s="97" t="n"/>
      <c r="D5" s="97" t="n"/>
      <c r="E5" s="97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P5" s="97" t="n"/>
      <c r="Q5" s="97" t="n"/>
      <c r="R5" s="97" t="n"/>
      <c r="S5" s="97" t="n"/>
      <c r="T5" s="97" t="n"/>
      <c r="U5" s="97" t="n"/>
      <c r="V5" s="97" t="n"/>
      <c r="W5" s="97" t="n"/>
      <c r="X5" s="97" t="n"/>
      <c r="Y5" s="97" t="n"/>
      <c r="Z5" s="97" t="n"/>
      <c r="AA5" s="97" t="n"/>
      <c r="AB5" s="97" t="n"/>
      <c r="AC5" s="97" t="n"/>
      <c r="AD5" s="97" t="n"/>
      <c r="AE5" s="97" t="n"/>
      <c r="AF5" s="97" t="n"/>
      <c r="AG5" s="97" t="n"/>
      <c r="AH5" s="97" t="n"/>
      <c r="AI5" s="97" t="n"/>
      <c r="AJ5" s="97" t="n"/>
      <c r="AK5" s="97" t="n"/>
      <c r="AL5" s="97" t="n"/>
      <c r="AM5" s="97" t="n"/>
      <c r="AN5" s="97" t="n"/>
      <c r="AO5" s="97" t="n"/>
      <c r="AP5" s="97" t="n"/>
      <c r="AQ5" s="97" t="n"/>
      <c r="AR5" s="97" t="n"/>
      <c r="AS5" s="97" t="n"/>
      <c r="AT5" s="97" t="n"/>
      <c r="AU5" s="97" t="n"/>
      <c r="AV5" s="97" t="n"/>
      <c r="AW5" s="97" t="n"/>
      <c r="AX5" s="97" t="n"/>
      <c r="AY5" s="97" t="n"/>
      <c r="AZ5" s="98" t="n"/>
      <c r="BA5" s="106">
        <f>((SUM(Tabella01MarzoInverter[[Active power TX1-INV-1]:[Active power TX1-INV-12]],Tabella01MarzoInverter[[Active power TX2-INV-1]:[Active power TX2-INV-12]],Tabella01MarzoInverter[[Active power TX3-INV-1]:[Active power TX3-INV-12]]) * 0.25) ) / (12625 * (SUM($H$15:$H$110) * 0.25 / 1000))</f>
        <v/>
      </c>
      <c r="BD5" s="105" t="inlineStr">
        <is>
          <t>PVSyst PR for current month</t>
        </is>
      </c>
      <c r="BE5" s="97" t="n"/>
      <c r="BF5" s="97" t="n"/>
      <c r="BG5" s="98" t="n"/>
      <c r="BH5" s="36">
        <f>+BA4*100</f>
        <v/>
      </c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</row>
    <row r="6" customFormat="1" s="1">
      <c r="A6" s="50" t="inlineStr">
        <is>
          <t>Irradiance Acceptance Rate [%]</t>
        </is>
      </c>
      <c r="B6" s="97" t="n"/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  <c r="P6" s="97" t="n"/>
      <c r="Q6" s="97" t="n"/>
      <c r="R6" s="97" t="n"/>
      <c r="S6" s="97" t="n"/>
      <c r="T6" s="97" t="n"/>
      <c r="U6" s="97" t="n"/>
      <c r="V6" s="97" t="n"/>
      <c r="W6" s="97" t="n"/>
      <c r="X6" s="97" t="n"/>
      <c r="Y6" s="97" t="n"/>
      <c r="Z6" s="97" t="n"/>
      <c r="AA6" s="97" t="n"/>
      <c r="AB6" s="97" t="n"/>
      <c r="AC6" s="97" t="n"/>
      <c r="AD6" s="97" t="n"/>
      <c r="AE6" s="97" t="n"/>
      <c r="AF6" s="97" t="n"/>
      <c r="AG6" s="97" t="n"/>
      <c r="AH6" s="97" t="n"/>
      <c r="AI6" s="97" t="n"/>
      <c r="AJ6" s="97" t="n"/>
      <c r="AK6" s="97" t="n"/>
      <c r="AL6" s="97" t="n"/>
      <c r="AM6" s="97" t="n"/>
      <c r="AN6" s="97" t="n"/>
      <c r="AO6" s="97" t="n"/>
      <c r="AP6" s="97" t="n"/>
      <c r="AQ6" s="97" t="n"/>
      <c r="AR6" s="97" t="n"/>
      <c r="AS6" s="97" t="n"/>
      <c r="AT6" s="97" t="n"/>
      <c r="AU6" s="97" t="n"/>
      <c r="AV6" s="97" t="n"/>
      <c r="AW6" s="97" t="n"/>
      <c r="AX6" s="97" t="n"/>
      <c r="AY6" s="97" t="n"/>
      <c r="AZ6" s="98" t="n"/>
      <c r="BA6" s="47" t="n">
        <v>0.03</v>
      </c>
      <c r="BD6" s="105" t="inlineStr">
        <is>
          <t>RAW PR (calculated with each power and POA value) [%]</t>
        </is>
      </c>
      <c r="BE6" s="97" t="n"/>
      <c r="BF6" s="97" t="n"/>
      <c r="BG6" s="98" t="n"/>
      <c r="BH6" s="107">
        <f>+BA5*100</f>
        <v/>
      </c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</row>
    <row r="7" customFormat="1" s="1">
      <c r="A7" s="50" t="inlineStr">
        <is>
          <t>Irradiance Minimum Value Accepted for calculation [%]</t>
        </is>
      </c>
      <c r="B7" s="97" t="n"/>
      <c r="C7" s="97" t="n"/>
      <c r="D7" s="97" t="n"/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P7" s="97" t="n"/>
      <c r="Q7" s="97" t="n"/>
      <c r="R7" s="97" t="n"/>
      <c r="S7" s="97" t="n"/>
      <c r="T7" s="97" t="n"/>
      <c r="U7" s="97" t="n"/>
      <c r="V7" s="97" t="n"/>
      <c r="W7" s="97" t="n"/>
      <c r="X7" s="97" t="n"/>
      <c r="Y7" s="97" t="n"/>
      <c r="Z7" s="97" t="n"/>
      <c r="AA7" s="97" t="n"/>
      <c r="AB7" s="97" t="n"/>
      <c r="AC7" s="97" t="n"/>
      <c r="AD7" s="97" t="n"/>
      <c r="AE7" s="97" t="n"/>
      <c r="AF7" s="97" t="n"/>
      <c r="AG7" s="97" t="n"/>
      <c r="AH7" s="97" t="n"/>
      <c r="AI7" s="97" t="n"/>
      <c r="AJ7" s="97" t="n"/>
      <c r="AK7" s="97" t="n"/>
      <c r="AL7" s="97" t="n"/>
      <c r="AM7" s="97" t="n"/>
      <c r="AN7" s="97" t="n"/>
      <c r="AO7" s="97" t="n"/>
      <c r="AP7" s="97" t="n"/>
      <c r="AQ7" s="97" t="n"/>
      <c r="AR7" s="97" t="n"/>
      <c r="AS7" s="97" t="n"/>
      <c r="AT7" s="97" t="n"/>
      <c r="AU7" s="97" t="n"/>
      <c r="AV7" s="97" t="n"/>
      <c r="AW7" s="97" t="n"/>
      <c r="AX7" s="97" t="n"/>
      <c r="AY7" s="97" t="n"/>
      <c r="AZ7" s="98" t="n"/>
      <c r="BA7" s="47" t="n">
        <v>50</v>
      </c>
      <c r="BD7" s="105" t="inlineStr">
        <is>
          <t>Average of each PR [%]</t>
        </is>
      </c>
      <c r="BE7" s="97" t="n"/>
      <c r="BF7" s="97" t="n"/>
      <c r="BG7" s="98" t="n"/>
      <c r="BH7" s="107">
        <f>AVERAGE(TabellaMar2026[[#Totals],[Colonna24]:[Colonna20]],TabellaMar2026[[#Totals],[Colonna39]:[Colonna6]],TabellaMar2026[[#Totals],[Colonna54]:[Colonna53]])*100</f>
        <v/>
      </c>
    </row>
    <row r="8" ht="15.75" customFormat="1" customHeight="1" s="1">
      <c r="A8" s="58" t="inlineStr">
        <is>
          <t>NOMINAL VALUES</t>
        </is>
      </c>
      <c r="B8" s="97" t="n"/>
      <c r="C8" s="97" t="n"/>
      <c r="D8" s="97" t="n"/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P8" s="97" t="n"/>
      <c r="Q8" s="97" t="n"/>
      <c r="R8" s="97" t="n"/>
      <c r="S8" s="97" t="n"/>
      <c r="T8" s="97" t="n"/>
      <c r="U8" s="97" t="n"/>
      <c r="V8" s="97" t="n"/>
      <c r="W8" s="97" t="n"/>
      <c r="X8" s="97" t="n"/>
      <c r="Y8" s="97" t="n"/>
      <c r="Z8" s="97" t="n"/>
      <c r="AA8" s="97" t="n"/>
      <c r="AB8" s="97" t="n"/>
      <c r="AC8" s="97" t="n"/>
      <c r="AD8" s="97" t="n"/>
      <c r="AE8" s="97" t="n"/>
      <c r="AF8" s="97" t="n"/>
      <c r="AG8" s="97" t="n"/>
      <c r="AH8" s="97" t="n"/>
      <c r="AI8" s="97" t="n"/>
      <c r="AJ8" s="97" t="n"/>
      <c r="AK8" s="97" t="n"/>
      <c r="AL8" s="97" t="n"/>
      <c r="AM8" s="97" t="n"/>
      <c r="AN8" s="97" t="n"/>
      <c r="AO8" s="97" t="n"/>
      <c r="AP8" s="97" t="n"/>
      <c r="AQ8" s="97" t="n"/>
      <c r="AR8" s="97" t="n"/>
      <c r="AS8" s="97" t="n"/>
      <c r="AT8" s="97" t="n"/>
      <c r="AU8" s="97" t="n"/>
      <c r="AV8" s="97" t="n"/>
      <c r="AW8" s="97" t="n"/>
      <c r="AX8" s="97" t="n"/>
      <c r="AY8" s="97" t="n"/>
      <c r="AZ8" s="97" t="n"/>
      <c r="BA8" s="97" t="n"/>
      <c r="BD8" s="105" t="inlineStr">
        <is>
          <t>PR from SCADA [%]</t>
        </is>
      </c>
      <c r="BE8" s="97" t="n"/>
      <c r="BF8" s="97" t="n"/>
      <c r="BG8" s="98" t="n"/>
      <c r="BH8" s="108" t="n">
        <v>37.52944606797989</v>
      </c>
    </row>
    <row r="9" customFormat="1" s="1">
      <c r="A9" s="50" t="inlineStr">
        <is>
          <t>TX.INV</t>
        </is>
      </c>
      <c r="B9" s="97" t="n"/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8" t="n"/>
      <c r="N9" s="53" t="n"/>
      <c r="O9" s="28" t="inlineStr">
        <is>
          <t>1.1</t>
        </is>
      </c>
      <c r="P9" s="28" t="inlineStr">
        <is>
          <t>1.2</t>
        </is>
      </c>
      <c r="Q9" s="28" t="inlineStr">
        <is>
          <t>1.3</t>
        </is>
      </c>
      <c r="R9" s="28" t="inlineStr">
        <is>
          <t>1.4</t>
        </is>
      </c>
      <c r="S9" s="28" t="inlineStr">
        <is>
          <t>1.5</t>
        </is>
      </c>
      <c r="T9" s="28" t="inlineStr">
        <is>
          <t>1.6</t>
        </is>
      </c>
      <c r="U9" s="28" t="inlineStr">
        <is>
          <t>1.7</t>
        </is>
      </c>
      <c r="V9" s="28" t="inlineStr">
        <is>
          <t>1.8</t>
        </is>
      </c>
      <c r="W9" s="28" t="inlineStr">
        <is>
          <t>1.9</t>
        </is>
      </c>
      <c r="X9" s="28" t="inlineStr">
        <is>
          <t>1.10</t>
        </is>
      </c>
      <c r="Y9" s="28" t="inlineStr">
        <is>
          <t>1.11</t>
        </is>
      </c>
      <c r="Z9" s="28" t="inlineStr">
        <is>
          <t>1.12</t>
        </is>
      </c>
      <c r="AA9" s="29" t="n"/>
      <c r="AB9" s="28" t="inlineStr">
        <is>
          <t>2.1</t>
        </is>
      </c>
      <c r="AC9" s="28" t="inlineStr">
        <is>
          <t>2.2</t>
        </is>
      </c>
      <c r="AD9" s="28" t="inlineStr">
        <is>
          <t>2.3</t>
        </is>
      </c>
      <c r="AE9" s="28" t="inlineStr">
        <is>
          <t>2.4</t>
        </is>
      </c>
      <c r="AF9" s="28" t="inlineStr">
        <is>
          <t>2.5</t>
        </is>
      </c>
      <c r="AG9" s="28" t="inlineStr">
        <is>
          <t>2.6</t>
        </is>
      </c>
      <c r="AH9" s="28" t="inlineStr">
        <is>
          <t>2.7</t>
        </is>
      </c>
      <c r="AI9" s="28" t="inlineStr">
        <is>
          <t>2.8</t>
        </is>
      </c>
      <c r="AJ9" s="28" t="inlineStr">
        <is>
          <t>2.9</t>
        </is>
      </c>
      <c r="AK9" s="28" t="inlineStr">
        <is>
          <t>2.10</t>
        </is>
      </c>
      <c r="AL9" s="28" t="inlineStr">
        <is>
          <t>2.11</t>
        </is>
      </c>
      <c r="AM9" s="28" t="inlineStr">
        <is>
          <t>2.12</t>
        </is>
      </c>
      <c r="AN9" s="29" t="n"/>
      <c r="AO9" s="28" t="inlineStr">
        <is>
          <t>3.1</t>
        </is>
      </c>
      <c r="AP9" s="28" t="inlineStr">
        <is>
          <t>3.2</t>
        </is>
      </c>
      <c r="AQ9" s="28" t="inlineStr">
        <is>
          <t>3.3</t>
        </is>
      </c>
      <c r="AR9" s="28" t="inlineStr">
        <is>
          <t>3.4</t>
        </is>
      </c>
      <c r="AS9" s="28" t="inlineStr">
        <is>
          <t>3.5</t>
        </is>
      </c>
      <c r="AT9" s="28" t="inlineStr">
        <is>
          <t>3.6</t>
        </is>
      </c>
      <c r="AU9" s="28" t="inlineStr">
        <is>
          <t>3.7</t>
        </is>
      </c>
      <c r="AV9" s="28" t="inlineStr">
        <is>
          <t>3.8</t>
        </is>
      </c>
      <c r="AW9" s="28" t="inlineStr">
        <is>
          <t>3.9</t>
        </is>
      </c>
      <c r="AX9" s="28" t="inlineStr">
        <is>
          <t>3.10</t>
        </is>
      </c>
      <c r="AY9" s="28" t="inlineStr">
        <is>
          <t>3.11</t>
        </is>
      </c>
      <c r="AZ9" s="28" t="inlineStr">
        <is>
          <t>3.12</t>
        </is>
      </c>
      <c r="BA9" s="19" t="n"/>
      <c r="BD9" s="105" t="inlineStr">
        <is>
          <t>Irradiance Acceptance Rate (for average between sensors)[%]</t>
        </is>
      </c>
      <c r="BE9" s="97" t="n"/>
      <c r="BF9" s="97" t="n"/>
      <c r="BG9" s="98" t="n"/>
      <c r="BH9" s="32">
        <f>+BA6*100</f>
        <v/>
      </c>
    </row>
    <row r="10" ht="15.75" customFormat="1" customHeight="1" s="1" thickBot="1">
      <c r="A10" s="50" t="inlineStr">
        <is>
          <t>Potenza nominale DC</t>
        </is>
      </c>
      <c r="B10" s="97" t="n"/>
      <c r="C10" s="97" t="n"/>
      <c r="D10" s="97" t="n"/>
      <c r="E10" s="97" t="n"/>
      <c r="F10" s="97" t="n"/>
      <c r="G10" s="97" t="n"/>
      <c r="H10" s="97" t="n"/>
      <c r="I10" s="97" t="n"/>
      <c r="J10" s="97" t="n"/>
      <c r="K10" s="97" t="n"/>
      <c r="L10" s="97" t="n"/>
      <c r="M10" s="98" t="n"/>
      <c r="N10" s="53" t="n"/>
      <c r="O10" s="19" t="n">
        <v>343.75</v>
      </c>
      <c r="P10" s="19" t="n">
        <v>343.75</v>
      </c>
      <c r="Q10" s="19" t="n">
        <v>343.75</v>
      </c>
      <c r="R10" s="19" t="n">
        <v>343.75</v>
      </c>
      <c r="S10" s="19" t="n">
        <v>343.75</v>
      </c>
      <c r="T10" s="19" t="n">
        <v>343.75</v>
      </c>
      <c r="U10" s="19" t="n">
        <v>343.75</v>
      </c>
      <c r="V10" s="19" t="n">
        <v>359.375</v>
      </c>
      <c r="W10" s="19" t="n">
        <v>359.375</v>
      </c>
      <c r="X10" s="19" t="n">
        <v>359.375</v>
      </c>
      <c r="Y10" s="19" t="n">
        <v>359.375</v>
      </c>
      <c r="Z10" s="19" t="n">
        <v>343.75</v>
      </c>
      <c r="AB10" s="19" t="n">
        <v>328.125</v>
      </c>
      <c r="AC10" s="19" t="n">
        <v>343.75</v>
      </c>
      <c r="AD10" s="19" t="n">
        <v>343.75</v>
      </c>
      <c r="AE10" s="19" t="n">
        <v>328.125</v>
      </c>
      <c r="AF10" s="19" t="n">
        <v>328.125</v>
      </c>
      <c r="AG10" s="19" t="n">
        <v>359.375</v>
      </c>
      <c r="AH10" s="19" t="n">
        <v>343.75</v>
      </c>
      <c r="AI10" s="19" t="n">
        <v>359.375</v>
      </c>
      <c r="AJ10" s="19" t="n">
        <v>359.375</v>
      </c>
      <c r="AK10" s="19" t="n">
        <v>343.75</v>
      </c>
      <c r="AL10" s="19" t="n">
        <v>359.375</v>
      </c>
      <c r="AM10" s="19" t="n">
        <v>359.375</v>
      </c>
      <c r="AO10" s="19" t="n">
        <v>359.375</v>
      </c>
      <c r="AP10" s="19" t="n">
        <v>359.375</v>
      </c>
      <c r="AQ10" s="19" t="n">
        <v>359.375</v>
      </c>
      <c r="AR10" s="19" t="n">
        <v>359.375</v>
      </c>
      <c r="AS10" s="19" t="n">
        <v>359.375</v>
      </c>
      <c r="AT10" s="19" t="n">
        <v>359.375</v>
      </c>
      <c r="AU10" s="19" t="n">
        <v>359.375</v>
      </c>
      <c r="AV10" s="19" t="n">
        <v>359.375</v>
      </c>
      <c r="AW10" s="19" t="n">
        <v>359.375</v>
      </c>
      <c r="AX10" s="19" t="n">
        <v>359.375</v>
      </c>
      <c r="AY10" s="19" t="n">
        <v>359.375</v>
      </c>
      <c r="AZ10" s="19" t="n">
        <v>328.125</v>
      </c>
      <c r="BA10" s="19" t="n"/>
      <c r="BD10" s="109" t="inlineStr">
        <is>
          <t>Irradiance Minimum Value Accepted for calculation</t>
        </is>
      </c>
      <c r="BE10" s="77" t="n"/>
      <c r="BF10" s="77" t="n"/>
      <c r="BG10" s="110" t="n"/>
      <c r="BH10" s="33">
        <f>+BA7</f>
        <v/>
      </c>
    </row>
    <row r="11" customFormat="1" s="1">
      <c r="A11" s="50" t="inlineStr">
        <is>
          <t>Potenza nominale AC</t>
        </is>
      </c>
      <c r="B11" s="97" t="n"/>
      <c r="C11" s="97" t="n"/>
      <c r="D11" s="97" t="n"/>
      <c r="E11" s="97" t="n"/>
      <c r="F11" s="97" t="n"/>
      <c r="G11" s="97" t="n"/>
      <c r="H11" s="97" t="n"/>
      <c r="I11" s="97" t="n"/>
      <c r="J11" s="97" t="n"/>
      <c r="K11" s="97" t="n"/>
      <c r="L11" s="97" t="n"/>
      <c r="M11" s="98" t="n"/>
      <c r="N11" s="53" t="n"/>
      <c r="O11" s="19" t="n">
        <v>320</v>
      </c>
      <c r="P11" s="19" t="n">
        <v>320</v>
      </c>
      <c r="Q11" s="19" t="n">
        <v>320</v>
      </c>
      <c r="R11" s="19" t="n">
        <v>320</v>
      </c>
      <c r="S11" s="19" t="n">
        <v>320</v>
      </c>
      <c r="T11" s="19" t="n">
        <v>320</v>
      </c>
      <c r="U11" s="19" t="n">
        <v>320</v>
      </c>
      <c r="V11" s="19" t="n">
        <v>320</v>
      </c>
      <c r="W11" s="19" t="n">
        <v>320</v>
      </c>
      <c r="X11" s="19" t="n">
        <v>320</v>
      </c>
      <c r="Y11" s="19" t="n">
        <v>320</v>
      </c>
      <c r="Z11" s="19" t="n">
        <v>320</v>
      </c>
      <c r="AB11" s="19" t="n">
        <v>320</v>
      </c>
      <c r="AC11" s="19" t="n">
        <v>320</v>
      </c>
      <c r="AD11" s="19" t="n">
        <v>320</v>
      </c>
      <c r="AE11" s="19" t="n">
        <v>320</v>
      </c>
      <c r="AF11" s="19" t="n">
        <v>320</v>
      </c>
      <c r="AG11" s="19" t="n">
        <v>320</v>
      </c>
      <c r="AH11" s="19" t="n">
        <v>320</v>
      </c>
      <c r="AI11" s="19" t="n">
        <v>320</v>
      </c>
      <c r="AJ11" s="19" t="n">
        <v>320</v>
      </c>
      <c r="AK11" s="19" t="n">
        <v>320</v>
      </c>
      <c r="AL11" s="19" t="n">
        <v>320</v>
      </c>
      <c r="AM11" s="19" t="n">
        <v>320</v>
      </c>
      <c r="AO11" s="19" t="n">
        <v>320</v>
      </c>
      <c r="AP11" s="19" t="n">
        <v>320</v>
      </c>
      <c r="AQ11" s="19" t="n">
        <v>320</v>
      </c>
      <c r="AR11" s="19" t="n">
        <v>320</v>
      </c>
      <c r="AS11" s="19" t="n">
        <v>320</v>
      </c>
      <c r="AT11" s="19" t="n">
        <v>320</v>
      </c>
      <c r="AU11" s="19" t="n">
        <v>320</v>
      </c>
      <c r="AV11" s="19" t="n">
        <v>320</v>
      </c>
      <c r="AW11" s="19" t="n">
        <v>320</v>
      </c>
      <c r="AX11" s="19" t="n">
        <v>320</v>
      </c>
      <c r="AY11" s="19" t="n">
        <v>320</v>
      </c>
      <c r="AZ11" s="19" t="n">
        <v>320</v>
      </c>
      <c r="BA11" s="19" t="n"/>
    </row>
    <row r="12" customFormat="1" s="1">
      <c r="AA12" s="7" t="n"/>
    </row>
    <row r="13" customFormat="1" s="1">
      <c r="AA13" s="7" t="n"/>
    </row>
    <row r="14" ht="75" customFormat="1" customHeight="1" s="1">
      <c r="A14" s="84" t="inlineStr">
        <is>
          <t>Dati</t>
        </is>
      </c>
      <c r="B14" s="85" t="inlineStr">
        <is>
          <t>ORA</t>
        </is>
      </c>
      <c r="C14" s="10" t="inlineStr">
        <is>
          <t>Irradiance TX1
[W/m2]
A</t>
        </is>
      </c>
      <c r="D14" s="10" t="inlineStr">
        <is>
          <t>Irradiance TX1
[KWh/m2]
A</t>
        </is>
      </c>
      <c r="E14" s="10" t="inlineStr">
        <is>
          <t>Irradiance TX3
[W/m2]
B</t>
        </is>
      </c>
      <c r="F14" s="10" t="inlineStr">
        <is>
          <t>Irradiance TX3
[KWh/m2]
B</t>
        </is>
      </c>
      <c r="G14" s="10" t="inlineStr">
        <is>
          <t>Irradiance Avg
[KWh/m2]
C = (A-B)/2</t>
        </is>
      </c>
      <c r="H14" s="10" t="inlineStr">
        <is>
          <t>Irradiance Average&gt;50
[W/m2]</t>
        </is>
      </c>
      <c r="I14" s="10" t="inlineStr">
        <is>
          <t>Irradiance Conditional MAX
[KWh/m2]</t>
        </is>
      </c>
      <c r="J14" s="10" t="inlineStr">
        <is>
          <t>Difference [%]
(B-A)/C</t>
        </is>
      </c>
      <c r="K14" s="10" t="inlineStr">
        <is>
          <t>Meter Reading 
(Previous day)
D</t>
        </is>
      </c>
      <c r="L14" s="10" t="inlineStr">
        <is>
          <t>Meter Reading 
(Current day)
E</t>
        </is>
      </c>
      <c r="M14" s="10" t="inlineStr">
        <is>
          <t xml:space="preserve"> Energia attiva prod. 
(export meter)
[kWh]
F = (E - D)*1000</t>
        </is>
      </c>
      <c r="N14" s="86" t="inlineStr">
        <is>
          <t>Potenza Attiva Limit Ratio</t>
        </is>
      </c>
      <c r="O14" s="10" t="inlineStr">
        <is>
          <t>Inverter status TX1-INV-1</t>
        </is>
      </c>
      <c r="P14" s="10" t="inlineStr">
        <is>
          <t>Inverter status TX1-INV-2</t>
        </is>
      </c>
      <c r="Q14" s="10" t="inlineStr">
        <is>
          <t>Inverter status TX1-INV-3</t>
        </is>
      </c>
      <c r="R14" s="10" t="inlineStr">
        <is>
          <t>Inverter status TX1-INV-4</t>
        </is>
      </c>
      <c r="S14" s="10" t="inlineStr">
        <is>
          <t>Inverter status TX1-INV-5</t>
        </is>
      </c>
      <c r="T14" s="10" t="inlineStr">
        <is>
          <t>Inverter status TX1-INV-6</t>
        </is>
      </c>
      <c r="U14" s="10" t="inlineStr">
        <is>
          <t>Inverter status TX1-INV-7</t>
        </is>
      </c>
      <c r="V14" s="10" t="inlineStr">
        <is>
          <t>Inverter status TX1-INV-8</t>
        </is>
      </c>
      <c r="W14" s="10" t="inlineStr">
        <is>
          <t>Inverter status TX1-INV-9</t>
        </is>
      </c>
      <c r="X14" s="10" t="inlineStr">
        <is>
          <t>Inverter status TX1-INV-10</t>
        </is>
      </c>
      <c r="Y14" s="10" t="inlineStr">
        <is>
          <t>Inverter status TX1-INV-11</t>
        </is>
      </c>
      <c r="Z14" s="10" t="inlineStr">
        <is>
          <t>Inverter status TX1-INV-12</t>
        </is>
      </c>
      <c r="AA14" s="10" t="inlineStr">
        <is>
          <t>Enegy Loss for TX1
kW/H</t>
        </is>
      </c>
      <c r="AB14" s="11" t="inlineStr">
        <is>
          <t>Inverter status TX2-INV-1</t>
        </is>
      </c>
      <c r="AC14" s="10" t="inlineStr">
        <is>
          <t>Inverter status TX2-INV-2</t>
        </is>
      </c>
      <c r="AD14" s="10" t="inlineStr">
        <is>
          <t>Inverter status TX2-INV-3</t>
        </is>
      </c>
      <c r="AE14" s="10" t="inlineStr">
        <is>
          <t>Inverter status TX2-INV-4</t>
        </is>
      </c>
      <c r="AF14" s="10" t="inlineStr">
        <is>
          <t>Inverter status TX2-INV-5</t>
        </is>
      </c>
      <c r="AG14" s="10" t="inlineStr">
        <is>
          <t>Inverter status TX2-INV-6</t>
        </is>
      </c>
      <c r="AH14" s="10" t="inlineStr">
        <is>
          <t>Inverter status TX2-INV-7</t>
        </is>
      </c>
      <c r="AI14" s="10" t="inlineStr">
        <is>
          <t>Inverter status TX2-INV-8</t>
        </is>
      </c>
      <c r="AJ14" s="10" t="inlineStr">
        <is>
          <t>Inverter status TX2-INV-9</t>
        </is>
      </c>
      <c r="AK14" s="10" t="inlineStr">
        <is>
          <t>Inverter status TX2-INV-10</t>
        </is>
      </c>
      <c r="AL14" s="10" t="inlineStr">
        <is>
          <t>Inverter status TX2-INV-11</t>
        </is>
      </c>
      <c r="AM14" s="10" t="inlineStr">
        <is>
          <t>Inverter status TX2-INV-12</t>
        </is>
      </c>
      <c r="AN14" s="111" t="inlineStr">
        <is>
          <t>Enegy Loss for TX2
kW/H</t>
        </is>
      </c>
      <c r="AO14" s="11" t="inlineStr">
        <is>
          <t>Inverter status TX3-INV-1</t>
        </is>
      </c>
      <c r="AP14" s="10" t="inlineStr">
        <is>
          <t>Inverter status TX3-INV-2</t>
        </is>
      </c>
      <c r="AQ14" s="10" t="inlineStr">
        <is>
          <t>Inverter status TX3-INV-3</t>
        </is>
      </c>
      <c r="AR14" s="10" t="inlineStr">
        <is>
          <t>Inverter status TX3-INV-4</t>
        </is>
      </c>
      <c r="AS14" s="10" t="inlineStr">
        <is>
          <t>Inverter status TX3-INV-5</t>
        </is>
      </c>
      <c r="AT14" s="10" t="inlineStr">
        <is>
          <t>Inverter status TX3-INV-6</t>
        </is>
      </c>
      <c r="AU14" s="10" t="inlineStr">
        <is>
          <t>Inverter status TX3-INV-7</t>
        </is>
      </c>
      <c r="AV14" s="10" t="inlineStr">
        <is>
          <t>Inverter status TX3-INV-8</t>
        </is>
      </c>
      <c r="AW14" s="10" t="inlineStr">
        <is>
          <t>Inverter status TX3-INV-9</t>
        </is>
      </c>
      <c r="AX14" s="10" t="inlineStr">
        <is>
          <t>Inverter status TX3-INV-10</t>
        </is>
      </c>
      <c r="AY14" s="10" t="inlineStr">
        <is>
          <t>Inverter status TX3-INV-11</t>
        </is>
      </c>
      <c r="AZ14" s="10" t="inlineStr">
        <is>
          <t>Inverter status TX3-INV-12</t>
        </is>
      </c>
      <c r="BA14" s="88" t="inlineStr">
        <is>
          <t>Enegy Loss for TX3
kW/H</t>
        </is>
      </c>
    </row>
    <row r="15" customFormat="1" s="1">
      <c r="A15" s="112" t="n">
        <v>46143</v>
      </c>
      <c r="B15" t="inlineStr">
        <is>
          <t>00:00:00.000</t>
        </is>
      </c>
      <c r="C15" s="2" t="n">
        <v>-1.5</v>
      </c>
      <c r="D15" s="113" t="n">
        <v>-0.000375</v>
      </c>
      <c r="E15" s="113" t="n">
        <v>-1.1</v>
      </c>
      <c r="F15" s="113" t="n">
        <v>-0.000275</v>
      </c>
      <c r="G15" s="113">
        <f>IFERROR((D15+F15)/2, 0)</f>
        <v/>
      </c>
      <c r="H15" s="114">
        <f>IFERROR(IF(AVERAGE(C15,E15)&gt;$BA$7,AVERAGE(C15,E15),0), 0)</f>
        <v/>
      </c>
      <c r="I15" s="114">
        <f>IFERROR(IF(AND(D15=0,F15=0),0,IF(H15&gt;$BA$6,MAX(D15,F15),G15)), 0)</f>
        <v/>
      </c>
      <c r="J15" s="113">
        <f>IFERROR(IF(AND(D15&gt;0,F15&gt;0),ABS(D15-F15)/AVERAGE(D15,F15),0), 0)</f>
        <v/>
      </c>
      <c r="K15" s="113" t="n">
        <v>30098.6</v>
      </c>
      <c r="L15" s="113" t="n">
        <v>30098.6</v>
      </c>
      <c r="M15" s="115">
        <f>IFERROR((L15-K15)*1000, 0)</f>
        <v/>
      </c>
      <c r="N15" s="113" t="n">
        <v>0.8759999999999999</v>
      </c>
      <c r="O15" s="115">
        <f t="array" ref="O15">IF(
    AND($H15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($H15 / 1000) * O$10 * $BA$4 * 0.25
    ),
    0
)
+
IF(
    $N15 &lt; 0.875,
    MAX(0, MIN(($H15 / 1000) * O$10 * $BA$4, O$11 * 0.876) - (O$11 * $N15)) * 0.25,
    0
)</f>
        <v/>
      </c>
      <c r="P15" s="115">
        <f t="array" ref="P15">IF(
    AND($H15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($H15 / 1000) * P$10 * $BA$4 * 0.25
    ),
    0
)
+
IF(
    $N15 &lt; 0.875,
    MAX(0, MIN(($H15 / 1000) * P$10 * $BA$4, P$11 * 0.876) - (P$11 * $N15)) * 0.25,
    0
)</f>
        <v/>
      </c>
      <c r="Q15" s="115">
        <f t="array" ref="Q15">IF(
    AND($H15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($H15 / 1000) * Q$10 * $BA$4 * 0.25
    ),
    0
)
+
IF(
    $N15 &lt; 0.875,
    MAX(0, MIN(($H15 / 1000) * Q$10 * $BA$4, Q$11 * 0.876) - (Q$11 * $N15)) * 0.25,
    0
)</f>
        <v/>
      </c>
      <c r="R15" s="115">
        <f t="array" ref="R15">IF(
    AND($H15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($H15 / 1000) * R$10 * $BA$4 * 0.25
    ),
    0
)
+
IF(
    $N15 &lt; 0.875,
    MAX(0, MIN(($H15 / 1000) * R$10 * $BA$4, R$11 * 0.876) - (R$11 * $N15)) * 0.25,
    0
)</f>
        <v/>
      </c>
      <c r="S15" s="115">
        <f t="array" ref="S15">IF(
    AND($H15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($H15 / 1000) * S$10 * $BA$4 * 0.25
    ),
    0
)
+
IF(
    $N15 &lt; 0.875,
    MAX(0, MIN(($H15 / 1000) * S$10 * $BA$4, S$11 * 0.876) - (S$11 * $N15)) * 0.25,
    0
)</f>
        <v/>
      </c>
      <c r="T15" s="115">
        <f t="array" ref="T15">IF(
    AND($H15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($H15 / 1000) * T$10 * $BA$4 * 0.25
    ),
    0
)
+
IF(
    $N15 &lt; 0.875,
    MAX(0, MIN(($H15 / 1000) * T$10 * $BA$4, T$11 * 0.876) - (T$11 * $N15)) * 0.25,
    0
)</f>
        <v/>
      </c>
      <c r="U15" s="115">
        <f t="array" ref="U15">IF(
    AND($H15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($H15 / 1000) * U$10 * $BA$4 * 0.25
    ),
    0
)
+
IF(
    $N15 &lt; 0.875,
    MAX(0, MIN(($H15 / 1000) * U$10 * $BA$4, U$11 * 0.876) - (U$11 * $N15)) * 0.25,
    0
)</f>
        <v/>
      </c>
      <c r="V15" s="115">
        <f t="array" ref="V15">IF(
    AND($H15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($H15 / 1000) * V$10 * $BA$4 * 0.25
    ),
    0
)
+
IF(
    $N15 &lt; 0.875,
    MAX(0, MIN(($H15 / 1000) * V$10 * $BA$4, V$11 * 0.876) - (V$11 * $N15)) * 0.25,
    0
)</f>
        <v/>
      </c>
      <c r="W15" s="115">
        <f t="array" ref="W15">IF(
    AND($H15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($H15 / 1000) * W$10 * $BA$4 * 0.25
    ),
    0
)
+
IF(
    $N15 &lt; 0.875,
    MAX(0, MIN(($H15 / 1000) * W$10 * $BA$4, W$11 * 0.876) - (W$11 * $N15)) * 0.25,
    0
)</f>
        <v/>
      </c>
      <c r="X15" s="115">
        <f t="array" ref="X15">IF(
    AND($H15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($H15 / 1000) * X$10 * $BA$4 * 0.25
    ),
    0
)
+
IF(
    $N15 &lt; 0.875,
    MAX(0, MIN(($H15 / 1000) * X$10 * $BA$4, X$11 * 0.876) - (X$11 * $N15)) * 0.25,
    0
)</f>
        <v/>
      </c>
      <c r="Y15" s="115">
        <f t="array" ref="Y15">IF(
    AND($H15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($H15 / 1000) * Y$10 * $BA$4 * 0.25
    ),
    0
)
+
IF(
    $N15 &lt; 0.875,
    MAX(0, MIN(($H15 / 1000) * Y$10 * $BA$4, Y$11 * 0.876) - (Y$11 * $N15)) * 0.25,
    0
)</f>
        <v/>
      </c>
      <c r="Z15" s="115">
        <f t="array" ref="Z15">IF(
    AND($H15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($H15 / 1000) * Z$10 * $BA$4 * 0.25
    ),
    0
)
+
IF(
    $N15 &lt; 0.875,
    MAX(0, MIN(($H15 / 1000) * Z$10 * $BA$4, Z$11 * 0.876) - (Z$11 * $N15)) * 0.25,
    0
)</f>
        <v/>
      </c>
      <c r="AA15" s="116">
        <f>SUM(TabellaMar2026[[#This Row],[Colonna24]:[Colonna20]])</f>
        <v/>
      </c>
      <c r="AB15" s="117">
        <f>IF(
    AND($H15 &gt; $BA$7, Tabella01MarzoInverter[[#This Row],[Active power TX2-INV-1]] &lt;= 0, Tabella01MarzoInverter[[#This Row],[TX2 - Average Power]] &lt;= 0),
    MIN(($H15 / 1000) * AB$10 * $BA$4, AB$11 * 0.876) * 0.25,
    IF(
        AND($H15 &gt; $BA$7, Tabella01MarzoInverter[[#This Row],[Active power TX2-INV-1]] &lt;= 0),
        Tabella01MarzoInverter[[#This Row],[TX2 - Average Power]] * 0.25,
        0
    )
    +
    IF(
        $N15 &lt; 0.875,
        MAX(0, MIN(($H15 / 1000) * AB$10 * $BA$4, AB$11 * 0.876) - (AB$11 * $N15)) * 0.25,
        0
    )
)</f>
        <v/>
      </c>
      <c r="AC15" s="117">
        <f>IF(
    AND($H15 &gt; $BA$7, Tabella01MarzoInverter[[#This Row],[Active power TX2-INV-2]] &lt;= 0, Tabella01MarzoInverter[[#This Row],[TX2 - Max Power]] &lt;= 0),
    MIN(($H15 / 1000) * AC$10 * $BA$4, AC$11 * 0.876) * 0.25,
    IF(
        AND($H15 &gt; $BA$7, Tabella01MarzoInverter[[#This Row],[Active power TX2-INV-2]] &lt;= 0),
        Tabella01MarzoInverter[[#This Row],[TX2 - Max Power]] * 0.25,
        0
    )
    +
    IF(
        $N15 &lt; 0.875,
        MAX(0, MIN(($H15 / 1000) * AC$10 * $BA$4, AC$11 * 0.876) - (AC$11 * $N15)) * 0.25,
        0
    )
)</f>
        <v/>
      </c>
      <c r="AD15" s="117">
        <f>IF(
    AND($H15 &gt; $BA$7, Tabella01MarzoInverter[[#This Row],[Active power TX2-INV-3]] &lt;= 0, Tabella01MarzoInverter[[#This Row],[TX2 - Min Power]] &lt;= 0),
    MIN(($H15 / 1000) * AD$10 * $BA$4, AD$11 * 0.876) * 0.25,
    IF(
        AND($H15 &gt; $BA$7, Tabella01MarzoInverter[[#This Row],[Active power TX2-INV-3]] &lt;= 0),
        Tabella01MarzoInverter[[#This Row],[TX2 - Min Power]] * 0.25,
        0
    )
    +
    IF(
        $N15 &lt; 0.875,
        MAX(0, MIN(($H15 / 1000) * AD$10 * $BA$4, AD$11 * 0.876) - (AD$11 * $N15)) * 0.25,
        0
    )
)</f>
        <v/>
      </c>
      <c r="AE15" s="117">
        <f>IF(
    AND($H15 &gt; $BA$7, Tabella01MarzoInverter[[#This Row],[Active power TX2-INV-4]] &lt;= 0, Tabella01MarzoInverter[[#This Row],[Active power TX3-INV-1]] &lt;= 0),
    MIN(($H15 / 1000) * AE$10 * $BA$4, AE$11 * 0.876) * 0.25,
    IF(
        AND($H15 &gt; $BA$7, Tabella01MarzoInverter[[#This Row],[Active power TX2-INV-4]] &lt;= 0),
        Tabella01MarzoInverter[[#This Row],[Active power TX3-INV-1]] * 0.25,
        0
    )
    +
    IF(
        $N15 &lt; 0.875,
        MAX(0, MIN(($H15 / 1000) * AE$10 * $BA$4, AE$11 * 0.876) - (AE$11 * $N15)) * 0.25,
        0
    )
)</f>
        <v/>
      </c>
      <c r="AF15" s="117">
        <f>IF(
    AND($H15 &gt; $BA$7, Tabella01MarzoInverter[[#This Row],[Active power TX2-INV-5]] &lt;= 0, Tabella01MarzoInverter[[#This Row],[Active power TX3-INV-2]] &lt;= 0),
    MIN(($H15 / 1000) * AF$10 * $BA$4, AF$11 * 0.876) * 0.25,
    IF(
        AND($H15 &gt; $BA$7, Tabella01MarzoInverter[[#This Row],[Active power TX2-INV-5]] &lt;= 0),
        Tabella01MarzoInverter[[#This Row],[Active power TX3-INV-2]] * 0.25,
        0
    )
    +
    IF(
        $N15 &lt; 0.875,
        MAX(0, MIN(($H15 / 1000) * AF$10 * $BA$4, AF$11 * 0.876) - (AF$11 * $N15)) * 0.25,
        0
    )
)</f>
        <v/>
      </c>
      <c r="AG15" s="117">
        <f>IF(
    AND($H15 &gt; $BA$7, Tabella01MarzoInverter[[#This Row],[Active power TX2-INV-6]] &lt;= 0, Tabella01MarzoInverter[[#This Row],[Active power TX3-INV-3]] &lt;= 0),
    MIN(($H15 / 1000) * AG$10 * $BA$4, AG$11 * 0.876) * 0.25,
    IF(
        AND($H15 &gt; $BA$7, Tabella01MarzoInverter[[#This Row],[Active power TX2-INV-6]] &lt;= 0),
        Tabella01MarzoInverter[[#This Row],[Active power TX3-INV-3]] * 0.25,
        0
    )
    +
    IF(
        $N15 &lt; 0.875,
        MAX(0, MIN(($H15 / 1000) * AG$10 * $BA$4, AG$11 * 0.876) - (AG$11 * $N15)) * 0.25,
        0
    )
)</f>
        <v/>
      </c>
      <c r="AH15" s="117">
        <f>IF(
    AND($H15 &gt; $BA$7, Tabella01MarzoInverter[[#This Row],[Active power TX2-INV-7]] &lt;= 0, Tabella01MarzoInverter[[#This Row],[Active power TX3-INV-4]] &lt;= 0),
    MIN(($H15 / 1000) * AH$10 * $BA$4, AH$11 * 0.876) * 0.25,
    IF(
        AND($H15 &gt; $BA$7, Tabella01MarzoInverter[[#This Row],[Active power TX2-INV-7]] &lt;= 0),
        Tabella01MarzoInverter[[#This Row],[Active power TX3-INV-4]] * 0.25,
        0
    )
    +
    IF(
        $N15 &lt; 0.875,
        MAX(0, MIN(($H15 / 1000) * AH$10 * $BA$4, AH$11 * 0.876) - (AH$11 * $N15)) * 0.25,
        0
    )
)</f>
        <v/>
      </c>
      <c r="AI15" s="117">
        <f>IF(
    AND($H15 &gt; $BA$7, Tabella01MarzoInverter[[#This Row],[Active power TX2-INV-8]] &lt;= 0, Tabella01MarzoInverter[[#This Row],[Active power TX3-INV-5]] &lt;= 0),
    MIN(($H15 / 1000) * AI$10 * $BA$4, AI$11 * 0.876) * 0.25,
    IF(
        AND($H15 &gt; $BA$7, Tabella01MarzoInverter[[#This Row],[Active power TX2-INV-8]] &lt;= 0),
        Tabella01MarzoInverter[[#This Row],[Active power TX3-INV-5]] * 0.25,
        0
    )
    +
    IF(
        $N15 &lt; 0.875,
        MAX(0, MIN(($H15 / 1000) * AI$10 * $BA$4, AI$11 * 0.876) - (AI$11 * $N15)) * 0.25,
        0
    )
)</f>
        <v/>
      </c>
      <c r="AJ15" s="117">
        <f>IF(
    AND($H15 &gt; $BA$7, Tabella01MarzoInverter[[#This Row],[Active power TX2-INV-9]] &lt;= 0, Tabella01MarzoInverter[[#This Row],[Active power TX3-INV-6]] &lt;= 0),
    MIN(($H15 / 1000) * AJ$10 * $BA$4, AJ$11 * 0.876) * 0.25,
    IF(
        AND($H15 &gt; $BA$7, Tabella01MarzoInverter[[#This Row],[Active power TX2-INV-9]] &lt;= 0),
        Tabella01MarzoInverter[[#This Row],[Active power TX3-INV-6]] * 0.25,
        0
    )
    +
    IF(
        $N15 &lt; 0.875,
        MAX(0, MIN(($H15 / 1000) * AJ$10 * $BA$4, AJ$11 * 0.876) - (AJ$11 * $N15)) * 0.25,
        0
    )
)</f>
        <v/>
      </c>
      <c r="AK15" s="117">
        <f>IF(
    AND($H15 &gt; $BA$7, Tabella01MarzoInverter[[#This Row],[Active power TX2-INV-10]] &lt;= 0, Tabella01MarzoInverter[[#This Row],[Active power TX3-INV-7]] &lt;= 0),
    MIN(($H15 / 1000) * AK$10 * $BA$4, AK$11 * 0.876) * 0.25,
    IF(
        AND($H15 &gt; $BA$7, Tabella01MarzoInverter[[#This Row],[Active power TX2-INV-10]] &lt;= 0),
        Tabella01MarzoInverter[[#This Row],[Active power TX3-INV-7]] * 0.25,
        0
    )
    +
    IF(
        $N15 &lt; 0.875,
        MAX(0, MIN(($H15 / 1000) * AK$10 * $BA$4, AK$11 * 0.876) - (AK$11 * $N15)) * 0.25,
        0
    )
)</f>
        <v/>
      </c>
      <c r="AL15" s="117">
        <f>IF(
    AND($H15 &gt; $BA$7, Tabella01MarzoInverter[[#This Row],[Active power TX2-INV-11]] &lt;= 0, Tabella01MarzoInverter[[#This Row],[Active power TX3-INV-8]] &lt;= 0),
    MIN(($H15 / 1000) * AL$10 * $BA$4, AL$11 * 0.876) * 0.25,
    IF(
        AND($H15 &gt; $BA$7, Tabella01MarzoInverter[[#This Row],[Active power TX2-INV-11]] &lt;= 0),
        Tabella01MarzoInverter[[#This Row],[Active power TX3-INV-8]] * 0.25,
        0
    )
    +
    IF(
        $N15 &lt; 0.875,
        MAX(0, MIN(($H15 / 1000) * AL$10 * $BA$4, AL$11 * 0.876) - (AL$11 * $N15)) * 0.25,
        0
    )
)</f>
        <v/>
      </c>
      <c r="AM15" s="117">
        <f>IF(
    AND($H15 &gt; $BA$7, Tabella01MarzoInverter[[#This Row],[Active power TX2-INV-12]] &lt;= 0, Tabella01MarzoInverter[[#This Row],[Active power TX3-INV-9]] &lt;= 0),
    MIN(($H15 / 1000) * AM$10 * $BA$4, AM$11 * 0.876) * 0.25,
    IF(
        AND($H15 &gt; $BA$7, Tabella01MarzoInverter[[#This Row],[Active power TX2-INV-12]] &lt;= 0),
        Tabella01MarzoInverter[[#This Row],[Active power TX3-INV-9]] * 0.25,
        0
    )
    +
    IF(
        $N15 &lt; 0.875,
        MAX(0, MIN(($H15 / 1000) * AM$10 * $BA$4, AM$11 * 0.876) - (AM$11 * $N15)) * 0.25,
        0
    )
)</f>
        <v/>
      </c>
      <c r="AN15" s="118">
        <f>SUM(TabellaMar2026[[#This Row],[Colonna39]:[Colonna6]])</f>
        <v/>
      </c>
      <c r="AO15" s="117">
        <f t="array" ref="AO15">IF(
    AND($H15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($H15 / 1000) * AO$10 * $BA$4 * 0.25
    ),
    0
)
+
IF(
    $N15 &lt; 0.875,
    MAX(0, MIN(($H15 / 1000) * AO$10 * $BA$4, AO$11 * 0.876) - (AO$11 * $N15)) * 0.25,
    0
)</f>
        <v/>
      </c>
      <c r="AP15" s="117">
        <f t="array" ref="AP15">IF(
    AND($H15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($H15 / 1000) * AP$10 * $BA$4 * 0.25
    ),
    0
)
+
IF(
    $N15 &lt; 0.875,
    MAX(0, MIN(($H15 / 1000) * AP$10 * $BA$4, AP$11 * 0.876) - (AP$11 * $N15)) * 0.25,
    0
)</f>
        <v/>
      </c>
      <c r="AQ15" s="117">
        <f t="array" ref="AQ15">IF(
    AND($H15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($H15 / 1000) * AQ$10 * $BA$4 * 0.25
    ),
    0
)
+
IF(
    $N15 &lt; 0.875,
    MAX(0, MIN(($H15 / 1000) * AQ$10 * $BA$4, AQ$11 * 0.876) - (AQ$11 * $N15)) * 0.25,
    0
)</f>
        <v/>
      </c>
      <c r="AR15" s="117">
        <f t="array" ref="AR15">IF(
    AND($H15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($H15 / 1000) * AR$10 * $BA$4 * 0.25
    ),
    0
)
+
IF(
    $N15 &lt; 0.875,
    MAX(0, MIN(($H15 / 1000) * AR$10 * $BA$4, AR$11 * 0.876) - (AR$11 * $N15)) * 0.25,
    0
)</f>
        <v/>
      </c>
      <c r="AS15" s="117">
        <f t="array" ref="AS15">IF(
    AND($H15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($H15 / 1000) * AS$10 * $BA$4 * 0.25
    ),
    0
)
+
IF(
    $N15 &lt; 0.875,
    MAX(0, MIN(($H15 / 1000) * AS$10 * $BA$4, AS$11 * 0.876) - (AS$11 * $N15)) * 0.25,
    0
)</f>
        <v/>
      </c>
      <c r="AT15" s="117">
        <f t="array" ref="AT15">IF(
    AND($H15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($H15 / 1000) * AT$10 * $BA$4 * 0.25
    ),
    0
)
+
IF(
    $N15 &lt; 0.875,
    MAX(0, MIN(($H15 / 1000) * AT$10 * $BA$4, AT$11 * 0.876) - (AT$11 * $N15)) * 0.25,
    0
)</f>
        <v/>
      </c>
      <c r="AU15" s="117">
        <f t="array" ref="AU15">IF(
    AND($H15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($H15 / 1000) * AU$10 * $BA$4 * 0.25
    ),
    0
)
+
IF(
    $N15 &lt; 0.875,
    MAX(0, MIN(($H15 / 1000) * AU$10 * $BA$4, AU$11 * 0.876) - (AU$11 * $N15)) * 0.25,
    0
)</f>
        <v/>
      </c>
      <c r="AV15" s="117">
        <f t="array" ref="AV15">IF(
    AND($H15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($H15 / 1000) * AV$10 * $BA$4 * 0.25
    ),
    0
)
+
IF(
    $N15 &lt; 0.875,
    MAX(0, MIN(($H15 / 1000) * AV$10 * $BA$4, AV$11 * 0.876) - (AV$11 * $N15)) * 0.25,
    0
)</f>
        <v/>
      </c>
      <c r="AW15" s="117">
        <f t="array" ref="AW15">IF(
    AND($H15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($H15 / 1000) * AW$10 * $BA$4 * 0.25
    ),
    0
)
+
IF(
    $N15 &lt; 0.875,
    MAX(0, MIN(($H15 / 1000) * AW$10 * $BA$4, AW$11 * 0.876) - (AW$11 * $N15)) * 0.25,
    0
)</f>
        <v/>
      </c>
      <c r="AX15" s="117">
        <f t="array" ref="AX15">IF(
    AND($H15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($H15 / 1000) * AX$10 * $BA$4 * 0.25
    ),
    0
)
+
IF(
    $N15 &lt; 0.875,
    MAX(0, MIN(($H15 / 1000) * AX$10 * $BA$4, AX$11 * 0.876) - (AX$11 * $N15)) * 0.25,
    0
)</f>
        <v/>
      </c>
      <c r="AY15" s="117">
        <f t="array" ref="AY15">IF(
    AND($H15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($H15 / 1000) * AY$10 * $BA$4 * 0.25
    ),
    0
)
+
IF(
    $N15 &lt; 0.875,
    MAX(0, MIN(($H15 / 1000) * AY$10 * $BA$4, AY$11 * 0.876) - (AY$11 * $N15)) * 0.25,
    0
)</f>
        <v/>
      </c>
      <c r="AZ15" s="117">
        <f t="array" ref="AZ15">IF(
    AND($H15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($H15 / 1000) * AZ$10 * $BA$4 * 0.25
    ),
    0
)
+
IF(
    $N15 &lt; 0.875,
    MAX(0, MIN(($H15 / 1000) * AZ$10 * $BA$4, AZ$11 * 0.876) - (AZ$11 * $N15)) * 0.25,
    0
)</f>
        <v/>
      </c>
      <c r="BA15" s="119">
        <f>SUM(TabellaMar2026[[#This Row],[Colonna54]:[Colonna53]])</f>
        <v/>
      </c>
    </row>
    <row r="16" customFormat="1" s="1">
      <c r="A16" s="112" t="n">
        <v>46143</v>
      </c>
      <c r="B16" t="inlineStr">
        <is>
          <t>00:15:00.000</t>
        </is>
      </c>
      <c r="C16" s="2" t="n">
        <v>-2</v>
      </c>
      <c r="D16" s="113" t="n">
        <v>-0.0005</v>
      </c>
      <c r="E16" s="113" t="n">
        <v>-1.9</v>
      </c>
      <c r="F16" s="113" t="n">
        <v>-0.000475</v>
      </c>
      <c r="G16" s="113">
        <f>IFERROR((D16+F16)/2, 0)</f>
        <v/>
      </c>
      <c r="H16" s="114">
        <f>IFERROR(IF(AVERAGE(C16,E16)&gt;$BA$7,AVERAGE(C16,E16),0), 0)</f>
        <v/>
      </c>
      <c r="I16" s="114">
        <f>IFERROR(IF(AND(D16=0,F16=0),0,IF(H16&gt;$BA$6,MAX(D16,F16),G16)), 0)</f>
        <v/>
      </c>
      <c r="J16" s="113">
        <f>IFERROR(IF(AND(D16&gt;0,F16&gt;0),ABS(D16-F16)/AVERAGE(D16,F16),0), 0)</f>
        <v/>
      </c>
      <c r="K16" s="113" t="n">
        <v>30098.6</v>
      </c>
      <c r="L16" s="113" t="n">
        <v>30098.6</v>
      </c>
      <c r="M16" s="115">
        <f>IFERROR((L16-K16)*1000, 0)</f>
        <v/>
      </c>
      <c r="N16" s="113" t="n">
        <v>0.8759999999999999</v>
      </c>
      <c r="O16" s="115">
        <f t="array" ref="O16">IF(
    AND($H16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($H16 / 1000) * O$10 * $BA$4 * 0.25
    ),
    0
)
+
IF(
    $N16 &lt; 0.875,
    MAX(0, MIN(($H16 / 1000) * O$10 * $BA$4, O$11 * 0.876) - (O$11 * $N16)) * 0.25,
    0
)</f>
        <v/>
      </c>
      <c r="P16" s="115">
        <f t="array" ref="P16">IF(
    AND($H16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($H16 / 1000) * P$10 * $BA$4 * 0.25
    ),
    0
)
+
IF(
    $N16 &lt; 0.875,
    MAX(0, MIN(($H16 / 1000) * P$10 * $BA$4, P$11 * 0.876) - (P$11 * $N16)) * 0.25,
    0
)</f>
        <v/>
      </c>
      <c r="Q16" s="115">
        <f t="array" ref="Q16">IF(
    AND($H16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($H16 / 1000) * Q$10 * $BA$4 * 0.25
    ),
    0
)
+
IF(
    $N16 &lt; 0.875,
    MAX(0, MIN(($H16 / 1000) * Q$10 * $BA$4, Q$11 * 0.876) - (Q$11 * $N16)) * 0.25,
    0
)</f>
        <v/>
      </c>
      <c r="R16" s="115">
        <f t="array" ref="R16">IF(
    AND($H16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($H16 / 1000) * R$10 * $BA$4 * 0.25
    ),
    0
)
+
IF(
    $N16 &lt; 0.875,
    MAX(0, MIN(($H16 / 1000) * R$10 * $BA$4, R$11 * 0.876) - (R$11 * $N16)) * 0.25,
    0
)</f>
        <v/>
      </c>
      <c r="S16" s="115">
        <f t="array" ref="S16">IF(
    AND($H16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($H16 / 1000) * S$10 * $BA$4 * 0.25
    ),
    0
)
+
IF(
    $N16 &lt; 0.875,
    MAX(0, MIN(($H16 / 1000) * S$10 * $BA$4, S$11 * 0.876) - (S$11 * $N16)) * 0.25,
    0
)</f>
        <v/>
      </c>
      <c r="T16" s="115">
        <f t="array" ref="T16">IF(
    AND($H16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($H16 / 1000) * T$10 * $BA$4 * 0.25
    ),
    0
)
+
IF(
    $N16 &lt; 0.875,
    MAX(0, MIN(($H16 / 1000) * T$10 * $BA$4, T$11 * 0.876) - (T$11 * $N16)) * 0.25,
    0
)</f>
        <v/>
      </c>
      <c r="U16" s="115">
        <f t="array" ref="U16">IF(
    AND($H16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($H16 / 1000) * U$10 * $BA$4 * 0.25
    ),
    0
)
+
IF(
    $N16 &lt; 0.875,
    MAX(0, MIN(($H16 / 1000) * U$10 * $BA$4, U$11 * 0.876) - (U$11 * $N16)) * 0.25,
    0
)</f>
        <v/>
      </c>
      <c r="V16" s="115">
        <f t="array" ref="V16">IF(
    AND($H16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($H16 / 1000) * V$10 * $BA$4 * 0.25
    ),
    0
)
+
IF(
    $N16 &lt; 0.875,
    MAX(0, MIN(($H16 / 1000) * V$10 * $BA$4, V$11 * 0.876) - (V$11 * $N16)) * 0.25,
    0
)</f>
        <v/>
      </c>
      <c r="W16" s="115">
        <f t="array" ref="W16">IF(
    AND($H16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($H16 / 1000) * W$10 * $BA$4 * 0.25
    ),
    0
)
+
IF(
    $N16 &lt; 0.875,
    MAX(0, MIN(($H16 / 1000) * W$10 * $BA$4, W$11 * 0.876) - (W$11 * $N16)) * 0.25,
    0
)</f>
        <v/>
      </c>
      <c r="X16" s="115">
        <f t="array" ref="X16">IF(
    AND($H16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($H16 / 1000) * X$10 * $BA$4 * 0.25
    ),
    0
)
+
IF(
    $N16 &lt; 0.875,
    MAX(0, MIN(($H16 / 1000) * X$10 * $BA$4, X$11 * 0.876) - (X$11 * $N16)) * 0.25,
    0
)</f>
        <v/>
      </c>
      <c r="Y16" s="115">
        <f t="array" ref="Y16">IF(
    AND($H16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($H16 / 1000) * Y$10 * $BA$4 * 0.25
    ),
    0
)
+
IF(
    $N16 &lt; 0.875,
    MAX(0, MIN(($H16 / 1000) * Y$10 * $BA$4, Y$11 * 0.876) - (Y$11 * $N16)) * 0.25,
    0
)</f>
        <v/>
      </c>
      <c r="Z16" s="115">
        <f t="array" ref="Z16">IF(
    AND($H16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($H16 / 1000) * Z$10 * $BA$4 * 0.25
    ),
    0
)
+
IF(
    $N16 &lt; 0.875,
    MAX(0, MIN(($H16 / 1000) * Z$10 * $BA$4, Z$11 * 0.876) - (Z$11 * $N16)) * 0.25,
    0
)</f>
        <v/>
      </c>
      <c r="AA16" s="116">
        <f>SUM(TabellaMar2026[[#This Row],[Colonna24]:[Colonna20]])</f>
        <v/>
      </c>
      <c r="AB16" s="117">
        <f>IF(
    AND($H16 &gt; $BA$7, Tabella01MarzoInverter[[#This Row],[Active power TX2-INV-1]] &lt;= 0, Tabella01MarzoInverter[[#This Row],[TX2 - Average Power]] &lt;= 0),
    MIN(($H16 / 1000) * AB$10 * $BA$4, AB$11 * 0.876) * 0.25,
    IF(
        AND($H16 &gt; $BA$7, Tabella01MarzoInverter[[#This Row],[Active power TX2-INV-1]] &lt;= 0),
        Tabella01MarzoInverter[[#This Row],[TX2 - Average Power]] * 0.25,
        0
    )
    +
    IF(
        $N16 &lt; 0.875,
        MAX(0, MIN(($H16 / 1000) * AB$10 * $BA$4, AB$11 * 0.876) - (AB$11 * $N16)) * 0.25,
        0
    )
)</f>
        <v/>
      </c>
      <c r="AC16" s="117">
        <f>IF(
    AND($H16 &gt; $BA$7, Tabella01MarzoInverter[[#This Row],[Active power TX2-INV-2]] &lt;= 0, Tabella01MarzoInverter[[#This Row],[TX2 - Max Power]] &lt;= 0),
    MIN(($H16 / 1000) * AC$10 * $BA$4, AC$11 * 0.876) * 0.25,
    IF(
        AND($H16 &gt; $BA$7, Tabella01MarzoInverter[[#This Row],[Active power TX2-INV-2]] &lt;= 0),
        Tabella01MarzoInverter[[#This Row],[TX2 - Max Power]] * 0.25,
        0
    )
    +
    IF(
        $N16 &lt; 0.875,
        MAX(0, MIN(($H16 / 1000) * AC$10 * $BA$4, AC$11 * 0.876) - (AC$11 * $N16)) * 0.25,
        0
    )
)</f>
        <v/>
      </c>
      <c r="AD16" s="117">
        <f>IF(
    AND($H16 &gt; $BA$7, Tabella01MarzoInverter[[#This Row],[Active power TX2-INV-3]] &lt;= 0, Tabella01MarzoInverter[[#This Row],[TX2 - Min Power]] &lt;= 0),
    MIN(($H16 / 1000) * AD$10 * $BA$4, AD$11 * 0.876) * 0.25,
    IF(
        AND($H16 &gt; $BA$7, Tabella01MarzoInverter[[#This Row],[Active power TX2-INV-3]] &lt;= 0),
        Tabella01MarzoInverter[[#This Row],[TX2 - Min Power]] * 0.25,
        0
    )
    +
    IF(
        $N16 &lt; 0.875,
        MAX(0, MIN(($H16 / 1000) * AD$10 * $BA$4, AD$11 * 0.876) - (AD$11 * $N16)) * 0.25,
        0
    )
)</f>
        <v/>
      </c>
      <c r="AE16" s="117">
        <f>IF(
    AND($H16 &gt; $BA$7, Tabella01MarzoInverter[[#This Row],[Active power TX2-INV-4]] &lt;= 0, Tabella01MarzoInverter[[#This Row],[Active power TX3-INV-1]] &lt;= 0),
    MIN(($H16 / 1000) * AE$10 * $BA$4, AE$11 * 0.876) * 0.25,
    IF(
        AND($H16 &gt; $BA$7, Tabella01MarzoInverter[[#This Row],[Active power TX2-INV-4]] &lt;= 0),
        Tabella01MarzoInverter[[#This Row],[Active power TX3-INV-1]] * 0.25,
        0
    )
    +
    IF(
        $N16 &lt; 0.875,
        MAX(0, MIN(($H16 / 1000) * AE$10 * $BA$4, AE$11 * 0.876) - (AE$11 * $N16)) * 0.25,
        0
    )
)</f>
        <v/>
      </c>
      <c r="AF16" s="117">
        <f>IF(
    AND($H16 &gt; $BA$7, Tabella01MarzoInverter[[#This Row],[Active power TX2-INV-5]] &lt;= 0, Tabella01MarzoInverter[[#This Row],[Active power TX3-INV-2]] &lt;= 0),
    MIN(($H16 / 1000) * AF$10 * $BA$4, AF$11 * 0.876) * 0.25,
    IF(
        AND($H16 &gt; $BA$7, Tabella01MarzoInverter[[#This Row],[Active power TX2-INV-5]] &lt;= 0),
        Tabella01MarzoInverter[[#This Row],[Active power TX3-INV-2]] * 0.25,
        0
    )
    +
    IF(
        $N16 &lt; 0.875,
        MAX(0, MIN(($H16 / 1000) * AF$10 * $BA$4, AF$11 * 0.876) - (AF$11 * $N16)) * 0.25,
        0
    )
)</f>
        <v/>
      </c>
      <c r="AG16" s="117">
        <f>IF(
    AND($H16 &gt; $BA$7, Tabella01MarzoInverter[[#This Row],[Active power TX2-INV-6]] &lt;= 0, Tabella01MarzoInverter[[#This Row],[Active power TX3-INV-3]] &lt;= 0),
    MIN(($H16 / 1000) * AG$10 * $BA$4, AG$11 * 0.876) * 0.25,
    IF(
        AND($H16 &gt; $BA$7, Tabella01MarzoInverter[[#This Row],[Active power TX2-INV-6]] &lt;= 0),
        Tabella01MarzoInverter[[#This Row],[Active power TX3-INV-3]] * 0.25,
        0
    )
    +
    IF(
        $N16 &lt; 0.875,
        MAX(0, MIN(($H16 / 1000) * AG$10 * $BA$4, AG$11 * 0.876) - (AG$11 * $N16)) * 0.25,
        0
    )
)</f>
        <v/>
      </c>
      <c r="AH16" s="117">
        <f>IF(
    AND($H16 &gt; $BA$7, Tabella01MarzoInverter[[#This Row],[Active power TX2-INV-7]] &lt;= 0, Tabella01MarzoInverter[[#This Row],[Active power TX3-INV-4]] &lt;= 0),
    MIN(($H16 / 1000) * AH$10 * $BA$4, AH$11 * 0.876) * 0.25,
    IF(
        AND($H16 &gt; $BA$7, Tabella01MarzoInverter[[#This Row],[Active power TX2-INV-7]] &lt;= 0),
        Tabella01MarzoInverter[[#This Row],[Active power TX3-INV-4]] * 0.25,
        0
    )
    +
    IF(
        $N16 &lt; 0.875,
        MAX(0, MIN(($H16 / 1000) * AH$10 * $BA$4, AH$11 * 0.876) - (AH$11 * $N16)) * 0.25,
        0
    )
)</f>
        <v/>
      </c>
      <c r="AI16" s="117">
        <f>IF(
    AND($H16 &gt; $BA$7, Tabella01MarzoInverter[[#This Row],[Active power TX2-INV-8]] &lt;= 0, Tabella01MarzoInverter[[#This Row],[Active power TX3-INV-5]] &lt;= 0),
    MIN(($H16 / 1000) * AI$10 * $BA$4, AI$11 * 0.876) * 0.25,
    IF(
        AND($H16 &gt; $BA$7, Tabella01MarzoInverter[[#This Row],[Active power TX2-INV-8]] &lt;= 0),
        Tabella01MarzoInverter[[#This Row],[Active power TX3-INV-5]] * 0.25,
        0
    )
    +
    IF(
        $N16 &lt; 0.875,
        MAX(0, MIN(($H16 / 1000) * AI$10 * $BA$4, AI$11 * 0.876) - (AI$11 * $N16)) * 0.25,
        0
    )
)</f>
        <v/>
      </c>
      <c r="AJ16" s="117">
        <f>IF(
    AND($H16 &gt; $BA$7, Tabella01MarzoInverter[[#This Row],[Active power TX2-INV-9]] &lt;= 0, Tabella01MarzoInverter[[#This Row],[Active power TX3-INV-6]] &lt;= 0),
    MIN(($H16 / 1000) * AJ$10 * $BA$4, AJ$11 * 0.876) * 0.25,
    IF(
        AND($H16 &gt; $BA$7, Tabella01MarzoInverter[[#This Row],[Active power TX2-INV-9]] &lt;= 0),
        Tabella01MarzoInverter[[#This Row],[Active power TX3-INV-6]] * 0.25,
        0
    )
    +
    IF(
        $N16 &lt; 0.875,
        MAX(0, MIN(($H16 / 1000) * AJ$10 * $BA$4, AJ$11 * 0.876) - (AJ$11 * $N16)) * 0.25,
        0
    )
)</f>
        <v/>
      </c>
      <c r="AK16" s="117">
        <f>IF(
    AND($H16 &gt; $BA$7, Tabella01MarzoInverter[[#This Row],[Active power TX2-INV-10]] &lt;= 0, Tabella01MarzoInverter[[#This Row],[Active power TX3-INV-7]] &lt;= 0),
    MIN(($H16 / 1000) * AK$10 * $BA$4, AK$11 * 0.876) * 0.25,
    IF(
        AND($H16 &gt; $BA$7, Tabella01MarzoInverter[[#This Row],[Active power TX2-INV-10]] &lt;= 0),
        Tabella01MarzoInverter[[#This Row],[Active power TX3-INV-7]] * 0.25,
        0
    )
    +
    IF(
        $N16 &lt; 0.875,
        MAX(0, MIN(($H16 / 1000) * AK$10 * $BA$4, AK$11 * 0.876) - (AK$11 * $N16)) * 0.25,
        0
    )
)</f>
        <v/>
      </c>
      <c r="AL16" s="117">
        <f>IF(
    AND($H16 &gt; $BA$7, Tabella01MarzoInverter[[#This Row],[Active power TX2-INV-11]] &lt;= 0, Tabella01MarzoInverter[[#This Row],[Active power TX3-INV-8]] &lt;= 0),
    MIN(($H16 / 1000) * AL$10 * $BA$4, AL$11 * 0.876) * 0.25,
    IF(
        AND($H16 &gt; $BA$7, Tabella01MarzoInverter[[#This Row],[Active power TX2-INV-11]] &lt;= 0),
        Tabella01MarzoInverter[[#This Row],[Active power TX3-INV-8]] * 0.25,
        0
    )
    +
    IF(
        $N16 &lt; 0.875,
        MAX(0, MIN(($H16 / 1000) * AL$10 * $BA$4, AL$11 * 0.876) - (AL$11 * $N16)) * 0.25,
        0
    )
)</f>
        <v/>
      </c>
      <c r="AM16" s="117">
        <f>IF(
    AND($H16 &gt; $BA$7, Tabella01MarzoInverter[[#This Row],[Active power TX2-INV-12]] &lt;= 0, Tabella01MarzoInverter[[#This Row],[Active power TX3-INV-9]] &lt;= 0),
    MIN(($H16 / 1000) * AM$10 * $BA$4, AM$11 * 0.876) * 0.25,
    IF(
        AND($H16 &gt; $BA$7, Tabella01MarzoInverter[[#This Row],[Active power TX2-INV-12]] &lt;= 0),
        Tabella01MarzoInverter[[#This Row],[Active power TX3-INV-9]] * 0.25,
        0
    )
    +
    IF(
        $N16 &lt; 0.875,
        MAX(0, MIN(($H16 / 1000) * AM$10 * $BA$4, AM$11 * 0.876) - (AM$11 * $N16)) * 0.25,
        0
    )
)</f>
        <v/>
      </c>
      <c r="AN16" s="118">
        <f>SUM(TabellaMar2026[[#This Row],[Colonna39]:[Colonna6]])</f>
        <v/>
      </c>
      <c r="AO16" s="117">
        <f t="array" ref="AO16">IF(
    AND($H16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($H16 / 1000) * AO$10 * $BA$4 * 0.25
    ),
    0
)
+
IF(
    $N16 &lt; 0.875,
    MAX(0, MIN(($H16 / 1000) * AO$10 * $BA$4, AO$11 * 0.876) - (AO$11 * $N16)) * 0.25,
    0
)</f>
        <v/>
      </c>
      <c r="AP16" s="117">
        <f t="array" ref="AP16">IF(
    AND($H16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($H16 / 1000) * AP$10 * $BA$4 * 0.25
    ),
    0
)
+
IF(
    $N16 &lt; 0.875,
    MAX(0, MIN(($H16 / 1000) * AP$10 * $BA$4, AP$11 * 0.876) - (AP$11 * $N16)) * 0.25,
    0
)</f>
        <v/>
      </c>
      <c r="AQ16" s="117">
        <f t="array" ref="AQ16">IF(
    AND($H16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($H16 / 1000) * AQ$10 * $BA$4 * 0.25
    ),
    0
)
+
IF(
    $N16 &lt; 0.875,
    MAX(0, MIN(($H16 / 1000) * AQ$10 * $BA$4, AQ$11 * 0.876) - (AQ$11 * $N16)) * 0.25,
    0
)</f>
        <v/>
      </c>
      <c r="AR16" s="117">
        <f t="array" ref="AR16">IF(
    AND($H16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($H16 / 1000) * AR$10 * $BA$4 * 0.25
    ),
    0
)
+
IF(
    $N16 &lt; 0.875,
    MAX(0, MIN(($H16 / 1000) * AR$10 * $BA$4, AR$11 * 0.876) - (AR$11 * $N16)) * 0.25,
    0
)</f>
        <v/>
      </c>
      <c r="AS16" s="117">
        <f t="array" ref="AS16">IF(
    AND($H16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($H16 / 1000) * AS$10 * $BA$4 * 0.25
    ),
    0
)
+
IF(
    $N16 &lt; 0.875,
    MAX(0, MIN(($H16 / 1000) * AS$10 * $BA$4, AS$11 * 0.876) - (AS$11 * $N16)) * 0.25,
    0
)</f>
        <v/>
      </c>
      <c r="AT16" s="117">
        <f t="array" ref="AT16">IF(
    AND($H16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($H16 / 1000) * AT$10 * $BA$4 * 0.25
    ),
    0
)
+
IF(
    $N16 &lt; 0.875,
    MAX(0, MIN(($H16 / 1000) * AT$10 * $BA$4, AT$11 * 0.876) - (AT$11 * $N16)) * 0.25,
    0
)</f>
        <v/>
      </c>
      <c r="AU16" s="117">
        <f t="array" ref="AU16">IF(
    AND($H16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($H16 / 1000) * AU$10 * $BA$4 * 0.25
    ),
    0
)
+
IF(
    $N16 &lt; 0.875,
    MAX(0, MIN(($H16 / 1000) * AU$10 * $BA$4, AU$11 * 0.876) - (AU$11 * $N16)) * 0.25,
    0
)</f>
        <v/>
      </c>
      <c r="AV16" s="117">
        <f t="array" ref="AV16">IF(
    AND($H16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($H16 / 1000) * AV$10 * $BA$4 * 0.25
    ),
    0
)
+
IF(
    $N16 &lt; 0.875,
    MAX(0, MIN(($H16 / 1000) * AV$10 * $BA$4, AV$11 * 0.876) - (AV$11 * $N16)) * 0.25,
    0
)</f>
        <v/>
      </c>
      <c r="AW16" s="117">
        <f t="array" ref="AW16">IF(
    AND($H16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($H16 / 1000) * AW$10 * $BA$4 * 0.25
    ),
    0
)
+
IF(
    $N16 &lt; 0.875,
    MAX(0, MIN(($H16 / 1000) * AW$10 * $BA$4, AW$11 * 0.876) - (AW$11 * $N16)) * 0.25,
    0
)</f>
        <v/>
      </c>
      <c r="AX16" s="117">
        <f t="array" ref="AX16">IF(
    AND($H16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($H16 / 1000) * AX$10 * $BA$4 * 0.25
    ),
    0
)
+
IF(
    $N16 &lt; 0.875,
    MAX(0, MIN(($H16 / 1000) * AX$10 * $BA$4, AX$11 * 0.876) - (AX$11 * $N16)) * 0.25,
    0
)</f>
        <v/>
      </c>
      <c r="AY16" s="117">
        <f t="array" ref="AY16">IF(
    AND($H16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($H16 / 1000) * AY$10 * $BA$4 * 0.25
    ),
    0
)
+
IF(
    $N16 &lt; 0.875,
    MAX(0, MIN(($H16 / 1000) * AY$10 * $BA$4, AY$11 * 0.876) - (AY$11 * $N16)) * 0.25,
    0
)</f>
        <v/>
      </c>
      <c r="AZ16" s="117">
        <f t="array" ref="AZ16">IF(
    AND($H16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($H16 / 1000) * AZ$10 * $BA$4 * 0.25
    ),
    0
)
+
IF(
    $N16 &lt; 0.875,
    MAX(0, MIN(($H16 / 1000) * AZ$10 * $BA$4, AZ$11 * 0.876) - (AZ$11 * $N16)) * 0.25,
    0
)</f>
        <v/>
      </c>
      <c r="BA16" s="119">
        <f>SUM(TabellaMar2026[[#This Row],[Colonna54]:[Colonna53]])</f>
        <v/>
      </c>
    </row>
    <row r="17" customFormat="1" s="1">
      <c r="A17" s="112" t="n">
        <v>46143</v>
      </c>
      <c r="B17" t="inlineStr">
        <is>
          <t>00:30:00.000</t>
        </is>
      </c>
      <c r="C17" s="2" t="n">
        <v>-1.1</v>
      </c>
      <c r="D17" s="113" t="n">
        <v>-0.000275</v>
      </c>
      <c r="E17" s="113" t="n">
        <v>-0.8</v>
      </c>
      <c r="F17" s="113" t="n">
        <v>-0.0002</v>
      </c>
      <c r="G17" s="113">
        <f>IFERROR((D17+F17)/2, 0)</f>
        <v/>
      </c>
      <c r="H17" s="114">
        <f>IFERROR(IF(AVERAGE(C17,E17)&gt;$BA$7,AVERAGE(C17,E17),0), 0)</f>
        <v/>
      </c>
      <c r="I17" s="114">
        <f>IFERROR(IF(AND(D17=0,F17=0),0,IF(H17&gt;$BA$6,MAX(D17,F17),G17)), 0)</f>
        <v/>
      </c>
      <c r="J17" s="113">
        <f>IFERROR(IF(AND(D17&gt;0,F17&gt;0),ABS(D17-F17)/AVERAGE(D17,F17),0), 0)</f>
        <v/>
      </c>
      <c r="K17" s="113" t="n">
        <v>30098.6</v>
      </c>
      <c r="L17" s="113" t="n">
        <v>30098.6</v>
      </c>
      <c r="M17" s="115">
        <f>IFERROR((L17-K17)*1000, 0)</f>
        <v/>
      </c>
      <c r="N17" s="113" t="n">
        <v>0.8759999999999999</v>
      </c>
      <c r="O17" s="115">
        <f t="array" ref="O17">IF(
    AND($H17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($H17 / 1000) * O$10 * $BA$4 * 0.25
    ),
    0
)
+
IF(
    $N17 &lt; 0.875,
    MAX(0, MIN(($H17 / 1000) * O$10 * $BA$4, O$11 * 0.876) - (O$11 * $N17)) * 0.25,
    0
)</f>
        <v/>
      </c>
      <c r="P17" s="115">
        <f t="array" ref="P17">IF(
    AND($H17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($H17 / 1000) * P$10 * $BA$4 * 0.25
    ),
    0
)
+
IF(
    $N17 &lt; 0.875,
    MAX(0, MIN(($H17 / 1000) * P$10 * $BA$4, P$11 * 0.876) - (P$11 * $N17)) * 0.25,
    0
)</f>
        <v/>
      </c>
      <c r="Q17" s="115">
        <f t="array" ref="Q17">IF(
    AND($H17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($H17 / 1000) * Q$10 * $BA$4 * 0.25
    ),
    0
)
+
IF(
    $N17 &lt; 0.875,
    MAX(0, MIN(($H17 / 1000) * Q$10 * $BA$4, Q$11 * 0.876) - (Q$11 * $N17)) * 0.25,
    0
)</f>
        <v/>
      </c>
      <c r="R17" s="115">
        <f t="array" ref="R17">IF(
    AND($H17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($H17 / 1000) * R$10 * $BA$4 * 0.25
    ),
    0
)
+
IF(
    $N17 &lt; 0.875,
    MAX(0, MIN(($H17 / 1000) * R$10 * $BA$4, R$11 * 0.876) - (R$11 * $N17)) * 0.25,
    0
)</f>
        <v/>
      </c>
      <c r="S17" s="115">
        <f t="array" ref="S17">IF(
    AND($H17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($H17 / 1000) * S$10 * $BA$4 * 0.25
    ),
    0
)
+
IF(
    $N17 &lt; 0.875,
    MAX(0, MIN(($H17 / 1000) * S$10 * $BA$4, S$11 * 0.876) - (S$11 * $N17)) * 0.25,
    0
)</f>
        <v/>
      </c>
      <c r="T17" s="115">
        <f t="array" ref="T17">IF(
    AND($H17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($H17 / 1000) * T$10 * $BA$4 * 0.25
    ),
    0
)
+
IF(
    $N17 &lt; 0.875,
    MAX(0, MIN(($H17 / 1000) * T$10 * $BA$4, T$11 * 0.876) - (T$11 * $N17)) * 0.25,
    0
)</f>
        <v/>
      </c>
      <c r="U17" s="115">
        <f t="array" ref="U17">IF(
    AND($H17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($H17 / 1000) * U$10 * $BA$4 * 0.25
    ),
    0
)
+
IF(
    $N17 &lt; 0.875,
    MAX(0, MIN(($H17 / 1000) * U$10 * $BA$4, U$11 * 0.876) - (U$11 * $N17)) * 0.25,
    0
)</f>
        <v/>
      </c>
      <c r="V17" s="115">
        <f t="array" ref="V17">IF(
    AND($H17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($H17 / 1000) * V$10 * $BA$4 * 0.25
    ),
    0
)
+
IF(
    $N17 &lt; 0.875,
    MAX(0, MIN(($H17 / 1000) * V$10 * $BA$4, V$11 * 0.876) - (V$11 * $N17)) * 0.25,
    0
)</f>
        <v/>
      </c>
      <c r="W17" s="115">
        <f t="array" ref="W17">IF(
    AND($H17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($H17 / 1000) * W$10 * $BA$4 * 0.25
    ),
    0
)
+
IF(
    $N17 &lt; 0.875,
    MAX(0, MIN(($H17 / 1000) * W$10 * $BA$4, W$11 * 0.876) - (W$11 * $N17)) * 0.25,
    0
)</f>
        <v/>
      </c>
      <c r="X17" s="115">
        <f t="array" ref="X17">IF(
    AND($H17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($H17 / 1000) * X$10 * $BA$4 * 0.25
    ),
    0
)
+
IF(
    $N17 &lt; 0.875,
    MAX(0, MIN(($H17 / 1000) * X$10 * $BA$4, X$11 * 0.876) - (X$11 * $N17)) * 0.25,
    0
)</f>
        <v/>
      </c>
      <c r="Y17" s="115">
        <f t="array" ref="Y17">IF(
    AND($H17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($H17 / 1000) * Y$10 * $BA$4 * 0.25
    ),
    0
)
+
IF(
    $N17 &lt; 0.875,
    MAX(0, MIN(($H17 / 1000) * Y$10 * $BA$4, Y$11 * 0.876) - (Y$11 * $N17)) * 0.25,
    0
)</f>
        <v/>
      </c>
      <c r="Z17" s="115">
        <f t="array" ref="Z17">IF(
    AND($H17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($H17 / 1000) * Z$10 * $BA$4 * 0.25
    ),
    0
)
+
IF(
    $N17 &lt; 0.875,
    MAX(0, MIN(($H17 / 1000) * Z$10 * $BA$4, Z$11 * 0.876) - (Z$11 * $N17)) * 0.25,
    0
)</f>
        <v/>
      </c>
      <c r="AA17" s="116">
        <f>SUM(TabellaMar2026[[#This Row],[Colonna24]:[Colonna20]])</f>
        <v/>
      </c>
      <c r="AB17" s="117">
        <f>IF(
    AND($H17 &gt; $BA$7, Tabella01MarzoInverter[[#This Row],[Active power TX2-INV-1]] &lt;= 0, Tabella01MarzoInverter[[#This Row],[TX2 - Average Power]] &lt;= 0),
    MIN(($H17 / 1000) * AB$10 * $BA$4, AB$11 * 0.876) * 0.25,
    IF(
        AND($H17 &gt; $BA$7, Tabella01MarzoInverter[[#This Row],[Active power TX2-INV-1]] &lt;= 0),
        Tabella01MarzoInverter[[#This Row],[TX2 - Average Power]] * 0.25,
        0
    )
    +
    IF(
        $N17 &lt; 0.875,
        MAX(0, MIN(($H17 / 1000) * AB$10 * $BA$4, AB$11 * 0.876) - (AB$11 * $N17)) * 0.25,
        0
    )
)</f>
        <v/>
      </c>
      <c r="AC17" s="117">
        <f>IF(
    AND($H17 &gt; $BA$7, Tabella01MarzoInverter[[#This Row],[Active power TX2-INV-2]] &lt;= 0, Tabella01MarzoInverter[[#This Row],[TX2 - Max Power]] &lt;= 0),
    MIN(($H17 / 1000) * AC$10 * $BA$4, AC$11 * 0.876) * 0.25,
    IF(
        AND($H17 &gt; $BA$7, Tabella01MarzoInverter[[#This Row],[Active power TX2-INV-2]] &lt;= 0),
        Tabella01MarzoInverter[[#This Row],[TX2 - Max Power]] * 0.25,
        0
    )
    +
    IF(
        $N17 &lt; 0.875,
        MAX(0, MIN(($H17 / 1000) * AC$10 * $BA$4, AC$11 * 0.876) - (AC$11 * $N17)) * 0.25,
        0
    )
)</f>
        <v/>
      </c>
      <c r="AD17" s="117">
        <f>IF(
    AND($H17 &gt; $BA$7, Tabella01MarzoInverter[[#This Row],[Active power TX2-INV-3]] &lt;= 0, Tabella01MarzoInverter[[#This Row],[TX2 - Min Power]] &lt;= 0),
    MIN(($H17 / 1000) * AD$10 * $BA$4, AD$11 * 0.876) * 0.25,
    IF(
        AND($H17 &gt; $BA$7, Tabella01MarzoInverter[[#This Row],[Active power TX2-INV-3]] &lt;= 0),
        Tabella01MarzoInverter[[#This Row],[TX2 - Min Power]] * 0.25,
        0
    )
    +
    IF(
        $N17 &lt; 0.875,
        MAX(0, MIN(($H17 / 1000) * AD$10 * $BA$4, AD$11 * 0.876) - (AD$11 * $N17)) * 0.25,
        0
    )
)</f>
        <v/>
      </c>
      <c r="AE17" s="117">
        <f>IF(
    AND($H17 &gt; $BA$7, Tabella01MarzoInverter[[#This Row],[Active power TX2-INV-4]] &lt;= 0, Tabella01MarzoInverter[[#This Row],[Active power TX3-INV-1]] &lt;= 0),
    MIN(($H17 / 1000) * AE$10 * $BA$4, AE$11 * 0.876) * 0.25,
    IF(
        AND($H17 &gt; $BA$7, Tabella01MarzoInverter[[#This Row],[Active power TX2-INV-4]] &lt;= 0),
        Tabella01MarzoInverter[[#This Row],[Active power TX3-INV-1]] * 0.25,
        0
    )
    +
    IF(
        $N17 &lt; 0.875,
        MAX(0, MIN(($H17 / 1000) * AE$10 * $BA$4, AE$11 * 0.876) - (AE$11 * $N17)) * 0.25,
        0
    )
)</f>
        <v/>
      </c>
      <c r="AF17" s="117">
        <f>IF(
    AND($H17 &gt; $BA$7, Tabella01MarzoInverter[[#This Row],[Active power TX2-INV-5]] &lt;= 0, Tabella01MarzoInverter[[#This Row],[Active power TX3-INV-2]] &lt;= 0),
    MIN(($H17 / 1000) * AF$10 * $BA$4, AF$11 * 0.876) * 0.25,
    IF(
        AND($H17 &gt; $BA$7, Tabella01MarzoInverter[[#This Row],[Active power TX2-INV-5]] &lt;= 0),
        Tabella01MarzoInverter[[#This Row],[Active power TX3-INV-2]] * 0.25,
        0
    )
    +
    IF(
        $N17 &lt; 0.875,
        MAX(0, MIN(($H17 / 1000) * AF$10 * $BA$4, AF$11 * 0.876) - (AF$11 * $N17)) * 0.25,
        0
    )
)</f>
        <v/>
      </c>
      <c r="AG17" s="117">
        <f>IF(
    AND($H17 &gt; $BA$7, Tabella01MarzoInverter[[#This Row],[Active power TX2-INV-6]] &lt;= 0, Tabella01MarzoInverter[[#This Row],[Active power TX3-INV-3]] &lt;= 0),
    MIN(($H17 / 1000) * AG$10 * $BA$4, AG$11 * 0.876) * 0.25,
    IF(
        AND($H17 &gt; $BA$7, Tabella01MarzoInverter[[#This Row],[Active power TX2-INV-6]] &lt;= 0),
        Tabella01MarzoInverter[[#This Row],[Active power TX3-INV-3]] * 0.25,
        0
    )
    +
    IF(
        $N17 &lt; 0.875,
        MAX(0, MIN(($H17 / 1000) * AG$10 * $BA$4, AG$11 * 0.876) - (AG$11 * $N17)) * 0.25,
        0
    )
)</f>
        <v/>
      </c>
      <c r="AH17" s="117">
        <f>IF(
    AND($H17 &gt; $BA$7, Tabella01MarzoInverter[[#This Row],[Active power TX2-INV-7]] &lt;= 0, Tabella01MarzoInverter[[#This Row],[Active power TX3-INV-4]] &lt;= 0),
    MIN(($H17 / 1000) * AH$10 * $BA$4, AH$11 * 0.876) * 0.25,
    IF(
        AND($H17 &gt; $BA$7, Tabella01MarzoInverter[[#This Row],[Active power TX2-INV-7]] &lt;= 0),
        Tabella01MarzoInverter[[#This Row],[Active power TX3-INV-4]] * 0.25,
        0
    )
    +
    IF(
        $N17 &lt; 0.875,
        MAX(0, MIN(($H17 / 1000) * AH$10 * $BA$4, AH$11 * 0.876) - (AH$11 * $N17)) * 0.25,
        0
    )
)</f>
        <v/>
      </c>
      <c r="AI17" s="117">
        <f>IF(
    AND($H17 &gt; $BA$7, Tabella01MarzoInverter[[#This Row],[Active power TX2-INV-8]] &lt;= 0, Tabella01MarzoInverter[[#This Row],[Active power TX3-INV-5]] &lt;= 0),
    MIN(($H17 / 1000) * AI$10 * $BA$4, AI$11 * 0.876) * 0.25,
    IF(
        AND($H17 &gt; $BA$7, Tabella01MarzoInverter[[#This Row],[Active power TX2-INV-8]] &lt;= 0),
        Tabella01MarzoInverter[[#This Row],[Active power TX3-INV-5]] * 0.25,
        0
    )
    +
    IF(
        $N17 &lt; 0.875,
        MAX(0, MIN(($H17 / 1000) * AI$10 * $BA$4, AI$11 * 0.876) - (AI$11 * $N17)) * 0.25,
        0
    )
)</f>
        <v/>
      </c>
      <c r="AJ17" s="117">
        <f>IF(
    AND($H17 &gt; $BA$7, Tabella01MarzoInverter[[#This Row],[Active power TX2-INV-9]] &lt;= 0, Tabella01MarzoInverter[[#This Row],[Active power TX3-INV-6]] &lt;= 0),
    MIN(($H17 / 1000) * AJ$10 * $BA$4, AJ$11 * 0.876) * 0.25,
    IF(
        AND($H17 &gt; $BA$7, Tabella01MarzoInverter[[#This Row],[Active power TX2-INV-9]] &lt;= 0),
        Tabella01MarzoInverter[[#This Row],[Active power TX3-INV-6]] * 0.25,
        0
    )
    +
    IF(
        $N17 &lt; 0.875,
        MAX(0, MIN(($H17 / 1000) * AJ$10 * $BA$4, AJ$11 * 0.876) - (AJ$11 * $N17)) * 0.25,
        0
    )
)</f>
        <v/>
      </c>
      <c r="AK17" s="117">
        <f>IF(
    AND($H17 &gt; $BA$7, Tabella01MarzoInverter[[#This Row],[Active power TX2-INV-10]] &lt;= 0, Tabella01MarzoInverter[[#This Row],[Active power TX3-INV-7]] &lt;= 0),
    MIN(($H17 / 1000) * AK$10 * $BA$4, AK$11 * 0.876) * 0.25,
    IF(
        AND($H17 &gt; $BA$7, Tabella01MarzoInverter[[#This Row],[Active power TX2-INV-10]] &lt;= 0),
        Tabella01MarzoInverter[[#This Row],[Active power TX3-INV-7]] * 0.25,
        0
    )
    +
    IF(
        $N17 &lt; 0.875,
        MAX(0, MIN(($H17 / 1000) * AK$10 * $BA$4, AK$11 * 0.876) - (AK$11 * $N17)) * 0.25,
        0
    )
)</f>
        <v/>
      </c>
      <c r="AL17" s="117">
        <f>IF(
    AND($H17 &gt; $BA$7, Tabella01MarzoInverter[[#This Row],[Active power TX2-INV-11]] &lt;= 0, Tabella01MarzoInverter[[#This Row],[Active power TX3-INV-8]] &lt;= 0),
    MIN(($H17 / 1000) * AL$10 * $BA$4, AL$11 * 0.876) * 0.25,
    IF(
        AND($H17 &gt; $BA$7, Tabella01MarzoInverter[[#This Row],[Active power TX2-INV-11]] &lt;= 0),
        Tabella01MarzoInverter[[#This Row],[Active power TX3-INV-8]] * 0.25,
        0
    )
    +
    IF(
        $N17 &lt; 0.875,
        MAX(0, MIN(($H17 / 1000) * AL$10 * $BA$4, AL$11 * 0.876) - (AL$11 * $N17)) * 0.25,
        0
    )
)</f>
        <v/>
      </c>
      <c r="AM17" s="117">
        <f>IF(
    AND($H17 &gt; $BA$7, Tabella01MarzoInverter[[#This Row],[Active power TX2-INV-12]] &lt;= 0, Tabella01MarzoInverter[[#This Row],[Active power TX3-INV-9]] &lt;= 0),
    MIN(($H17 / 1000) * AM$10 * $BA$4, AM$11 * 0.876) * 0.25,
    IF(
        AND($H17 &gt; $BA$7, Tabella01MarzoInverter[[#This Row],[Active power TX2-INV-12]] &lt;= 0),
        Tabella01MarzoInverter[[#This Row],[Active power TX3-INV-9]] * 0.25,
        0
    )
    +
    IF(
        $N17 &lt; 0.875,
        MAX(0, MIN(($H17 / 1000) * AM$10 * $BA$4, AM$11 * 0.876) - (AM$11 * $N17)) * 0.25,
        0
    )
)</f>
        <v/>
      </c>
      <c r="AN17" s="118">
        <f>SUM(TabellaMar2026[[#This Row],[Colonna39]:[Colonna6]])</f>
        <v/>
      </c>
      <c r="AO17" s="117">
        <f t="array" ref="AO17">IF(
    AND($H17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($H17 / 1000) * AO$10 * $BA$4 * 0.25
    ),
    0
)
+
IF(
    $N17 &lt; 0.875,
    MAX(0, MIN(($H17 / 1000) * AO$10 * $BA$4, AO$11 * 0.876) - (AO$11 * $N17)) * 0.25,
    0
)</f>
        <v/>
      </c>
      <c r="AP17" s="117">
        <f t="array" ref="AP17">IF(
    AND($H17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($H17 / 1000) * AP$10 * $BA$4 * 0.25
    ),
    0
)
+
IF(
    $N17 &lt; 0.875,
    MAX(0, MIN(($H17 / 1000) * AP$10 * $BA$4, AP$11 * 0.876) - (AP$11 * $N17)) * 0.25,
    0
)</f>
        <v/>
      </c>
      <c r="AQ17" s="117">
        <f t="array" ref="AQ17">IF(
    AND($H17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($H17 / 1000) * AQ$10 * $BA$4 * 0.25
    ),
    0
)
+
IF(
    $N17 &lt; 0.875,
    MAX(0, MIN(($H17 / 1000) * AQ$10 * $BA$4, AQ$11 * 0.876) - (AQ$11 * $N17)) * 0.25,
    0
)</f>
        <v/>
      </c>
      <c r="AR17" s="117">
        <f t="array" ref="AR17">IF(
    AND($H17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($H17 / 1000) * AR$10 * $BA$4 * 0.25
    ),
    0
)
+
IF(
    $N17 &lt; 0.875,
    MAX(0, MIN(($H17 / 1000) * AR$10 * $BA$4, AR$11 * 0.876) - (AR$11 * $N17)) * 0.25,
    0
)</f>
        <v/>
      </c>
      <c r="AS17" s="117">
        <f t="array" ref="AS17">IF(
    AND($H17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($H17 / 1000) * AS$10 * $BA$4 * 0.25
    ),
    0
)
+
IF(
    $N17 &lt; 0.875,
    MAX(0, MIN(($H17 / 1000) * AS$10 * $BA$4, AS$11 * 0.876) - (AS$11 * $N17)) * 0.25,
    0
)</f>
        <v/>
      </c>
      <c r="AT17" s="117">
        <f t="array" ref="AT17">IF(
    AND($H17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($H17 / 1000) * AT$10 * $BA$4 * 0.25
    ),
    0
)
+
IF(
    $N17 &lt; 0.875,
    MAX(0, MIN(($H17 / 1000) * AT$10 * $BA$4, AT$11 * 0.876) - (AT$11 * $N17)) * 0.25,
    0
)</f>
        <v/>
      </c>
      <c r="AU17" s="117">
        <f t="array" ref="AU17">IF(
    AND($H17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($H17 / 1000) * AU$10 * $BA$4 * 0.25
    ),
    0
)
+
IF(
    $N17 &lt; 0.875,
    MAX(0, MIN(($H17 / 1000) * AU$10 * $BA$4, AU$11 * 0.876) - (AU$11 * $N17)) * 0.25,
    0
)</f>
        <v/>
      </c>
      <c r="AV17" s="117">
        <f t="array" ref="AV17">IF(
    AND($H17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($H17 / 1000) * AV$10 * $BA$4 * 0.25
    ),
    0
)
+
IF(
    $N17 &lt; 0.875,
    MAX(0, MIN(($H17 / 1000) * AV$10 * $BA$4, AV$11 * 0.876) - (AV$11 * $N17)) * 0.25,
    0
)</f>
        <v/>
      </c>
      <c r="AW17" s="117">
        <f t="array" ref="AW17">IF(
    AND($H17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($H17 / 1000) * AW$10 * $BA$4 * 0.25
    ),
    0
)
+
IF(
    $N17 &lt; 0.875,
    MAX(0, MIN(($H17 / 1000) * AW$10 * $BA$4, AW$11 * 0.876) - (AW$11 * $N17)) * 0.25,
    0
)</f>
        <v/>
      </c>
      <c r="AX17" s="117">
        <f t="array" ref="AX17">IF(
    AND($H17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($H17 / 1000) * AX$10 * $BA$4 * 0.25
    ),
    0
)
+
IF(
    $N17 &lt; 0.875,
    MAX(0, MIN(($H17 / 1000) * AX$10 * $BA$4, AX$11 * 0.876) - (AX$11 * $N17)) * 0.25,
    0
)</f>
        <v/>
      </c>
      <c r="AY17" s="117">
        <f t="array" ref="AY17">IF(
    AND($H17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($H17 / 1000) * AY$10 * $BA$4 * 0.25
    ),
    0
)
+
IF(
    $N17 &lt; 0.875,
    MAX(0, MIN(($H17 / 1000) * AY$10 * $BA$4, AY$11 * 0.876) - (AY$11 * $N17)) * 0.25,
    0
)</f>
        <v/>
      </c>
      <c r="AZ17" s="117">
        <f t="array" ref="AZ17">IF(
    AND($H17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($H17 / 1000) * AZ$10 * $BA$4 * 0.25
    ),
    0
)
+
IF(
    $N17 &lt; 0.875,
    MAX(0, MIN(($H17 / 1000) * AZ$10 * $BA$4, AZ$11 * 0.876) - (AZ$11 * $N17)) * 0.25,
    0
)</f>
        <v/>
      </c>
      <c r="BA17" s="119">
        <f>SUM(TabellaMar2026[[#This Row],[Colonna54]:[Colonna53]])</f>
        <v/>
      </c>
    </row>
    <row r="18" customFormat="1" s="1">
      <c r="A18" s="112" t="n">
        <v>46143</v>
      </c>
      <c r="B18" t="inlineStr">
        <is>
          <t>00:45:00.000</t>
        </is>
      </c>
      <c r="C18" s="2" t="n">
        <v>-1</v>
      </c>
      <c r="D18" s="113" t="n">
        <v>-0.00025</v>
      </c>
      <c r="E18" s="113" t="n">
        <v>-0.4</v>
      </c>
      <c r="F18" s="113" t="n">
        <v>-0.0001</v>
      </c>
      <c r="G18" s="113">
        <f>IFERROR((D18+F18)/2, 0)</f>
        <v/>
      </c>
      <c r="H18" s="114">
        <f>IFERROR(IF(AVERAGE(C18,E18)&gt;$BA$7,AVERAGE(C18,E18),0), 0)</f>
        <v/>
      </c>
      <c r="I18" s="114">
        <f>IFERROR(IF(AND(D18=0,F18=0),0,IF(H18&gt;$BA$6,MAX(D18,F18),G18)), 0)</f>
        <v/>
      </c>
      <c r="J18" s="113">
        <f>IFERROR(IF(AND(D18&gt;0,F18&gt;0),ABS(D18-F18)/AVERAGE(D18,F18),0), 0)</f>
        <v/>
      </c>
      <c r="K18" s="113" t="n">
        <v>30098.6</v>
      </c>
      <c r="L18" s="113" t="n">
        <v>30098.6</v>
      </c>
      <c r="M18" s="115">
        <f>IFERROR((L18-K18)*1000, 0)</f>
        <v/>
      </c>
      <c r="N18" s="113" t="n">
        <v>0.8759999999999999</v>
      </c>
      <c r="O18" s="115">
        <f t="array" ref="O18">IF(
    AND($H18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($H18 / 1000) * O$10 * $BA$4 * 0.25
    ),
    0
)
+
IF(
    $N18 &lt; 0.875,
    MAX(0, MIN(($H18 / 1000) * O$10 * $BA$4, O$11 * 0.876) - (O$11 * $N18)) * 0.25,
    0
)</f>
        <v/>
      </c>
      <c r="P18" s="115">
        <f t="array" ref="P18">IF(
    AND($H18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($H18 / 1000) * P$10 * $BA$4 * 0.25
    ),
    0
)
+
IF(
    $N18 &lt; 0.875,
    MAX(0, MIN(($H18 / 1000) * P$10 * $BA$4, P$11 * 0.876) - (P$11 * $N18)) * 0.25,
    0
)</f>
        <v/>
      </c>
      <c r="Q18" s="115">
        <f t="array" ref="Q18">IF(
    AND($H18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($H18 / 1000) * Q$10 * $BA$4 * 0.25
    ),
    0
)
+
IF(
    $N18 &lt; 0.875,
    MAX(0, MIN(($H18 / 1000) * Q$10 * $BA$4, Q$11 * 0.876) - (Q$11 * $N18)) * 0.25,
    0
)</f>
        <v/>
      </c>
      <c r="R18" s="115">
        <f t="array" ref="R18">IF(
    AND($H18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($H18 / 1000) * R$10 * $BA$4 * 0.25
    ),
    0
)
+
IF(
    $N18 &lt; 0.875,
    MAX(0, MIN(($H18 / 1000) * R$10 * $BA$4, R$11 * 0.876) - (R$11 * $N18)) * 0.25,
    0
)</f>
        <v/>
      </c>
      <c r="S18" s="115">
        <f t="array" ref="S18">IF(
    AND($H18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($H18 / 1000) * S$10 * $BA$4 * 0.25
    ),
    0
)
+
IF(
    $N18 &lt; 0.875,
    MAX(0, MIN(($H18 / 1000) * S$10 * $BA$4, S$11 * 0.876) - (S$11 * $N18)) * 0.25,
    0
)</f>
        <v/>
      </c>
      <c r="T18" s="115">
        <f t="array" ref="T18">IF(
    AND($H18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($H18 / 1000) * T$10 * $BA$4 * 0.25
    ),
    0
)
+
IF(
    $N18 &lt; 0.875,
    MAX(0, MIN(($H18 / 1000) * T$10 * $BA$4, T$11 * 0.876) - (T$11 * $N18)) * 0.25,
    0
)</f>
        <v/>
      </c>
      <c r="U18" s="115">
        <f t="array" ref="U18">IF(
    AND($H18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($H18 / 1000) * U$10 * $BA$4 * 0.25
    ),
    0
)
+
IF(
    $N18 &lt; 0.875,
    MAX(0, MIN(($H18 / 1000) * U$10 * $BA$4, U$11 * 0.876) - (U$11 * $N18)) * 0.25,
    0
)</f>
        <v/>
      </c>
      <c r="V18" s="115">
        <f t="array" ref="V18">IF(
    AND($H18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($H18 / 1000) * V$10 * $BA$4 * 0.25
    ),
    0
)
+
IF(
    $N18 &lt; 0.875,
    MAX(0, MIN(($H18 / 1000) * V$10 * $BA$4, V$11 * 0.876) - (V$11 * $N18)) * 0.25,
    0
)</f>
        <v/>
      </c>
      <c r="W18" s="115">
        <f t="array" ref="W18">IF(
    AND($H18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($H18 / 1000) * W$10 * $BA$4 * 0.25
    ),
    0
)
+
IF(
    $N18 &lt; 0.875,
    MAX(0, MIN(($H18 / 1000) * W$10 * $BA$4, W$11 * 0.876) - (W$11 * $N18)) * 0.25,
    0
)</f>
        <v/>
      </c>
      <c r="X18" s="115">
        <f t="array" ref="X18">IF(
    AND($H18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($H18 / 1000) * X$10 * $BA$4 * 0.25
    ),
    0
)
+
IF(
    $N18 &lt; 0.875,
    MAX(0, MIN(($H18 / 1000) * X$10 * $BA$4, X$11 * 0.876) - (X$11 * $N18)) * 0.25,
    0
)</f>
        <v/>
      </c>
      <c r="Y18" s="115">
        <f t="array" ref="Y18">IF(
    AND($H18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($H18 / 1000) * Y$10 * $BA$4 * 0.25
    ),
    0
)
+
IF(
    $N18 &lt; 0.875,
    MAX(0, MIN(($H18 / 1000) * Y$10 * $BA$4, Y$11 * 0.876) - (Y$11 * $N18)) * 0.25,
    0
)</f>
        <v/>
      </c>
      <c r="Z18" s="115">
        <f t="array" ref="Z18">IF(
    AND($H18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($H18 / 1000) * Z$10 * $BA$4 * 0.25
    ),
    0
)
+
IF(
    $N18 &lt; 0.875,
    MAX(0, MIN(($H18 / 1000) * Z$10 * $BA$4, Z$11 * 0.876) - (Z$11 * $N18)) * 0.25,
    0
)</f>
        <v/>
      </c>
      <c r="AA18" s="116">
        <f>SUM(TabellaMar2026[[#This Row],[Colonna24]:[Colonna20]])</f>
        <v/>
      </c>
      <c r="AB18" s="117">
        <f>IF(
    AND($H18 &gt; $BA$7, Tabella01MarzoInverter[[#This Row],[Active power TX2-INV-1]] &lt;= 0, Tabella01MarzoInverter[[#This Row],[TX2 - Average Power]] &lt;= 0),
    MIN(($H18 / 1000) * AB$10 * $BA$4, AB$11 * 0.876) * 0.25,
    IF(
        AND($H18 &gt; $BA$7, Tabella01MarzoInverter[[#This Row],[Active power TX2-INV-1]] &lt;= 0),
        Tabella01MarzoInverter[[#This Row],[TX2 - Average Power]] * 0.25,
        0
    )
    +
    IF(
        $N18 &lt; 0.875,
        MAX(0, MIN(($H18 / 1000) * AB$10 * $BA$4, AB$11 * 0.876) - (AB$11 * $N18)) * 0.25,
        0
    )
)</f>
        <v/>
      </c>
      <c r="AC18" s="117">
        <f>IF(
    AND($H18 &gt; $BA$7, Tabella01MarzoInverter[[#This Row],[Active power TX2-INV-2]] &lt;= 0, Tabella01MarzoInverter[[#This Row],[TX2 - Max Power]] &lt;= 0),
    MIN(($H18 / 1000) * AC$10 * $BA$4, AC$11 * 0.876) * 0.25,
    IF(
        AND($H18 &gt; $BA$7, Tabella01MarzoInverter[[#This Row],[Active power TX2-INV-2]] &lt;= 0),
        Tabella01MarzoInverter[[#This Row],[TX2 - Max Power]] * 0.25,
        0
    )
    +
    IF(
        $N18 &lt; 0.875,
        MAX(0, MIN(($H18 / 1000) * AC$10 * $BA$4, AC$11 * 0.876) - (AC$11 * $N18)) * 0.25,
        0
    )
)</f>
        <v/>
      </c>
      <c r="AD18" s="117">
        <f>IF(
    AND($H18 &gt; $BA$7, Tabella01MarzoInverter[[#This Row],[Active power TX2-INV-3]] &lt;= 0, Tabella01MarzoInverter[[#This Row],[TX2 - Min Power]] &lt;= 0),
    MIN(($H18 / 1000) * AD$10 * $BA$4, AD$11 * 0.876) * 0.25,
    IF(
        AND($H18 &gt; $BA$7, Tabella01MarzoInverter[[#This Row],[Active power TX2-INV-3]] &lt;= 0),
        Tabella01MarzoInverter[[#This Row],[TX2 - Min Power]] * 0.25,
        0
    )
    +
    IF(
        $N18 &lt; 0.875,
        MAX(0, MIN(($H18 / 1000) * AD$10 * $BA$4, AD$11 * 0.876) - (AD$11 * $N18)) * 0.25,
        0
    )
)</f>
        <v/>
      </c>
      <c r="AE18" s="117">
        <f>IF(
    AND($H18 &gt; $BA$7, Tabella01MarzoInverter[[#This Row],[Active power TX2-INV-4]] &lt;= 0, Tabella01MarzoInverter[[#This Row],[Active power TX3-INV-1]] &lt;= 0),
    MIN(($H18 / 1000) * AE$10 * $BA$4, AE$11 * 0.876) * 0.25,
    IF(
        AND($H18 &gt; $BA$7, Tabella01MarzoInverter[[#This Row],[Active power TX2-INV-4]] &lt;= 0),
        Tabella01MarzoInverter[[#This Row],[Active power TX3-INV-1]] * 0.25,
        0
    )
    +
    IF(
        $N18 &lt; 0.875,
        MAX(0, MIN(($H18 / 1000) * AE$10 * $BA$4, AE$11 * 0.876) - (AE$11 * $N18)) * 0.25,
        0
    )
)</f>
        <v/>
      </c>
      <c r="AF18" s="117">
        <f>IF(
    AND($H18 &gt; $BA$7, Tabella01MarzoInverter[[#This Row],[Active power TX2-INV-5]] &lt;= 0, Tabella01MarzoInverter[[#This Row],[Active power TX3-INV-2]] &lt;= 0),
    MIN(($H18 / 1000) * AF$10 * $BA$4, AF$11 * 0.876) * 0.25,
    IF(
        AND($H18 &gt; $BA$7, Tabella01MarzoInverter[[#This Row],[Active power TX2-INV-5]] &lt;= 0),
        Tabella01MarzoInverter[[#This Row],[Active power TX3-INV-2]] * 0.25,
        0
    )
    +
    IF(
        $N18 &lt; 0.875,
        MAX(0, MIN(($H18 / 1000) * AF$10 * $BA$4, AF$11 * 0.876) - (AF$11 * $N18)) * 0.25,
        0
    )
)</f>
        <v/>
      </c>
      <c r="AG18" s="117">
        <f>IF(
    AND($H18 &gt; $BA$7, Tabella01MarzoInverter[[#This Row],[Active power TX2-INV-6]] &lt;= 0, Tabella01MarzoInverter[[#This Row],[Active power TX3-INV-3]] &lt;= 0),
    MIN(($H18 / 1000) * AG$10 * $BA$4, AG$11 * 0.876) * 0.25,
    IF(
        AND($H18 &gt; $BA$7, Tabella01MarzoInverter[[#This Row],[Active power TX2-INV-6]] &lt;= 0),
        Tabella01MarzoInverter[[#This Row],[Active power TX3-INV-3]] * 0.25,
        0
    )
    +
    IF(
        $N18 &lt; 0.875,
        MAX(0, MIN(($H18 / 1000) * AG$10 * $BA$4, AG$11 * 0.876) - (AG$11 * $N18)) * 0.25,
        0
    )
)</f>
        <v/>
      </c>
      <c r="AH18" s="117">
        <f>IF(
    AND($H18 &gt; $BA$7, Tabella01MarzoInverter[[#This Row],[Active power TX2-INV-7]] &lt;= 0, Tabella01MarzoInverter[[#This Row],[Active power TX3-INV-4]] &lt;= 0),
    MIN(($H18 / 1000) * AH$10 * $BA$4, AH$11 * 0.876) * 0.25,
    IF(
        AND($H18 &gt; $BA$7, Tabella01MarzoInverter[[#This Row],[Active power TX2-INV-7]] &lt;= 0),
        Tabella01MarzoInverter[[#This Row],[Active power TX3-INV-4]] * 0.25,
        0
    )
    +
    IF(
        $N18 &lt; 0.875,
        MAX(0, MIN(($H18 / 1000) * AH$10 * $BA$4, AH$11 * 0.876) - (AH$11 * $N18)) * 0.25,
        0
    )
)</f>
        <v/>
      </c>
      <c r="AI18" s="117">
        <f>IF(
    AND($H18 &gt; $BA$7, Tabella01MarzoInverter[[#This Row],[Active power TX2-INV-8]] &lt;= 0, Tabella01MarzoInverter[[#This Row],[Active power TX3-INV-5]] &lt;= 0),
    MIN(($H18 / 1000) * AI$10 * $BA$4, AI$11 * 0.876) * 0.25,
    IF(
        AND($H18 &gt; $BA$7, Tabella01MarzoInverter[[#This Row],[Active power TX2-INV-8]] &lt;= 0),
        Tabella01MarzoInverter[[#This Row],[Active power TX3-INV-5]] * 0.25,
        0
    )
    +
    IF(
        $N18 &lt; 0.875,
        MAX(0, MIN(($H18 / 1000) * AI$10 * $BA$4, AI$11 * 0.876) - (AI$11 * $N18)) * 0.25,
        0
    )
)</f>
        <v/>
      </c>
      <c r="AJ18" s="117">
        <f>IF(
    AND($H18 &gt; $BA$7, Tabella01MarzoInverter[[#This Row],[Active power TX2-INV-9]] &lt;= 0, Tabella01MarzoInverter[[#This Row],[Active power TX3-INV-6]] &lt;= 0),
    MIN(($H18 / 1000) * AJ$10 * $BA$4, AJ$11 * 0.876) * 0.25,
    IF(
        AND($H18 &gt; $BA$7, Tabella01MarzoInverter[[#This Row],[Active power TX2-INV-9]] &lt;= 0),
        Tabella01MarzoInverter[[#This Row],[Active power TX3-INV-6]] * 0.25,
        0
    )
    +
    IF(
        $N18 &lt; 0.875,
        MAX(0, MIN(($H18 / 1000) * AJ$10 * $BA$4, AJ$11 * 0.876) - (AJ$11 * $N18)) * 0.25,
        0
    )
)</f>
        <v/>
      </c>
      <c r="AK18" s="117">
        <f>IF(
    AND($H18 &gt; $BA$7, Tabella01MarzoInverter[[#This Row],[Active power TX2-INV-10]] &lt;= 0, Tabella01MarzoInverter[[#This Row],[Active power TX3-INV-7]] &lt;= 0),
    MIN(($H18 / 1000) * AK$10 * $BA$4, AK$11 * 0.876) * 0.25,
    IF(
        AND($H18 &gt; $BA$7, Tabella01MarzoInverter[[#This Row],[Active power TX2-INV-10]] &lt;= 0),
        Tabella01MarzoInverter[[#This Row],[Active power TX3-INV-7]] * 0.25,
        0
    )
    +
    IF(
        $N18 &lt; 0.875,
        MAX(0, MIN(($H18 / 1000) * AK$10 * $BA$4, AK$11 * 0.876) - (AK$11 * $N18)) * 0.25,
        0
    )
)</f>
        <v/>
      </c>
      <c r="AL18" s="117">
        <f>IF(
    AND($H18 &gt; $BA$7, Tabella01MarzoInverter[[#This Row],[Active power TX2-INV-11]] &lt;= 0, Tabella01MarzoInverter[[#This Row],[Active power TX3-INV-8]] &lt;= 0),
    MIN(($H18 / 1000) * AL$10 * $BA$4, AL$11 * 0.876) * 0.25,
    IF(
        AND($H18 &gt; $BA$7, Tabella01MarzoInverter[[#This Row],[Active power TX2-INV-11]] &lt;= 0),
        Tabella01MarzoInverter[[#This Row],[Active power TX3-INV-8]] * 0.25,
        0
    )
    +
    IF(
        $N18 &lt; 0.875,
        MAX(0, MIN(($H18 / 1000) * AL$10 * $BA$4, AL$11 * 0.876) - (AL$11 * $N18)) * 0.25,
        0
    )
)</f>
        <v/>
      </c>
      <c r="AM18" s="117">
        <f>IF(
    AND($H18 &gt; $BA$7, Tabella01MarzoInverter[[#This Row],[Active power TX2-INV-12]] &lt;= 0, Tabella01MarzoInverter[[#This Row],[Active power TX3-INV-9]] &lt;= 0),
    MIN(($H18 / 1000) * AM$10 * $BA$4, AM$11 * 0.876) * 0.25,
    IF(
        AND($H18 &gt; $BA$7, Tabella01MarzoInverter[[#This Row],[Active power TX2-INV-12]] &lt;= 0),
        Tabella01MarzoInverter[[#This Row],[Active power TX3-INV-9]] * 0.25,
        0
    )
    +
    IF(
        $N18 &lt; 0.875,
        MAX(0, MIN(($H18 / 1000) * AM$10 * $BA$4, AM$11 * 0.876) - (AM$11 * $N18)) * 0.25,
        0
    )
)</f>
        <v/>
      </c>
      <c r="AN18" s="118">
        <f>SUM(TabellaMar2026[[#This Row],[Colonna39]:[Colonna6]])</f>
        <v/>
      </c>
      <c r="AO18" s="117">
        <f t="array" ref="AO18">IF(
    AND($H18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($H18 / 1000) * AO$10 * $BA$4 * 0.25
    ),
    0
)
+
IF(
    $N18 &lt; 0.875,
    MAX(0, MIN(($H18 / 1000) * AO$10 * $BA$4, AO$11 * 0.876) - (AO$11 * $N18)) * 0.25,
    0
)</f>
        <v/>
      </c>
      <c r="AP18" s="117">
        <f t="array" ref="AP18">IF(
    AND($H18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($H18 / 1000) * AP$10 * $BA$4 * 0.25
    ),
    0
)
+
IF(
    $N18 &lt; 0.875,
    MAX(0, MIN(($H18 / 1000) * AP$10 * $BA$4, AP$11 * 0.876) - (AP$11 * $N18)) * 0.25,
    0
)</f>
        <v/>
      </c>
      <c r="AQ18" s="117">
        <f t="array" ref="AQ18">IF(
    AND($H18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($H18 / 1000) * AQ$10 * $BA$4 * 0.25
    ),
    0
)
+
IF(
    $N18 &lt; 0.875,
    MAX(0, MIN(($H18 / 1000) * AQ$10 * $BA$4, AQ$11 * 0.876) - (AQ$11 * $N18)) * 0.25,
    0
)</f>
        <v/>
      </c>
      <c r="AR18" s="117">
        <f t="array" ref="AR18">IF(
    AND($H18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($H18 / 1000) * AR$10 * $BA$4 * 0.25
    ),
    0
)
+
IF(
    $N18 &lt; 0.875,
    MAX(0, MIN(($H18 / 1000) * AR$10 * $BA$4, AR$11 * 0.876) - (AR$11 * $N18)) * 0.25,
    0
)</f>
        <v/>
      </c>
      <c r="AS18" s="117">
        <f t="array" ref="AS18">IF(
    AND($H18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($H18 / 1000) * AS$10 * $BA$4 * 0.25
    ),
    0
)
+
IF(
    $N18 &lt; 0.875,
    MAX(0, MIN(($H18 / 1000) * AS$10 * $BA$4, AS$11 * 0.876) - (AS$11 * $N18)) * 0.25,
    0
)</f>
        <v/>
      </c>
      <c r="AT18" s="117">
        <f t="array" ref="AT18">IF(
    AND($H18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($H18 / 1000) * AT$10 * $BA$4 * 0.25
    ),
    0
)
+
IF(
    $N18 &lt; 0.875,
    MAX(0, MIN(($H18 / 1000) * AT$10 * $BA$4, AT$11 * 0.876) - (AT$11 * $N18)) * 0.25,
    0
)</f>
        <v/>
      </c>
      <c r="AU18" s="117">
        <f t="array" ref="AU18">IF(
    AND($H18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($H18 / 1000) * AU$10 * $BA$4 * 0.25
    ),
    0
)
+
IF(
    $N18 &lt; 0.875,
    MAX(0, MIN(($H18 / 1000) * AU$10 * $BA$4, AU$11 * 0.876) - (AU$11 * $N18)) * 0.25,
    0
)</f>
        <v/>
      </c>
      <c r="AV18" s="117">
        <f t="array" ref="AV18">IF(
    AND($H18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($H18 / 1000) * AV$10 * $BA$4 * 0.25
    ),
    0
)
+
IF(
    $N18 &lt; 0.875,
    MAX(0, MIN(($H18 / 1000) * AV$10 * $BA$4, AV$11 * 0.876) - (AV$11 * $N18)) * 0.25,
    0
)</f>
        <v/>
      </c>
      <c r="AW18" s="117">
        <f t="array" ref="AW18">IF(
    AND($H18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($H18 / 1000) * AW$10 * $BA$4 * 0.25
    ),
    0
)
+
IF(
    $N18 &lt; 0.875,
    MAX(0, MIN(($H18 / 1000) * AW$10 * $BA$4, AW$11 * 0.876) - (AW$11 * $N18)) * 0.25,
    0
)</f>
        <v/>
      </c>
      <c r="AX18" s="117">
        <f t="array" ref="AX18">IF(
    AND($H18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($H18 / 1000) * AX$10 * $BA$4 * 0.25
    ),
    0
)
+
IF(
    $N18 &lt; 0.875,
    MAX(0, MIN(($H18 / 1000) * AX$10 * $BA$4, AX$11 * 0.876) - (AX$11 * $N18)) * 0.25,
    0
)</f>
        <v/>
      </c>
      <c r="AY18" s="117">
        <f t="array" ref="AY18">IF(
    AND($H18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($H18 / 1000) * AY$10 * $BA$4 * 0.25
    ),
    0
)
+
IF(
    $N18 &lt; 0.875,
    MAX(0, MIN(($H18 / 1000) * AY$10 * $BA$4, AY$11 * 0.876) - (AY$11 * $N18)) * 0.25,
    0
)</f>
        <v/>
      </c>
      <c r="AZ18" s="117">
        <f t="array" ref="AZ18">IF(
    AND($H18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($H18 / 1000) * AZ$10 * $BA$4 * 0.25
    ),
    0
)
+
IF(
    $N18 &lt; 0.875,
    MAX(0, MIN(($H18 / 1000) * AZ$10 * $BA$4, AZ$11 * 0.876) - (AZ$11 * $N18)) * 0.25,
    0
)</f>
        <v/>
      </c>
      <c r="BA18" s="119">
        <f>SUM(TabellaMar2026[[#This Row],[Colonna54]:[Colonna53]])</f>
        <v/>
      </c>
    </row>
    <row r="19" customFormat="1" s="1">
      <c r="A19" s="112" t="n">
        <v>46143</v>
      </c>
      <c r="B19" t="inlineStr">
        <is>
          <t>01:00:00.000</t>
        </is>
      </c>
      <c r="C19" s="2" t="n">
        <v>-0.5</v>
      </c>
      <c r="D19" s="113" t="n">
        <v>-0.000125</v>
      </c>
      <c r="E19" s="113" t="n">
        <v>-0.3</v>
      </c>
      <c r="F19" s="113" t="n">
        <v>-7.499999999999999e-05</v>
      </c>
      <c r="G19" s="113">
        <f>IFERROR((D19+F19)/2, 0)</f>
        <v/>
      </c>
      <c r="H19" s="114">
        <f>IFERROR(IF(AVERAGE(C19,E19)&gt;$BA$7,AVERAGE(C19,E19),0), 0)</f>
        <v/>
      </c>
      <c r="I19" s="114">
        <f>IFERROR(IF(AND(D19=0,F19=0),0,IF(H19&gt;$BA$6,MAX(D19,F19),G19)), 0)</f>
        <v/>
      </c>
      <c r="J19" s="113">
        <f>IFERROR(IF(AND(D19&gt;0,F19&gt;0),ABS(D19-F19)/AVERAGE(D19,F19),0), 0)</f>
        <v/>
      </c>
      <c r="K19" s="113" t="n">
        <v>30098.6</v>
      </c>
      <c r="L19" s="113" t="n">
        <v>30098.6</v>
      </c>
      <c r="M19" s="115">
        <f>IFERROR((L19-K19)*1000, 0)</f>
        <v/>
      </c>
      <c r="N19" s="113" t="n">
        <v>0.8759999999999999</v>
      </c>
      <c r="O19" s="115">
        <f t="array" ref="O19">IF(
    AND($H19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($H19 / 1000) * O$10 * $BA$4 * 0.25
    ),
    0
)
+
IF(
    $N19 &lt; 0.875,
    MAX(0, MIN(($H19 / 1000) * O$10 * $BA$4, O$11 * 0.876) - (O$11 * $N19)) * 0.25,
    0
)</f>
        <v/>
      </c>
      <c r="P19" s="115">
        <f t="array" ref="P19">IF(
    AND($H19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($H19 / 1000) * P$10 * $BA$4 * 0.25
    ),
    0
)
+
IF(
    $N19 &lt; 0.875,
    MAX(0, MIN(($H19 / 1000) * P$10 * $BA$4, P$11 * 0.876) - (P$11 * $N19)) * 0.25,
    0
)</f>
        <v/>
      </c>
      <c r="Q19" s="115">
        <f t="array" ref="Q19">IF(
    AND($H19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($H19 / 1000) * Q$10 * $BA$4 * 0.25
    ),
    0
)
+
IF(
    $N19 &lt; 0.875,
    MAX(0, MIN(($H19 / 1000) * Q$10 * $BA$4, Q$11 * 0.876) - (Q$11 * $N19)) * 0.25,
    0
)</f>
        <v/>
      </c>
      <c r="R19" s="115">
        <f t="array" ref="R19">IF(
    AND($H19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($H19 / 1000) * R$10 * $BA$4 * 0.25
    ),
    0
)
+
IF(
    $N19 &lt; 0.875,
    MAX(0, MIN(($H19 / 1000) * R$10 * $BA$4, R$11 * 0.876) - (R$11 * $N19)) * 0.25,
    0
)</f>
        <v/>
      </c>
      <c r="S19" s="115">
        <f t="array" ref="S19">IF(
    AND($H19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($H19 / 1000) * S$10 * $BA$4 * 0.25
    ),
    0
)
+
IF(
    $N19 &lt; 0.875,
    MAX(0, MIN(($H19 / 1000) * S$10 * $BA$4, S$11 * 0.876) - (S$11 * $N19)) * 0.25,
    0
)</f>
        <v/>
      </c>
      <c r="T19" s="115">
        <f t="array" ref="T19">IF(
    AND($H19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($H19 / 1000) * T$10 * $BA$4 * 0.25
    ),
    0
)
+
IF(
    $N19 &lt; 0.875,
    MAX(0, MIN(($H19 / 1000) * T$10 * $BA$4, T$11 * 0.876) - (T$11 * $N19)) * 0.25,
    0
)</f>
        <v/>
      </c>
      <c r="U19" s="115">
        <f t="array" ref="U19">IF(
    AND($H19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($H19 / 1000) * U$10 * $BA$4 * 0.25
    ),
    0
)
+
IF(
    $N19 &lt; 0.875,
    MAX(0, MIN(($H19 / 1000) * U$10 * $BA$4, U$11 * 0.876) - (U$11 * $N19)) * 0.25,
    0
)</f>
        <v/>
      </c>
      <c r="V19" s="115">
        <f t="array" ref="V19">IF(
    AND($H19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($H19 / 1000) * V$10 * $BA$4 * 0.25
    ),
    0
)
+
IF(
    $N19 &lt; 0.875,
    MAX(0, MIN(($H19 / 1000) * V$10 * $BA$4, V$11 * 0.876) - (V$11 * $N19)) * 0.25,
    0
)</f>
        <v/>
      </c>
      <c r="W19" s="115">
        <f t="array" ref="W19">IF(
    AND($H19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($H19 / 1000) * W$10 * $BA$4 * 0.25
    ),
    0
)
+
IF(
    $N19 &lt; 0.875,
    MAX(0, MIN(($H19 / 1000) * W$10 * $BA$4, W$11 * 0.876) - (W$11 * $N19)) * 0.25,
    0
)</f>
        <v/>
      </c>
      <c r="X19" s="115">
        <f t="array" ref="X19">IF(
    AND($H19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($H19 / 1000) * X$10 * $BA$4 * 0.25
    ),
    0
)
+
IF(
    $N19 &lt; 0.875,
    MAX(0, MIN(($H19 / 1000) * X$10 * $BA$4, X$11 * 0.876) - (X$11 * $N19)) * 0.25,
    0
)</f>
        <v/>
      </c>
      <c r="Y19" s="115">
        <f t="array" ref="Y19">IF(
    AND($H19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($H19 / 1000) * Y$10 * $BA$4 * 0.25
    ),
    0
)
+
IF(
    $N19 &lt; 0.875,
    MAX(0, MIN(($H19 / 1000) * Y$10 * $BA$4, Y$11 * 0.876) - (Y$11 * $N19)) * 0.25,
    0
)</f>
        <v/>
      </c>
      <c r="Z19" s="115">
        <f t="array" ref="Z19">IF(
    AND($H19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($H19 / 1000) * Z$10 * $BA$4 * 0.25
    ),
    0
)
+
IF(
    $N19 &lt; 0.875,
    MAX(0, MIN(($H19 / 1000) * Z$10 * $BA$4, Z$11 * 0.876) - (Z$11 * $N19)) * 0.25,
    0
)</f>
        <v/>
      </c>
      <c r="AA19" s="116">
        <f>SUM(TabellaMar2026[[#This Row],[Colonna24]:[Colonna20]])</f>
        <v/>
      </c>
      <c r="AB19" s="117">
        <f>IF(
    AND($H19 &gt; $BA$7, Tabella01MarzoInverter[[#This Row],[Active power TX2-INV-1]] &lt;= 0, Tabella01MarzoInverter[[#This Row],[TX2 - Average Power]] &lt;= 0),
    MIN(($H19 / 1000) * AB$10 * $BA$4, AB$11 * 0.876) * 0.25,
    IF(
        AND($H19 &gt; $BA$7, Tabella01MarzoInverter[[#This Row],[Active power TX2-INV-1]] &lt;= 0),
        Tabella01MarzoInverter[[#This Row],[TX2 - Average Power]] * 0.25,
        0
    )
    +
    IF(
        $N19 &lt; 0.875,
        MAX(0, MIN(($H19 / 1000) * AB$10 * $BA$4, AB$11 * 0.876) - (AB$11 * $N19)) * 0.25,
        0
    )
)</f>
        <v/>
      </c>
      <c r="AC19" s="117">
        <f>IF(
    AND($H19 &gt; $BA$7, Tabella01MarzoInverter[[#This Row],[Active power TX2-INV-2]] &lt;= 0, Tabella01MarzoInverter[[#This Row],[TX2 - Max Power]] &lt;= 0),
    MIN(($H19 / 1000) * AC$10 * $BA$4, AC$11 * 0.876) * 0.25,
    IF(
        AND($H19 &gt; $BA$7, Tabella01MarzoInverter[[#This Row],[Active power TX2-INV-2]] &lt;= 0),
        Tabella01MarzoInverter[[#This Row],[TX2 - Max Power]] * 0.25,
        0
    )
    +
    IF(
        $N19 &lt; 0.875,
        MAX(0, MIN(($H19 / 1000) * AC$10 * $BA$4, AC$11 * 0.876) - (AC$11 * $N19)) * 0.25,
        0
    )
)</f>
        <v/>
      </c>
      <c r="AD19" s="117">
        <f>IF(
    AND($H19 &gt; $BA$7, Tabella01MarzoInverter[[#This Row],[Active power TX2-INV-3]] &lt;= 0, Tabella01MarzoInverter[[#This Row],[TX2 - Min Power]] &lt;= 0),
    MIN(($H19 / 1000) * AD$10 * $BA$4, AD$11 * 0.876) * 0.25,
    IF(
        AND($H19 &gt; $BA$7, Tabella01MarzoInverter[[#This Row],[Active power TX2-INV-3]] &lt;= 0),
        Tabella01MarzoInverter[[#This Row],[TX2 - Min Power]] * 0.25,
        0
    )
    +
    IF(
        $N19 &lt; 0.875,
        MAX(0, MIN(($H19 / 1000) * AD$10 * $BA$4, AD$11 * 0.876) - (AD$11 * $N19)) * 0.25,
        0
    )
)</f>
        <v/>
      </c>
      <c r="AE19" s="117">
        <f>IF(
    AND($H19 &gt; $BA$7, Tabella01MarzoInverter[[#This Row],[Active power TX2-INV-4]] &lt;= 0, Tabella01MarzoInverter[[#This Row],[Active power TX3-INV-1]] &lt;= 0),
    MIN(($H19 / 1000) * AE$10 * $BA$4, AE$11 * 0.876) * 0.25,
    IF(
        AND($H19 &gt; $BA$7, Tabella01MarzoInverter[[#This Row],[Active power TX2-INV-4]] &lt;= 0),
        Tabella01MarzoInverter[[#This Row],[Active power TX3-INV-1]] * 0.25,
        0
    )
    +
    IF(
        $N19 &lt; 0.875,
        MAX(0, MIN(($H19 / 1000) * AE$10 * $BA$4, AE$11 * 0.876) - (AE$11 * $N19)) * 0.25,
        0
    )
)</f>
        <v/>
      </c>
      <c r="AF19" s="117">
        <f>IF(
    AND($H19 &gt; $BA$7, Tabella01MarzoInverter[[#This Row],[Active power TX2-INV-5]] &lt;= 0, Tabella01MarzoInverter[[#This Row],[Active power TX3-INV-2]] &lt;= 0),
    MIN(($H19 / 1000) * AF$10 * $BA$4, AF$11 * 0.876) * 0.25,
    IF(
        AND($H19 &gt; $BA$7, Tabella01MarzoInverter[[#This Row],[Active power TX2-INV-5]] &lt;= 0),
        Tabella01MarzoInverter[[#This Row],[Active power TX3-INV-2]] * 0.25,
        0
    )
    +
    IF(
        $N19 &lt; 0.875,
        MAX(0, MIN(($H19 / 1000) * AF$10 * $BA$4, AF$11 * 0.876) - (AF$11 * $N19)) * 0.25,
        0
    )
)</f>
        <v/>
      </c>
      <c r="AG19" s="117">
        <f>IF(
    AND($H19 &gt; $BA$7, Tabella01MarzoInverter[[#This Row],[Active power TX2-INV-6]] &lt;= 0, Tabella01MarzoInverter[[#This Row],[Active power TX3-INV-3]] &lt;= 0),
    MIN(($H19 / 1000) * AG$10 * $BA$4, AG$11 * 0.876) * 0.25,
    IF(
        AND($H19 &gt; $BA$7, Tabella01MarzoInverter[[#This Row],[Active power TX2-INV-6]] &lt;= 0),
        Tabella01MarzoInverter[[#This Row],[Active power TX3-INV-3]] * 0.25,
        0
    )
    +
    IF(
        $N19 &lt; 0.875,
        MAX(0, MIN(($H19 / 1000) * AG$10 * $BA$4, AG$11 * 0.876) - (AG$11 * $N19)) * 0.25,
        0
    )
)</f>
        <v/>
      </c>
      <c r="AH19" s="117">
        <f>IF(
    AND($H19 &gt; $BA$7, Tabella01MarzoInverter[[#This Row],[Active power TX2-INV-7]] &lt;= 0, Tabella01MarzoInverter[[#This Row],[Active power TX3-INV-4]] &lt;= 0),
    MIN(($H19 / 1000) * AH$10 * $BA$4, AH$11 * 0.876) * 0.25,
    IF(
        AND($H19 &gt; $BA$7, Tabella01MarzoInverter[[#This Row],[Active power TX2-INV-7]] &lt;= 0),
        Tabella01MarzoInverter[[#This Row],[Active power TX3-INV-4]] * 0.25,
        0
    )
    +
    IF(
        $N19 &lt; 0.875,
        MAX(0, MIN(($H19 / 1000) * AH$10 * $BA$4, AH$11 * 0.876) - (AH$11 * $N19)) * 0.25,
        0
    )
)</f>
        <v/>
      </c>
      <c r="AI19" s="117">
        <f>IF(
    AND($H19 &gt; $BA$7, Tabella01MarzoInverter[[#This Row],[Active power TX2-INV-8]] &lt;= 0, Tabella01MarzoInverter[[#This Row],[Active power TX3-INV-5]] &lt;= 0),
    MIN(($H19 / 1000) * AI$10 * $BA$4, AI$11 * 0.876) * 0.25,
    IF(
        AND($H19 &gt; $BA$7, Tabella01MarzoInverter[[#This Row],[Active power TX2-INV-8]] &lt;= 0),
        Tabella01MarzoInverter[[#This Row],[Active power TX3-INV-5]] * 0.25,
        0
    )
    +
    IF(
        $N19 &lt; 0.875,
        MAX(0, MIN(($H19 / 1000) * AI$10 * $BA$4, AI$11 * 0.876) - (AI$11 * $N19)) * 0.25,
        0
    )
)</f>
        <v/>
      </c>
      <c r="AJ19" s="117">
        <f>IF(
    AND($H19 &gt; $BA$7, Tabella01MarzoInverter[[#This Row],[Active power TX2-INV-9]] &lt;= 0, Tabella01MarzoInverter[[#This Row],[Active power TX3-INV-6]] &lt;= 0),
    MIN(($H19 / 1000) * AJ$10 * $BA$4, AJ$11 * 0.876) * 0.25,
    IF(
        AND($H19 &gt; $BA$7, Tabella01MarzoInverter[[#This Row],[Active power TX2-INV-9]] &lt;= 0),
        Tabella01MarzoInverter[[#This Row],[Active power TX3-INV-6]] * 0.25,
        0
    )
    +
    IF(
        $N19 &lt; 0.875,
        MAX(0, MIN(($H19 / 1000) * AJ$10 * $BA$4, AJ$11 * 0.876) - (AJ$11 * $N19)) * 0.25,
        0
    )
)</f>
        <v/>
      </c>
      <c r="AK19" s="117">
        <f>IF(
    AND($H19 &gt; $BA$7, Tabella01MarzoInverter[[#This Row],[Active power TX2-INV-10]] &lt;= 0, Tabella01MarzoInverter[[#This Row],[Active power TX3-INV-7]] &lt;= 0),
    MIN(($H19 / 1000) * AK$10 * $BA$4, AK$11 * 0.876) * 0.25,
    IF(
        AND($H19 &gt; $BA$7, Tabella01MarzoInverter[[#This Row],[Active power TX2-INV-10]] &lt;= 0),
        Tabella01MarzoInverter[[#This Row],[Active power TX3-INV-7]] * 0.25,
        0
    )
    +
    IF(
        $N19 &lt; 0.875,
        MAX(0, MIN(($H19 / 1000) * AK$10 * $BA$4, AK$11 * 0.876) - (AK$11 * $N19)) * 0.25,
        0
    )
)</f>
        <v/>
      </c>
      <c r="AL19" s="117">
        <f>IF(
    AND($H19 &gt; $BA$7, Tabella01MarzoInverter[[#This Row],[Active power TX2-INV-11]] &lt;= 0, Tabella01MarzoInverter[[#This Row],[Active power TX3-INV-8]] &lt;= 0),
    MIN(($H19 / 1000) * AL$10 * $BA$4, AL$11 * 0.876) * 0.25,
    IF(
        AND($H19 &gt; $BA$7, Tabella01MarzoInverter[[#This Row],[Active power TX2-INV-11]] &lt;= 0),
        Tabella01MarzoInverter[[#This Row],[Active power TX3-INV-8]] * 0.25,
        0
    )
    +
    IF(
        $N19 &lt; 0.875,
        MAX(0, MIN(($H19 / 1000) * AL$10 * $BA$4, AL$11 * 0.876) - (AL$11 * $N19)) * 0.25,
        0
    )
)</f>
        <v/>
      </c>
      <c r="AM19" s="117">
        <f>IF(
    AND($H19 &gt; $BA$7, Tabella01MarzoInverter[[#This Row],[Active power TX2-INV-12]] &lt;= 0, Tabella01MarzoInverter[[#This Row],[Active power TX3-INV-9]] &lt;= 0),
    MIN(($H19 / 1000) * AM$10 * $BA$4, AM$11 * 0.876) * 0.25,
    IF(
        AND($H19 &gt; $BA$7, Tabella01MarzoInverter[[#This Row],[Active power TX2-INV-12]] &lt;= 0),
        Tabella01MarzoInverter[[#This Row],[Active power TX3-INV-9]] * 0.25,
        0
    )
    +
    IF(
        $N19 &lt; 0.875,
        MAX(0, MIN(($H19 / 1000) * AM$10 * $BA$4, AM$11 * 0.876) - (AM$11 * $N19)) * 0.25,
        0
    )
)</f>
        <v/>
      </c>
      <c r="AN19" s="118">
        <f>SUM(TabellaMar2026[[#This Row],[Colonna39]:[Colonna6]])</f>
        <v/>
      </c>
      <c r="AO19" s="117">
        <f t="array" ref="AO19">IF(
    AND($H19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($H19 / 1000) * AO$10 * $BA$4 * 0.25
    ),
    0
)
+
IF(
    $N19 &lt; 0.875,
    MAX(0, MIN(($H19 / 1000) * AO$10 * $BA$4, AO$11 * 0.876) - (AO$11 * $N19)) * 0.25,
    0
)</f>
        <v/>
      </c>
      <c r="AP19" s="117">
        <f t="array" ref="AP19">IF(
    AND($H19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($H19 / 1000) * AP$10 * $BA$4 * 0.25
    ),
    0
)
+
IF(
    $N19 &lt; 0.875,
    MAX(0, MIN(($H19 / 1000) * AP$10 * $BA$4, AP$11 * 0.876) - (AP$11 * $N19)) * 0.25,
    0
)</f>
        <v/>
      </c>
      <c r="AQ19" s="117">
        <f t="array" ref="AQ19">IF(
    AND($H19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($H19 / 1000) * AQ$10 * $BA$4 * 0.25
    ),
    0
)
+
IF(
    $N19 &lt; 0.875,
    MAX(0, MIN(($H19 / 1000) * AQ$10 * $BA$4, AQ$11 * 0.876) - (AQ$11 * $N19)) * 0.25,
    0
)</f>
        <v/>
      </c>
      <c r="AR19" s="117">
        <f t="array" ref="AR19">IF(
    AND($H19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($H19 / 1000) * AR$10 * $BA$4 * 0.25
    ),
    0
)
+
IF(
    $N19 &lt; 0.875,
    MAX(0, MIN(($H19 / 1000) * AR$10 * $BA$4, AR$11 * 0.876) - (AR$11 * $N19)) * 0.25,
    0
)</f>
        <v/>
      </c>
      <c r="AS19" s="117">
        <f t="array" ref="AS19">IF(
    AND($H19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($H19 / 1000) * AS$10 * $BA$4 * 0.25
    ),
    0
)
+
IF(
    $N19 &lt; 0.875,
    MAX(0, MIN(($H19 / 1000) * AS$10 * $BA$4, AS$11 * 0.876) - (AS$11 * $N19)) * 0.25,
    0
)</f>
        <v/>
      </c>
      <c r="AT19" s="117">
        <f t="array" ref="AT19">IF(
    AND($H19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($H19 / 1000) * AT$10 * $BA$4 * 0.25
    ),
    0
)
+
IF(
    $N19 &lt; 0.875,
    MAX(0, MIN(($H19 / 1000) * AT$10 * $BA$4, AT$11 * 0.876) - (AT$11 * $N19)) * 0.25,
    0
)</f>
        <v/>
      </c>
      <c r="AU19" s="117">
        <f t="array" ref="AU19">IF(
    AND($H19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($H19 / 1000) * AU$10 * $BA$4 * 0.25
    ),
    0
)
+
IF(
    $N19 &lt; 0.875,
    MAX(0, MIN(($H19 / 1000) * AU$10 * $BA$4, AU$11 * 0.876) - (AU$11 * $N19)) * 0.25,
    0
)</f>
        <v/>
      </c>
      <c r="AV19" s="117">
        <f t="array" ref="AV19">IF(
    AND($H19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($H19 / 1000) * AV$10 * $BA$4 * 0.25
    ),
    0
)
+
IF(
    $N19 &lt; 0.875,
    MAX(0, MIN(($H19 / 1000) * AV$10 * $BA$4, AV$11 * 0.876) - (AV$11 * $N19)) * 0.25,
    0
)</f>
        <v/>
      </c>
      <c r="AW19" s="117">
        <f t="array" ref="AW19">IF(
    AND($H19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($H19 / 1000) * AW$10 * $BA$4 * 0.25
    ),
    0
)
+
IF(
    $N19 &lt; 0.875,
    MAX(0, MIN(($H19 / 1000) * AW$10 * $BA$4, AW$11 * 0.876) - (AW$11 * $N19)) * 0.25,
    0
)</f>
        <v/>
      </c>
      <c r="AX19" s="117">
        <f t="array" ref="AX19">IF(
    AND($H19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($H19 / 1000) * AX$10 * $BA$4 * 0.25
    ),
    0
)
+
IF(
    $N19 &lt; 0.875,
    MAX(0, MIN(($H19 / 1000) * AX$10 * $BA$4, AX$11 * 0.876) - (AX$11 * $N19)) * 0.25,
    0
)</f>
        <v/>
      </c>
      <c r="AY19" s="117">
        <f t="array" ref="AY19">IF(
    AND($H19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($H19 / 1000) * AY$10 * $BA$4 * 0.25
    ),
    0
)
+
IF(
    $N19 &lt; 0.875,
    MAX(0, MIN(($H19 / 1000) * AY$10 * $BA$4, AY$11 * 0.876) - (AY$11 * $N19)) * 0.25,
    0
)</f>
        <v/>
      </c>
      <c r="AZ19" s="117">
        <f t="array" ref="AZ19">IF(
    AND($H19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($H19 / 1000) * AZ$10 * $BA$4 * 0.25
    ),
    0
)
+
IF(
    $N19 &lt; 0.875,
    MAX(0, MIN(($H19 / 1000) * AZ$10 * $BA$4, AZ$11 * 0.876) - (AZ$11 * $N19)) * 0.25,
    0
)</f>
        <v/>
      </c>
      <c r="BA19" s="119">
        <f>SUM(TabellaMar2026[[#This Row],[Colonna54]:[Colonna53]])</f>
        <v/>
      </c>
    </row>
    <row r="20" customFormat="1" s="1">
      <c r="A20" s="112" t="n">
        <v>46143</v>
      </c>
      <c r="B20" t="inlineStr">
        <is>
          <t>01:15:00.000</t>
        </is>
      </c>
      <c r="C20" s="2" t="n">
        <v>-0.4</v>
      </c>
      <c r="D20" s="113" t="n">
        <v>-0.0001</v>
      </c>
      <c r="E20" s="113" t="n">
        <v>-0.2</v>
      </c>
      <c r="F20" s="113" t="n">
        <v>-5e-05</v>
      </c>
      <c r="G20" s="113">
        <f>IFERROR((D20+F20)/2, 0)</f>
        <v/>
      </c>
      <c r="H20" s="114">
        <f>IFERROR(IF(AVERAGE(C20,E20)&gt;$BA$7,AVERAGE(C20,E20),0), 0)</f>
        <v/>
      </c>
      <c r="I20" s="114">
        <f>IFERROR(IF(AND(D20=0,F20=0),0,IF(H20&gt;$BA$6,MAX(D20,F20),G20)), 0)</f>
        <v/>
      </c>
      <c r="J20" s="113">
        <f>IFERROR(IF(AND(D20&gt;0,F20&gt;0),ABS(D20-F20)/AVERAGE(D20,F20),0), 0)</f>
        <v/>
      </c>
      <c r="K20" s="113" t="n">
        <v>30098.6</v>
      </c>
      <c r="L20" s="113" t="n">
        <v>30098.6</v>
      </c>
      <c r="M20" s="115">
        <f>IFERROR((L20-K20)*1000, 0)</f>
        <v/>
      </c>
      <c r="N20" s="113" t="n">
        <v>0.8759999999999999</v>
      </c>
      <c r="O20" s="115">
        <f t="array" ref="O20">IF(
    AND($H20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($H20 / 1000) * O$10 * $BA$4 * 0.25
    ),
    0
)
+
IF(
    $N20 &lt; 0.875,
    MAX(0, MIN(($H20 / 1000) * O$10 * $BA$4, O$11 * 0.876) - (O$11 * $N20)) * 0.25,
    0
)</f>
        <v/>
      </c>
      <c r="P20" s="115">
        <f t="array" ref="P20">IF(
    AND($H20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($H20 / 1000) * P$10 * $BA$4 * 0.25
    ),
    0
)
+
IF(
    $N20 &lt; 0.875,
    MAX(0, MIN(($H20 / 1000) * P$10 * $BA$4, P$11 * 0.876) - (P$11 * $N20)) * 0.25,
    0
)</f>
        <v/>
      </c>
      <c r="Q20" s="115">
        <f t="array" ref="Q20">IF(
    AND($H20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($H20 / 1000) * Q$10 * $BA$4 * 0.25
    ),
    0
)
+
IF(
    $N20 &lt; 0.875,
    MAX(0, MIN(($H20 / 1000) * Q$10 * $BA$4, Q$11 * 0.876) - (Q$11 * $N20)) * 0.25,
    0
)</f>
        <v/>
      </c>
      <c r="R20" s="115">
        <f t="array" ref="R20">IF(
    AND($H20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($H20 / 1000) * R$10 * $BA$4 * 0.25
    ),
    0
)
+
IF(
    $N20 &lt; 0.875,
    MAX(0, MIN(($H20 / 1000) * R$10 * $BA$4, R$11 * 0.876) - (R$11 * $N20)) * 0.25,
    0
)</f>
        <v/>
      </c>
      <c r="S20" s="115">
        <f t="array" ref="S20">IF(
    AND($H20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($H20 / 1000) * S$10 * $BA$4 * 0.25
    ),
    0
)
+
IF(
    $N20 &lt; 0.875,
    MAX(0, MIN(($H20 / 1000) * S$10 * $BA$4, S$11 * 0.876) - (S$11 * $N20)) * 0.25,
    0
)</f>
        <v/>
      </c>
      <c r="T20" s="115">
        <f t="array" ref="T20">IF(
    AND($H20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($H20 / 1000) * T$10 * $BA$4 * 0.25
    ),
    0
)
+
IF(
    $N20 &lt; 0.875,
    MAX(0, MIN(($H20 / 1000) * T$10 * $BA$4, T$11 * 0.876) - (T$11 * $N20)) * 0.25,
    0
)</f>
        <v/>
      </c>
      <c r="U20" s="115">
        <f t="array" ref="U20">IF(
    AND($H20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($H20 / 1000) * U$10 * $BA$4 * 0.25
    ),
    0
)
+
IF(
    $N20 &lt; 0.875,
    MAX(0, MIN(($H20 / 1000) * U$10 * $BA$4, U$11 * 0.876) - (U$11 * $N20)) * 0.25,
    0
)</f>
        <v/>
      </c>
      <c r="V20" s="115">
        <f t="array" ref="V20">IF(
    AND($H20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($H20 / 1000) * V$10 * $BA$4 * 0.25
    ),
    0
)
+
IF(
    $N20 &lt; 0.875,
    MAX(0, MIN(($H20 / 1000) * V$10 * $BA$4, V$11 * 0.876) - (V$11 * $N20)) * 0.25,
    0
)</f>
        <v/>
      </c>
      <c r="W20" s="115">
        <f t="array" ref="W20">IF(
    AND($H20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($H20 / 1000) * W$10 * $BA$4 * 0.25
    ),
    0
)
+
IF(
    $N20 &lt; 0.875,
    MAX(0, MIN(($H20 / 1000) * W$10 * $BA$4, W$11 * 0.876) - (W$11 * $N20)) * 0.25,
    0
)</f>
        <v/>
      </c>
      <c r="X20" s="115">
        <f t="array" ref="X20">IF(
    AND($H20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($H20 / 1000) * X$10 * $BA$4 * 0.25
    ),
    0
)
+
IF(
    $N20 &lt; 0.875,
    MAX(0, MIN(($H20 / 1000) * X$10 * $BA$4, X$11 * 0.876) - (X$11 * $N20)) * 0.25,
    0
)</f>
        <v/>
      </c>
      <c r="Y20" s="115">
        <f t="array" ref="Y20">IF(
    AND($H20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($H20 / 1000) * Y$10 * $BA$4 * 0.25
    ),
    0
)
+
IF(
    $N20 &lt; 0.875,
    MAX(0, MIN(($H20 / 1000) * Y$10 * $BA$4, Y$11 * 0.876) - (Y$11 * $N20)) * 0.25,
    0
)</f>
        <v/>
      </c>
      <c r="Z20" s="115">
        <f t="array" ref="Z20">IF(
    AND($H20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($H20 / 1000) * Z$10 * $BA$4 * 0.25
    ),
    0
)
+
IF(
    $N20 &lt; 0.875,
    MAX(0, MIN(($H20 / 1000) * Z$10 * $BA$4, Z$11 * 0.876) - (Z$11 * $N20)) * 0.25,
    0
)</f>
        <v/>
      </c>
      <c r="AA20" s="116">
        <f>SUM(TabellaMar2026[[#This Row],[Colonna24]:[Colonna20]])</f>
        <v/>
      </c>
      <c r="AB20" s="117">
        <f>IF(
    AND($H20 &gt; $BA$7, Tabella01MarzoInverter[[#This Row],[Active power TX2-INV-1]] &lt;= 0, Tabella01MarzoInverter[[#This Row],[TX2 - Average Power]] &lt;= 0),
    MIN(($H20 / 1000) * AB$10 * $BA$4, AB$11 * 0.876) * 0.25,
    IF(
        AND($H20 &gt; $BA$7, Tabella01MarzoInverter[[#This Row],[Active power TX2-INV-1]] &lt;= 0),
        Tabella01MarzoInverter[[#This Row],[TX2 - Average Power]] * 0.25,
        0
    )
    +
    IF(
        $N20 &lt; 0.875,
        MAX(0, MIN(($H20 / 1000) * AB$10 * $BA$4, AB$11 * 0.876) - (AB$11 * $N20)) * 0.25,
        0
    )
)</f>
        <v/>
      </c>
      <c r="AC20" s="117">
        <f>IF(
    AND($H20 &gt; $BA$7, Tabella01MarzoInverter[[#This Row],[Active power TX2-INV-2]] &lt;= 0, Tabella01MarzoInverter[[#This Row],[TX2 - Max Power]] &lt;= 0),
    MIN(($H20 / 1000) * AC$10 * $BA$4, AC$11 * 0.876) * 0.25,
    IF(
        AND($H20 &gt; $BA$7, Tabella01MarzoInverter[[#This Row],[Active power TX2-INV-2]] &lt;= 0),
        Tabella01MarzoInverter[[#This Row],[TX2 - Max Power]] * 0.25,
        0
    )
    +
    IF(
        $N20 &lt; 0.875,
        MAX(0, MIN(($H20 / 1000) * AC$10 * $BA$4, AC$11 * 0.876) - (AC$11 * $N20)) * 0.25,
        0
    )
)</f>
        <v/>
      </c>
      <c r="AD20" s="117">
        <f>IF(
    AND($H20 &gt; $BA$7, Tabella01MarzoInverter[[#This Row],[Active power TX2-INV-3]] &lt;= 0, Tabella01MarzoInverter[[#This Row],[TX2 - Min Power]] &lt;= 0),
    MIN(($H20 / 1000) * AD$10 * $BA$4, AD$11 * 0.876) * 0.25,
    IF(
        AND($H20 &gt; $BA$7, Tabella01MarzoInverter[[#This Row],[Active power TX2-INV-3]] &lt;= 0),
        Tabella01MarzoInverter[[#This Row],[TX2 - Min Power]] * 0.25,
        0
    )
    +
    IF(
        $N20 &lt; 0.875,
        MAX(0, MIN(($H20 / 1000) * AD$10 * $BA$4, AD$11 * 0.876) - (AD$11 * $N20)) * 0.25,
        0
    )
)</f>
        <v/>
      </c>
      <c r="AE20" s="117">
        <f>IF(
    AND($H20 &gt; $BA$7, Tabella01MarzoInverter[[#This Row],[Active power TX2-INV-4]] &lt;= 0, Tabella01MarzoInverter[[#This Row],[Active power TX3-INV-1]] &lt;= 0),
    MIN(($H20 / 1000) * AE$10 * $BA$4, AE$11 * 0.876) * 0.25,
    IF(
        AND($H20 &gt; $BA$7, Tabella01MarzoInverter[[#This Row],[Active power TX2-INV-4]] &lt;= 0),
        Tabella01MarzoInverter[[#This Row],[Active power TX3-INV-1]] * 0.25,
        0
    )
    +
    IF(
        $N20 &lt; 0.875,
        MAX(0, MIN(($H20 / 1000) * AE$10 * $BA$4, AE$11 * 0.876) - (AE$11 * $N20)) * 0.25,
        0
    )
)</f>
        <v/>
      </c>
      <c r="AF20" s="117">
        <f>IF(
    AND($H20 &gt; $BA$7, Tabella01MarzoInverter[[#This Row],[Active power TX2-INV-5]] &lt;= 0, Tabella01MarzoInverter[[#This Row],[Active power TX3-INV-2]] &lt;= 0),
    MIN(($H20 / 1000) * AF$10 * $BA$4, AF$11 * 0.876) * 0.25,
    IF(
        AND($H20 &gt; $BA$7, Tabella01MarzoInverter[[#This Row],[Active power TX2-INV-5]] &lt;= 0),
        Tabella01MarzoInverter[[#This Row],[Active power TX3-INV-2]] * 0.25,
        0
    )
    +
    IF(
        $N20 &lt; 0.875,
        MAX(0, MIN(($H20 / 1000) * AF$10 * $BA$4, AF$11 * 0.876) - (AF$11 * $N20)) * 0.25,
        0
    )
)</f>
        <v/>
      </c>
      <c r="AG20" s="117">
        <f>IF(
    AND($H20 &gt; $BA$7, Tabella01MarzoInverter[[#This Row],[Active power TX2-INV-6]] &lt;= 0, Tabella01MarzoInverter[[#This Row],[Active power TX3-INV-3]] &lt;= 0),
    MIN(($H20 / 1000) * AG$10 * $BA$4, AG$11 * 0.876) * 0.25,
    IF(
        AND($H20 &gt; $BA$7, Tabella01MarzoInverter[[#This Row],[Active power TX2-INV-6]] &lt;= 0),
        Tabella01MarzoInverter[[#This Row],[Active power TX3-INV-3]] * 0.25,
        0
    )
    +
    IF(
        $N20 &lt; 0.875,
        MAX(0, MIN(($H20 / 1000) * AG$10 * $BA$4, AG$11 * 0.876) - (AG$11 * $N20)) * 0.25,
        0
    )
)</f>
        <v/>
      </c>
      <c r="AH20" s="117">
        <f>IF(
    AND($H20 &gt; $BA$7, Tabella01MarzoInverter[[#This Row],[Active power TX2-INV-7]] &lt;= 0, Tabella01MarzoInverter[[#This Row],[Active power TX3-INV-4]] &lt;= 0),
    MIN(($H20 / 1000) * AH$10 * $BA$4, AH$11 * 0.876) * 0.25,
    IF(
        AND($H20 &gt; $BA$7, Tabella01MarzoInverter[[#This Row],[Active power TX2-INV-7]] &lt;= 0),
        Tabella01MarzoInverter[[#This Row],[Active power TX3-INV-4]] * 0.25,
        0
    )
    +
    IF(
        $N20 &lt; 0.875,
        MAX(0, MIN(($H20 / 1000) * AH$10 * $BA$4, AH$11 * 0.876) - (AH$11 * $N20)) * 0.25,
        0
    )
)</f>
        <v/>
      </c>
      <c r="AI20" s="117">
        <f>IF(
    AND($H20 &gt; $BA$7, Tabella01MarzoInverter[[#This Row],[Active power TX2-INV-8]] &lt;= 0, Tabella01MarzoInverter[[#This Row],[Active power TX3-INV-5]] &lt;= 0),
    MIN(($H20 / 1000) * AI$10 * $BA$4, AI$11 * 0.876) * 0.25,
    IF(
        AND($H20 &gt; $BA$7, Tabella01MarzoInverter[[#This Row],[Active power TX2-INV-8]] &lt;= 0),
        Tabella01MarzoInverter[[#This Row],[Active power TX3-INV-5]] * 0.25,
        0
    )
    +
    IF(
        $N20 &lt; 0.875,
        MAX(0, MIN(($H20 / 1000) * AI$10 * $BA$4, AI$11 * 0.876) - (AI$11 * $N20)) * 0.25,
        0
    )
)</f>
        <v/>
      </c>
      <c r="AJ20" s="117">
        <f>IF(
    AND($H20 &gt; $BA$7, Tabella01MarzoInverter[[#This Row],[Active power TX2-INV-9]] &lt;= 0, Tabella01MarzoInverter[[#This Row],[Active power TX3-INV-6]] &lt;= 0),
    MIN(($H20 / 1000) * AJ$10 * $BA$4, AJ$11 * 0.876) * 0.25,
    IF(
        AND($H20 &gt; $BA$7, Tabella01MarzoInverter[[#This Row],[Active power TX2-INV-9]] &lt;= 0),
        Tabella01MarzoInverter[[#This Row],[Active power TX3-INV-6]] * 0.25,
        0
    )
    +
    IF(
        $N20 &lt; 0.875,
        MAX(0, MIN(($H20 / 1000) * AJ$10 * $BA$4, AJ$11 * 0.876) - (AJ$11 * $N20)) * 0.25,
        0
    )
)</f>
        <v/>
      </c>
      <c r="AK20" s="117">
        <f>IF(
    AND($H20 &gt; $BA$7, Tabella01MarzoInverter[[#This Row],[Active power TX2-INV-10]] &lt;= 0, Tabella01MarzoInverter[[#This Row],[Active power TX3-INV-7]] &lt;= 0),
    MIN(($H20 / 1000) * AK$10 * $BA$4, AK$11 * 0.876) * 0.25,
    IF(
        AND($H20 &gt; $BA$7, Tabella01MarzoInverter[[#This Row],[Active power TX2-INV-10]] &lt;= 0),
        Tabella01MarzoInverter[[#This Row],[Active power TX3-INV-7]] * 0.25,
        0
    )
    +
    IF(
        $N20 &lt; 0.875,
        MAX(0, MIN(($H20 / 1000) * AK$10 * $BA$4, AK$11 * 0.876) - (AK$11 * $N20)) * 0.25,
        0
    )
)</f>
        <v/>
      </c>
      <c r="AL20" s="117">
        <f>IF(
    AND($H20 &gt; $BA$7, Tabella01MarzoInverter[[#This Row],[Active power TX2-INV-11]] &lt;= 0, Tabella01MarzoInverter[[#This Row],[Active power TX3-INV-8]] &lt;= 0),
    MIN(($H20 / 1000) * AL$10 * $BA$4, AL$11 * 0.876) * 0.25,
    IF(
        AND($H20 &gt; $BA$7, Tabella01MarzoInverter[[#This Row],[Active power TX2-INV-11]] &lt;= 0),
        Tabella01MarzoInverter[[#This Row],[Active power TX3-INV-8]] * 0.25,
        0
    )
    +
    IF(
        $N20 &lt; 0.875,
        MAX(0, MIN(($H20 / 1000) * AL$10 * $BA$4, AL$11 * 0.876) - (AL$11 * $N20)) * 0.25,
        0
    )
)</f>
        <v/>
      </c>
      <c r="AM20" s="117">
        <f>IF(
    AND($H20 &gt; $BA$7, Tabella01MarzoInverter[[#This Row],[Active power TX2-INV-12]] &lt;= 0, Tabella01MarzoInverter[[#This Row],[Active power TX3-INV-9]] &lt;= 0),
    MIN(($H20 / 1000) * AM$10 * $BA$4, AM$11 * 0.876) * 0.25,
    IF(
        AND($H20 &gt; $BA$7, Tabella01MarzoInverter[[#This Row],[Active power TX2-INV-12]] &lt;= 0),
        Tabella01MarzoInverter[[#This Row],[Active power TX3-INV-9]] * 0.25,
        0
    )
    +
    IF(
        $N20 &lt; 0.875,
        MAX(0, MIN(($H20 / 1000) * AM$10 * $BA$4, AM$11 * 0.876) - (AM$11 * $N20)) * 0.25,
        0
    )
)</f>
        <v/>
      </c>
      <c r="AN20" s="118">
        <f>SUM(TabellaMar2026[[#This Row],[Colonna39]:[Colonna6]])</f>
        <v/>
      </c>
      <c r="AO20" s="117">
        <f t="array" ref="AO20">IF(
    AND($H20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($H20 / 1000) * AO$10 * $BA$4 * 0.25
    ),
    0
)
+
IF(
    $N20 &lt; 0.875,
    MAX(0, MIN(($H20 / 1000) * AO$10 * $BA$4, AO$11 * 0.876) - (AO$11 * $N20)) * 0.25,
    0
)</f>
        <v/>
      </c>
      <c r="AP20" s="117">
        <f t="array" ref="AP20">IF(
    AND($H20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($H20 / 1000) * AP$10 * $BA$4 * 0.25
    ),
    0
)
+
IF(
    $N20 &lt; 0.875,
    MAX(0, MIN(($H20 / 1000) * AP$10 * $BA$4, AP$11 * 0.876) - (AP$11 * $N20)) * 0.25,
    0
)</f>
        <v/>
      </c>
      <c r="AQ20" s="117">
        <f t="array" ref="AQ20">IF(
    AND($H20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($H20 / 1000) * AQ$10 * $BA$4 * 0.25
    ),
    0
)
+
IF(
    $N20 &lt; 0.875,
    MAX(0, MIN(($H20 / 1000) * AQ$10 * $BA$4, AQ$11 * 0.876) - (AQ$11 * $N20)) * 0.25,
    0
)</f>
        <v/>
      </c>
      <c r="AR20" s="117">
        <f t="array" ref="AR20">IF(
    AND($H20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($H20 / 1000) * AR$10 * $BA$4 * 0.25
    ),
    0
)
+
IF(
    $N20 &lt; 0.875,
    MAX(0, MIN(($H20 / 1000) * AR$10 * $BA$4, AR$11 * 0.876) - (AR$11 * $N20)) * 0.25,
    0
)</f>
        <v/>
      </c>
      <c r="AS20" s="117">
        <f t="array" ref="AS20">IF(
    AND($H20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($H20 / 1000) * AS$10 * $BA$4 * 0.25
    ),
    0
)
+
IF(
    $N20 &lt; 0.875,
    MAX(0, MIN(($H20 / 1000) * AS$10 * $BA$4, AS$11 * 0.876) - (AS$11 * $N20)) * 0.25,
    0
)</f>
        <v/>
      </c>
      <c r="AT20" s="117">
        <f t="array" ref="AT20">IF(
    AND($H20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($H20 / 1000) * AT$10 * $BA$4 * 0.25
    ),
    0
)
+
IF(
    $N20 &lt; 0.875,
    MAX(0, MIN(($H20 / 1000) * AT$10 * $BA$4, AT$11 * 0.876) - (AT$11 * $N20)) * 0.25,
    0
)</f>
        <v/>
      </c>
      <c r="AU20" s="117">
        <f t="array" ref="AU20">IF(
    AND($H20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($H20 / 1000) * AU$10 * $BA$4 * 0.25
    ),
    0
)
+
IF(
    $N20 &lt; 0.875,
    MAX(0, MIN(($H20 / 1000) * AU$10 * $BA$4, AU$11 * 0.876) - (AU$11 * $N20)) * 0.25,
    0
)</f>
        <v/>
      </c>
      <c r="AV20" s="117">
        <f t="array" ref="AV20">IF(
    AND($H20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($H20 / 1000) * AV$10 * $BA$4 * 0.25
    ),
    0
)
+
IF(
    $N20 &lt; 0.875,
    MAX(0, MIN(($H20 / 1000) * AV$10 * $BA$4, AV$11 * 0.876) - (AV$11 * $N20)) * 0.25,
    0
)</f>
        <v/>
      </c>
      <c r="AW20" s="117">
        <f t="array" ref="AW20">IF(
    AND($H20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($H20 / 1000) * AW$10 * $BA$4 * 0.25
    ),
    0
)
+
IF(
    $N20 &lt; 0.875,
    MAX(0, MIN(($H20 / 1000) * AW$10 * $BA$4, AW$11 * 0.876) - (AW$11 * $N20)) * 0.25,
    0
)</f>
        <v/>
      </c>
      <c r="AX20" s="117">
        <f t="array" ref="AX20">IF(
    AND($H20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($H20 / 1000) * AX$10 * $BA$4 * 0.25
    ),
    0
)
+
IF(
    $N20 &lt; 0.875,
    MAX(0, MIN(($H20 / 1000) * AX$10 * $BA$4, AX$11 * 0.876) - (AX$11 * $N20)) * 0.25,
    0
)</f>
        <v/>
      </c>
      <c r="AY20" s="117">
        <f t="array" ref="AY20">IF(
    AND($H20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($H20 / 1000) * AY$10 * $BA$4 * 0.25
    ),
    0
)
+
IF(
    $N20 &lt; 0.875,
    MAX(0, MIN(($H20 / 1000) * AY$10 * $BA$4, AY$11 * 0.876) - (AY$11 * $N20)) * 0.25,
    0
)</f>
        <v/>
      </c>
      <c r="AZ20" s="117">
        <f t="array" ref="AZ20">IF(
    AND($H20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($H20 / 1000) * AZ$10 * $BA$4 * 0.25
    ),
    0
)
+
IF(
    $N20 &lt; 0.875,
    MAX(0, MIN(($H20 / 1000) * AZ$10 * $BA$4, AZ$11 * 0.876) - (AZ$11 * $N20)) * 0.25,
    0
)</f>
        <v/>
      </c>
      <c r="BA20" s="119">
        <f>SUM(TabellaMar2026[[#This Row],[Colonna54]:[Colonna53]])</f>
        <v/>
      </c>
    </row>
    <row r="21" customFormat="1" s="1">
      <c r="A21" s="112" t="n">
        <v>46143</v>
      </c>
      <c r="B21" t="inlineStr">
        <is>
          <t>01:30:00.000</t>
        </is>
      </c>
      <c r="C21" s="2" t="n">
        <v>-0.7</v>
      </c>
      <c r="D21" s="113" t="n">
        <v>-0.000175</v>
      </c>
      <c r="E21" s="113" t="n">
        <v>-0.5</v>
      </c>
      <c r="F21" s="113" t="n">
        <v>-0.000125</v>
      </c>
      <c r="G21" s="113">
        <f>IFERROR((D21+F21)/2, 0)</f>
        <v/>
      </c>
      <c r="H21" s="114">
        <f>IFERROR(IF(AVERAGE(C21,E21)&gt;$BA$7,AVERAGE(C21,E21),0), 0)</f>
        <v/>
      </c>
      <c r="I21" s="114">
        <f>IFERROR(IF(AND(D21=0,F21=0),0,IF(H21&gt;$BA$6,MAX(D21,F21),G21)), 0)</f>
        <v/>
      </c>
      <c r="J21" s="113">
        <f>IFERROR(IF(AND(D21&gt;0,F21&gt;0),ABS(D21-F21)/AVERAGE(D21,F21),0), 0)</f>
        <v/>
      </c>
      <c r="K21" s="113" t="n">
        <v>30098.6</v>
      </c>
      <c r="L21" s="113" t="n">
        <v>30098.6</v>
      </c>
      <c r="M21" s="115">
        <f>IFERROR((L21-K21)*1000, 0)</f>
        <v/>
      </c>
      <c r="N21" s="113" t="n">
        <v>0.8759999999999999</v>
      </c>
      <c r="O21" s="115">
        <f t="array" ref="O21">IF(
    AND($H21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($H21 / 1000) * O$10 * $BA$4 * 0.25
    ),
    0
)
+
IF(
    $N21 &lt; 0.875,
    MAX(0, MIN(($H21 / 1000) * O$10 * $BA$4, O$11 * 0.876) - (O$11 * $N21)) * 0.25,
    0
)</f>
        <v/>
      </c>
      <c r="P21" s="115">
        <f t="array" ref="P21">IF(
    AND($H21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($H21 / 1000) * P$10 * $BA$4 * 0.25
    ),
    0
)
+
IF(
    $N21 &lt; 0.875,
    MAX(0, MIN(($H21 / 1000) * P$10 * $BA$4, P$11 * 0.876) - (P$11 * $N21)) * 0.25,
    0
)</f>
        <v/>
      </c>
      <c r="Q21" s="115">
        <f t="array" ref="Q21">IF(
    AND($H21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($H21 / 1000) * Q$10 * $BA$4 * 0.25
    ),
    0
)
+
IF(
    $N21 &lt; 0.875,
    MAX(0, MIN(($H21 / 1000) * Q$10 * $BA$4, Q$11 * 0.876) - (Q$11 * $N21)) * 0.25,
    0
)</f>
        <v/>
      </c>
      <c r="R21" s="115">
        <f t="array" ref="R21">IF(
    AND($H21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($H21 / 1000) * R$10 * $BA$4 * 0.25
    ),
    0
)
+
IF(
    $N21 &lt; 0.875,
    MAX(0, MIN(($H21 / 1000) * R$10 * $BA$4, R$11 * 0.876) - (R$11 * $N21)) * 0.25,
    0
)</f>
        <v/>
      </c>
      <c r="S21" s="115">
        <f t="array" ref="S21">IF(
    AND($H21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($H21 / 1000) * S$10 * $BA$4 * 0.25
    ),
    0
)
+
IF(
    $N21 &lt; 0.875,
    MAX(0, MIN(($H21 / 1000) * S$10 * $BA$4, S$11 * 0.876) - (S$11 * $N21)) * 0.25,
    0
)</f>
        <v/>
      </c>
      <c r="T21" s="115">
        <f t="array" ref="T21">IF(
    AND($H21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($H21 / 1000) * T$10 * $BA$4 * 0.25
    ),
    0
)
+
IF(
    $N21 &lt; 0.875,
    MAX(0, MIN(($H21 / 1000) * T$10 * $BA$4, T$11 * 0.876) - (T$11 * $N21)) * 0.25,
    0
)</f>
        <v/>
      </c>
      <c r="U21" s="115">
        <f t="array" ref="U21">IF(
    AND($H21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($H21 / 1000) * U$10 * $BA$4 * 0.25
    ),
    0
)
+
IF(
    $N21 &lt; 0.875,
    MAX(0, MIN(($H21 / 1000) * U$10 * $BA$4, U$11 * 0.876) - (U$11 * $N21)) * 0.25,
    0
)</f>
        <v/>
      </c>
      <c r="V21" s="115">
        <f t="array" ref="V21">IF(
    AND($H21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($H21 / 1000) * V$10 * $BA$4 * 0.25
    ),
    0
)
+
IF(
    $N21 &lt; 0.875,
    MAX(0, MIN(($H21 / 1000) * V$10 * $BA$4, V$11 * 0.876) - (V$11 * $N21)) * 0.25,
    0
)</f>
        <v/>
      </c>
      <c r="W21" s="115">
        <f t="array" ref="W21">IF(
    AND($H21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($H21 / 1000) * W$10 * $BA$4 * 0.25
    ),
    0
)
+
IF(
    $N21 &lt; 0.875,
    MAX(0, MIN(($H21 / 1000) * W$10 * $BA$4, W$11 * 0.876) - (W$11 * $N21)) * 0.25,
    0
)</f>
        <v/>
      </c>
      <c r="X21" s="115">
        <f t="array" ref="X21">IF(
    AND($H21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($H21 / 1000) * X$10 * $BA$4 * 0.25
    ),
    0
)
+
IF(
    $N21 &lt; 0.875,
    MAX(0, MIN(($H21 / 1000) * X$10 * $BA$4, X$11 * 0.876) - (X$11 * $N21)) * 0.25,
    0
)</f>
        <v/>
      </c>
      <c r="Y21" s="115">
        <f t="array" ref="Y21">IF(
    AND($H21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($H21 / 1000) * Y$10 * $BA$4 * 0.25
    ),
    0
)
+
IF(
    $N21 &lt; 0.875,
    MAX(0, MIN(($H21 / 1000) * Y$10 * $BA$4, Y$11 * 0.876) - (Y$11 * $N21)) * 0.25,
    0
)</f>
        <v/>
      </c>
      <c r="Z21" s="115">
        <f t="array" ref="Z21">IF(
    AND($H21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($H21 / 1000) * Z$10 * $BA$4 * 0.25
    ),
    0
)
+
IF(
    $N21 &lt; 0.875,
    MAX(0, MIN(($H21 / 1000) * Z$10 * $BA$4, Z$11 * 0.876) - (Z$11 * $N21)) * 0.25,
    0
)</f>
        <v/>
      </c>
      <c r="AA21" s="116">
        <f>SUM(TabellaMar2026[[#This Row],[Colonna24]:[Colonna20]])</f>
        <v/>
      </c>
      <c r="AB21" s="117">
        <f>IF(
    AND($H21 &gt; $BA$7, Tabella01MarzoInverter[[#This Row],[Active power TX2-INV-1]] &lt;= 0, Tabella01MarzoInverter[[#This Row],[TX2 - Average Power]] &lt;= 0),
    MIN(($H21 / 1000) * AB$10 * $BA$4, AB$11 * 0.876) * 0.25,
    IF(
        AND($H21 &gt; $BA$7, Tabella01MarzoInverter[[#This Row],[Active power TX2-INV-1]] &lt;= 0),
        Tabella01MarzoInverter[[#This Row],[TX2 - Average Power]] * 0.25,
        0
    )
    +
    IF(
        $N21 &lt; 0.875,
        MAX(0, MIN(($H21 / 1000) * AB$10 * $BA$4, AB$11 * 0.876) - (AB$11 * $N21)) * 0.25,
        0
    )
)</f>
        <v/>
      </c>
      <c r="AC21" s="117">
        <f>IF(
    AND($H21 &gt; $BA$7, Tabella01MarzoInverter[[#This Row],[Active power TX2-INV-2]] &lt;= 0, Tabella01MarzoInverter[[#This Row],[TX2 - Max Power]] &lt;= 0),
    MIN(($H21 / 1000) * AC$10 * $BA$4, AC$11 * 0.876) * 0.25,
    IF(
        AND($H21 &gt; $BA$7, Tabella01MarzoInverter[[#This Row],[Active power TX2-INV-2]] &lt;= 0),
        Tabella01MarzoInverter[[#This Row],[TX2 - Max Power]] * 0.25,
        0
    )
    +
    IF(
        $N21 &lt; 0.875,
        MAX(0, MIN(($H21 / 1000) * AC$10 * $BA$4, AC$11 * 0.876) - (AC$11 * $N21)) * 0.25,
        0
    )
)</f>
        <v/>
      </c>
      <c r="AD21" s="117">
        <f>IF(
    AND($H21 &gt; $BA$7, Tabella01MarzoInverter[[#This Row],[Active power TX2-INV-3]] &lt;= 0, Tabella01MarzoInverter[[#This Row],[TX2 - Min Power]] &lt;= 0),
    MIN(($H21 / 1000) * AD$10 * $BA$4, AD$11 * 0.876) * 0.25,
    IF(
        AND($H21 &gt; $BA$7, Tabella01MarzoInverter[[#This Row],[Active power TX2-INV-3]] &lt;= 0),
        Tabella01MarzoInverter[[#This Row],[TX2 - Min Power]] * 0.25,
        0
    )
    +
    IF(
        $N21 &lt; 0.875,
        MAX(0, MIN(($H21 / 1000) * AD$10 * $BA$4, AD$11 * 0.876) - (AD$11 * $N21)) * 0.25,
        0
    )
)</f>
        <v/>
      </c>
      <c r="AE21" s="117">
        <f>IF(
    AND($H21 &gt; $BA$7, Tabella01MarzoInverter[[#This Row],[Active power TX2-INV-4]] &lt;= 0, Tabella01MarzoInverter[[#This Row],[Active power TX3-INV-1]] &lt;= 0),
    MIN(($H21 / 1000) * AE$10 * $BA$4, AE$11 * 0.876) * 0.25,
    IF(
        AND($H21 &gt; $BA$7, Tabella01MarzoInverter[[#This Row],[Active power TX2-INV-4]] &lt;= 0),
        Tabella01MarzoInverter[[#This Row],[Active power TX3-INV-1]] * 0.25,
        0
    )
    +
    IF(
        $N21 &lt; 0.875,
        MAX(0, MIN(($H21 / 1000) * AE$10 * $BA$4, AE$11 * 0.876) - (AE$11 * $N21)) * 0.25,
        0
    )
)</f>
        <v/>
      </c>
      <c r="AF21" s="117">
        <f>IF(
    AND($H21 &gt; $BA$7, Tabella01MarzoInverter[[#This Row],[Active power TX2-INV-5]] &lt;= 0, Tabella01MarzoInverter[[#This Row],[Active power TX3-INV-2]] &lt;= 0),
    MIN(($H21 / 1000) * AF$10 * $BA$4, AF$11 * 0.876) * 0.25,
    IF(
        AND($H21 &gt; $BA$7, Tabella01MarzoInverter[[#This Row],[Active power TX2-INV-5]] &lt;= 0),
        Tabella01MarzoInverter[[#This Row],[Active power TX3-INV-2]] * 0.25,
        0
    )
    +
    IF(
        $N21 &lt; 0.875,
        MAX(0, MIN(($H21 / 1000) * AF$10 * $BA$4, AF$11 * 0.876) - (AF$11 * $N21)) * 0.25,
        0
    )
)</f>
        <v/>
      </c>
      <c r="AG21" s="117">
        <f>IF(
    AND($H21 &gt; $BA$7, Tabella01MarzoInverter[[#This Row],[Active power TX2-INV-6]] &lt;= 0, Tabella01MarzoInverter[[#This Row],[Active power TX3-INV-3]] &lt;= 0),
    MIN(($H21 / 1000) * AG$10 * $BA$4, AG$11 * 0.876) * 0.25,
    IF(
        AND($H21 &gt; $BA$7, Tabella01MarzoInverter[[#This Row],[Active power TX2-INV-6]] &lt;= 0),
        Tabella01MarzoInverter[[#This Row],[Active power TX3-INV-3]] * 0.25,
        0
    )
    +
    IF(
        $N21 &lt; 0.875,
        MAX(0, MIN(($H21 / 1000) * AG$10 * $BA$4, AG$11 * 0.876) - (AG$11 * $N21)) * 0.25,
        0
    )
)</f>
        <v/>
      </c>
      <c r="AH21" s="117">
        <f>IF(
    AND($H21 &gt; $BA$7, Tabella01MarzoInverter[[#This Row],[Active power TX2-INV-7]] &lt;= 0, Tabella01MarzoInverter[[#This Row],[Active power TX3-INV-4]] &lt;= 0),
    MIN(($H21 / 1000) * AH$10 * $BA$4, AH$11 * 0.876) * 0.25,
    IF(
        AND($H21 &gt; $BA$7, Tabella01MarzoInverter[[#This Row],[Active power TX2-INV-7]] &lt;= 0),
        Tabella01MarzoInverter[[#This Row],[Active power TX3-INV-4]] * 0.25,
        0
    )
    +
    IF(
        $N21 &lt; 0.875,
        MAX(0, MIN(($H21 / 1000) * AH$10 * $BA$4, AH$11 * 0.876) - (AH$11 * $N21)) * 0.25,
        0
    )
)</f>
        <v/>
      </c>
      <c r="AI21" s="117">
        <f>IF(
    AND($H21 &gt; $BA$7, Tabella01MarzoInverter[[#This Row],[Active power TX2-INV-8]] &lt;= 0, Tabella01MarzoInverter[[#This Row],[Active power TX3-INV-5]] &lt;= 0),
    MIN(($H21 / 1000) * AI$10 * $BA$4, AI$11 * 0.876) * 0.25,
    IF(
        AND($H21 &gt; $BA$7, Tabella01MarzoInverter[[#This Row],[Active power TX2-INV-8]] &lt;= 0),
        Tabella01MarzoInverter[[#This Row],[Active power TX3-INV-5]] * 0.25,
        0
    )
    +
    IF(
        $N21 &lt; 0.875,
        MAX(0, MIN(($H21 / 1000) * AI$10 * $BA$4, AI$11 * 0.876) - (AI$11 * $N21)) * 0.25,
        0
    )
)</f>
        <v/>
      </c>
      <c r="AJ21" s="117">
        <f>IF(
    AND($H21 &gt; $BA$7, Tabella01MarzoInverter[[#This Row],[Active power TX2-INV-9]] &lt;= 0, Tabella01MarzoInverter[[#This Row],[Active power TX3-INV-6]] &lt;= 0),
    MIN(($H21 / 1000) * AJ$10 * $BA$4, AJ$11 * 0.876) * 0.25,
    IF(
        AND($H21 &gt; $BA$7, Tabella01MarzoInverter[[#This Row],[Active power TX2-INV-9]] &lt;= 0),
        Tabella01MarzoInverter[[#This Row],[Active power TX3-INV-6]] * 0.25,
        0
    )
    +
    IF(
        $N21 &lt; 0.875,
        MAX(0, MIN(($H21 / 1000) * AJ$10 * $BA$4, AJ$11 * 0.876) - (AJ$11 * $N21)) * 0.25,
        0
    )
)</f>
        <v/>
      </c>
      <c r="AK21" s="117">
        <f>IF(
    AND($H21 &gt; $BA$7, Tabella01MarzoInverter[[#This Row],[Active power TX2-INV-10]] &lt;= 0, Tabella01MarzoInverter[[#This Row],[Active power TX3-INV-7]] &lt;= 0),
    MIN(($H21 / 1000) * AK$10 * $BA$4, AK$11 * 0.876) * 0.25,
    IF(
        AND($H21 &gt; $BA$7, Tabella01MarzoInverter[[#This Row],[Active power TX2-INV-10]] &lt;= 0),
        Tabella01MarzoInverter[[#This Row],[Active power TX3-INV-7]] * 0.25,
        0
    )
    +
    IF(
        $N21 &lt; 0.875,
        MAX(0, MIN(($H21 / 1000) * AK$10 * $BA$4, AK$11 * 0.876) - (AK$11 * $N21)) * 0.25,
        0
    )
)</f>
        <v/>
      </c>
      <c r="AL21" s="117">
        <f>IF(
    AND($H21 &gt; $BA$7, Tabella01MarzoInverter[[#This Row],[Active power TX2-INV-11]] &lt;= 0, Tabella01MarzoInverter[[#This Row],[Active power TX3-INV-8]] &lt;= 0),
    MIN(($H21 / 1000) * AL$10 * $BA$4, AL$11 * 0.876) * 0.25,
    IF(
        AND($H21 &gt; $BA$7, Tabella01MarzoInverter[[#This Row],[Active power TX2-INV-11]] &lt;= 0),
        Tabella01MarzoInverter[[#This Row],[Active power TX3-INV-8]] * 0.25,
        0
    )
    +
    IF(
        $N21 &lt; 0.875,
        MAX(0, MIN(($H21 / 1000) * AL$10 * $BA$4, AL$11 * 0.876) - (AL$11 * $N21)) * 0.25,
        0
    )
)</f>
        <v/>
      </c>
      <c r="AM21" s="117">
        <f>IF(
    AND($H21 &gt; $BA$7, Tabella01MarzoInverter[[#This Row],[Active power TX2-INV-12]] &lt;= 0, Tabella01MarzoInverter[[#This Row],[Active power TX3-INV-9]] &lt;= 0),
    MIN(($H21 / 1000) * AM$10 * $BA$4, AM$11 * 0.876) * 0.25,
    IF(
        AND($H21 &gt; $BA$7, Tabella01MarzoInverter[[#This Row],[Active power TX2-INV-12]] &lt;= 0),
        Tabella01MarzoInverter[[#This Row],[Active power TX3-INV-9]] * 0.25,
        0
    )
    +
    IF(
        $N21 &lt; 0.875,
        MAX(0, MIN(($H21 / 1000) * AM$10 * $BA$4, AM$11 * 0.876) - (AM$11 * $N21)) * 0.25,
        0
    )
)</f>
        <v/>
      </c>
      <c r="AN21" s="118">
        <f>SUM(TabellaMar2026[[#This Row],[Colonna39]:[Colonna6]])</f>
        <v/>
      </c>
      <c r="AO21" s="117">
        <f t="array" ref="AO21">IF(
    AND($H21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($H21 / 1000) * AO$10 * $BA$4 * 0.25
    ),
    0
)
+
IF(
    $N21 &lt; 0.875,
    MAX(0, MIN(($H21 / 1000) * AO$10 * $BA$4, AO$11 * 0.876) - (AO$11 * $N21)) * 0.25,
    0
)</f>
        <v/>
      </c>
      <c r="AP21" s="117">
        <f t="array" ref="AP21">IF(
    AND($H21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($H21 / 1000) * AP$10 * $BA$4 * 0.25
    ),
    0
)
+
IF(
    $N21 &lt; 0.875,
    MAX(0, MIN(($H21 / 1000) * AP$10 * $BA$4, AP$11 * 0.876) - (AP$11 * $N21)) * 0.25,
    0
)</f>
        <v/>
      </c>
      <c r="AQ21" s="117">
        <f t="array" ref="AQ21">IF(
    AND($H21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($H21 / 1000) * AQ$10 * $BA$4 * 0.25
    ),
    0
)
+
IF(
    $N21 &lt; 0.875,
    MAX(0, MIN(($H21 / 1000) * AQ$10 * $BA$4, AQ$11 * 0.876) - (AQ$11 * $N21)) * 0.25,
    0
)</f>
        <v/>
      </c>
      <c r="AR21" s="117">
        <f t="array" ref="AR21">IF(
    AND($H21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($H21 / 1000) * AR$10 * $BA$4 * 0.25
    ),
    0
)
+
IF(
    $N21 &lt; 0.875,
    MAX(0, MIN(($H21 / 1000) * AR$10 * $BA$4, AR$11 * 0.876) - (AR$11 * $N21)) * 0.25,
    0
)</f>
        <v/>
      </c>
      <c r="AS21" s="117">
        <f t="array" ref="AS21">IF(
    AND($H21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($H21 / 1000) * AS$10 * $BA$4 * 0.25
    ),
    0
)
+
IF(
    $N21 &lt; 0.875,
    MAX(0, MIN(($H21 / 1000) * AS$10 * $BA$4, AS$11 * 0.876) - (AS$11 * $N21)) * 0.25,
    0
)</f>
        <v/>
      </c>
      <c r="AT21" s="117">
        <f t="array" ref="AT21">IF(
    AND($H21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($H21 / 1000) * AT$10 * $BA$4 * 0.25
    ),
    0
)
+
IF(
    $N21 &lt; 0.875,
    MAX(0, MIN(($H21 / 1000) * AT$10 * $BA$4, AT$11 * 0.876) - (AT$11 * $N21)) * 0.25,
    0
)</f>
        <v/>
      </c>
      <c r="AU21" s="117">
        <f t="array" ref="AU21">IF(
    AND($H21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($H21 / 1000) * AU$10 * $BA$4 * 0.25
    ),
    0
)
+
IF(
    $N21 &lt; 0.875,
    MAX(0, MIN(($H21 / 1000) * AU$10 * $BA$4, AU$11 * 0.876) - (AU$11 * $N21)) * 0.25,
    0
)</f>
        <v/>
      </c>
      <c r="AV21" s="117">
        <f t="array" ref="AV21">IF(
    AND($H21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($H21 / 1000) * AV$10 * $BA$4 * 0.25
    ),
    0
)
+
IF(
    $N21 &lt; 0.875,
    MAX(0, MIN(($H21 / 1000) * AV$10 * $BA$4, AV$11 * 0.876) - (AV$11 * $N21)) * 0.25,
    0
)</f>
        <v/>
      </c>
      <c r="AW21" s="117">
        <f t="array" ref="AW21">IF(
    AND($H21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($H21 / 1000) * AW$10 * $BA$4 * 0.25
    ),
    0
)
+
IF(
    $N21 &lt; 0.875,
    MAX(0, MIN(($H21 / 1000) * AW$10 * $BA$4, AW$11 * 0.876) - (AW$11 * $N21)) * 0.25,
    0
)</f>
        <v/>
      </c>
      <c r="AX21" s="117">
        <f t="array" ref="AX21">IF(
    AND($H21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($H21 / 1000) * AX$10 * $BA$4 * 0.25
    ),
    0
)
+
IF(
    $N21 &lt; 0.875,
    MAX(0, MIN(($H21 / 1000) * AX$10 * $BA$4, AX$11 * 0.876) - (AX$11 * $N21)) * 0.25,
    0
)</f>
        <v/>
      </c>
      <c r="AY21" s="117">
        <f t="array" ref="AY21">IF(
    AND($H21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($H21 / 1000) * AY$10 * $BA$4 * 0.25
    ),
    0
)
+
IF(
    $N21 &lt; 0.875,
    MAX(0, MIN(($H21 / 1000) * AY$10 * $BA$4, AY$11 * 0.876) - (AY$11 * $N21)) * 0.25,
    0
)</f>
        <v/>
      </c>
      <c r="AZ21" s="117">
        <f t="array" ref="AZ21">IF(
    AND($H21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($H21 / 1000) * AZ$10 * $BA$4 * 0.25
    ),
    0
)
+
IF(
    $N21 &lt; 0.875,
    MAX(0, MIN(($H21 / 1000) * AZ$10 * $BA$4, AZ$11 * 0.876) - (AZ$11 * $N21)) * 0.25,
    0
)</f>
        <v/>
      </c>
      <c r="BA21" s="119">
        <f>SUM(TabellaMar2026[[#This Row],[Colonna54]:[Colonna53]])</f>
        <v/>
      </c>
    </row>
    <row r="22" customFormat="1" s="1">
      <c r="A22" s="112" t="n">
        <v>46143</v>
      </c>
      <c r="B22" t="inlineStr">
        <is>
          <t>01:45:00.000</t>
        </is>
      </c>
      <c r="C22" s="2" t="n">
        <v>-1</v>
      </c>
      <c r="D22" s="113" t="n">
        <v>-0.00025</v>
      </c>
      <c r="E22" s="113" t="n">
        <v>-1</v>
      </c>
      <c r="F22" s="113" t="n">
        <v>-0.00025</v>
      </c>
      <c r="G22" s="113">
        <f>IFERROR((D22+F22)/2, 0)</f>
        <v/>
      </c>
      <c r="H22" s="114">
        <f>IFERROR(IF(AVERAGE(C22,E22)&gt;$BA$7,AVERAGE(C22,E22),0), 0)</f>
        <v/>
      </c>
      <c r="I22" s="114">
        <f>IFERROR(IF(AND(D22=0,F22=0),0,IF(H22&gt;$BA$6,MAX(D22,F22),G22)), 0)</f>
        <v/>
      </c>
      <c r="J22" s="113">
        <f>IFERROR(IF(AND(D22&gt;0,F22&gt;0),ABS(D22-F22)/AVERAGE(D22,F22),0), 0)</f>
        <v/>
      </c>
      <c r="K22" s="113" t="n">
        <v>30098.6</v>
      </c>
      <c r="L22" s="113" t="n">
        <v>30098.6</v>
      </c>
      <c r="M22" s="115">
        <f>IFERROR((L22-K22)*1000, 0)</f>
        <v/>
      </c>
      <c r="N22" s="113" t="n">
        <v>0.8759999999999999</v>
      </c>
      <c r="O22" s="115">
        <f t="array" ref="O22">IF(
    AND($H22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($H22 / 1000) * O$10 * $BA$4 * 0.25
    ),
    0
)
+
IF(
    $N22 &lt; 0.875,
    MAX(0, MIN(($H22 / 1000) * O$10 * $BA$4, O$11 * 0.876) - (O$11 * $N22)) * 0.25,
    0
)</f>
        <v/>
      </c>
      <c r="P22" s="115">
        <f t="array" ref="P22">IF(
    AND($H22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($H22 / 1000) * P$10 * $BA$4 * 0.25
    ),
    0
)
+
IF(
    $N22 &lt; 0.875,
    MAX(0, MIN(($H22 / 1000) * P$10 * $BA$4, P$11 * 0.876) - (P$11 * $N22)) * 0.25,
    0
)</f>
        <v/>
      </c>
      <c r="Q22" s="115">
        <f t="array" ref="Q22">IF(
    AND($H22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($H22 / 1000) * Q$10 * $BA$4 * 0.25
    ),
    0
)
+
IF(
    $N22 &lt; 0.875,
    MAX(0, MIN(($H22 / 1000) * Q$10 * $BA$4, Q$11 * 0.876) - (Q$11 * $N22)) * 0.25,
    0
)</f>
        <v/>
      </c>
      <c r="R22" s="115">
        <f t="array" ref="R22">IF(
    AND($H22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($H22 / 1000) * R$10 * $BA$4 * 0.25
    ),
    0
)
+
IF(
    $N22 &lt; 0.875,
    MAX(0, MIN(($H22 / 1000) * R$10 * $BA$4, R$11 * 0.876) - (R$11 * $N22)) * 0.25,
    0
)</f>
        <v/>
      </c>
      <c r="S22" s="115">
        <f t="array" ref="S22">IF(
    AND($H22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($H22 / 1000) * S$10 * $BA$4 * 0.25
    ),
    0
)
+
IF(
    $N22 &lt; 0.875,
    MAX(0, MIN(($H22 / 1000) * S$10 * $BA$4, S$11 * 0.876) - (S$11 * $N22)) * 0.25,
    0
)</f>
        <v/>
      </c>
      <c r="T22" s="115">
        <f t="array" ref="T22">IF(
    AND($H22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($H22 / 1000) * T$10 * $BA$4 * 0.25
    ),
    0
)
+
IF(
    $N22 &lt; 0.875,
    MAX(0, MIN(($H22 / 1000) * T$10 * $BA$4, T$11 * 0.876) - (T$11 * $N22)) * 0.25,
    0
)</f>
        <v/>
      </c>
      <c r="U22" s="115">
        <f t="array" ref="U22">IF(
    AND($H22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($H22 / 1000) * U$10 * $BA$4 * 0.25
    ),
    0
)
+
IF(
    $N22 &lt; 0.875,
    MAX(0, MIN(($H22 / 1000) * U$10 * $BA$4, U$11 * 0.876) - (U$11 * $N22)) * 0.25,
    0
)</f>
        <v/>
      </c>
      <c r="V22" s="115">
        <f t="array" ref="V22">IF(
    AND($H22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($H22 / 1000) * V$10 * $BA$4 * 0.25
    ),
    0
)
+
IF(
    $N22 &lt; 0.875,
    MAX(0, MIN(($H22 / 1000) * V$10 * $BA$4, V$11 * 0.876) - (V$11 * $N22)) * 0.25,
    0
)</f>
        <v/>
      </c>
      <c r="W22" s="115">
        <f t="array" ref="W22">IF(
    AND($H22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($H22 / 1000) * W$10 * $BA$4 * 0.25
    ),
    0
)
+
IF(
    $N22 &lt; 0.875,
    MAX(0, MIN(($H22 / 1000) * W$10 * $BA$4, W$11 * 0.876) - (W$11 * $N22)) * 0.25,
    0
)</f>
        <v/>
      </c>
      <c r="X22" s="115">
        <f t="array" ref="X22">IF(
    AND($H22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($H22 / 1000) * X$10 * $BA$4 * 0.25
    ),
    0
)
+
IF(
    $N22 &lt; 0.875,
    MAX(0, MIN(($H22 / 1000) * X$10 * $BA$4, X$11 * 0.876) - (X$11 * $N22)) * 0.25,
    0
)</f>
        <v/>
      </c>
      <c r="Y22" s="115">
        <f t="array" ref="Y22">IF(
    AND($H22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($H22 / 1000) * Y$10 * $BA$4 * 0.25
    ),
    0
)
+
IF(
    $N22 &lt; 0.875,
    MAX(0, MIN(($H22 / 1000) * Y$10 * $BA$4, Y$11 * 0.876) - (Y$11 * $N22)) * 0.25,
    0
)</f>
        <v/>
      </c>
      <c r="Z22" s="115">
        <f t="array" ref="Z22">IF(
    AND($H22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($H22 / 1000) * Z$10 * $BA$4 * 0.25
    ),
    0
)
+
IF(
    $N22 &lt; 0.875,
    MAX(0, MIN(($H22 / 1000) * Z$10 * $BA$4, Z$11 * 0.876) - (Z$11 * $N22)) * 0.25,
    0
)</f>
        <v/>
      </c>
      <c r="AA22" s="116">
        <f>SUM(TabellaMar2026[[#This Row],[Colonna24]:[Colonna20]])</f>
        <v/>
      </c>
      <c r="AB22" s="117">
        <f>IF(
    AND($H22 &gt; $BA$7, Tabella01MarzoInverter[[#This Row],[Active power TX2-INV-1]] &lt;= 0, Tabella01MarzoInverter[[#This Row],[TX2 - Average Power]] &lt;= 0),
    MIN(($H22 / 1000) * AB$10 * $BA$4, AB$11 * 0.876) * 0.25,
    IF(
        AND($H22 &gt; $BA$7, Tabella01MarzoInverter[[#This Row],[Active power TX2-INV-1]] &lt;= 0),
        Tabella01MarzoInverter[[#This Row],[TX2 - Average Power]] * 0.25,
        0
    )
    +
    IF(
        $N22 &lt; 0.875,
        MAX(0, MIN(($H22 / 1000) * AB$10 * $BA$4, AB$11 * 0.876) - (AB$11 * $N22)) * 0.25,
        0
    )
)</f>
        <v/>
      </c>
      <c r="AC22" s="117">
        <f>IF(
    AND($H22 &gt; $BA$7, Tabella01MarzoInverter[[#This Row],[Active power TX2-INV-2]] &lt;= 0, Tabella01MarzoInverter[[#This Row],[TX2 - Max Power]] &lt;= 0),
    MIN(($H22 / 1000) * AC$10 * $BA$4, AC$11 * 0.876) * 0.25,
    IF(
        AND($H22 &gt; $BA$7, Tabella01MarzoInverter[[#This Row],[Active power TX2-INV-2]] &lt;= 0),
        Tabella01MarzoInverter[[#This Row],[TX2 - Max Power]] * 0.25,
        0
    )
    +
    IF(
        $N22 &lt; 0.875,
        MAX(0, MIN(($H22 / 1000) * AC$10 * $BA$4, AC$11 * 0.876) - (AC$11 * $N22)) * 0.25,
        0
    )
)</f>
        <v/>
      </c>
      <c r="AD22" s="117">
        <f>IF(
    AND($H22 &gt; $BA$7, Tabella01MarzoInverter[[#This Row],[Active power TX2-INV-3]] &lt;= 0, Tabella01MarzoInverter[[#This Row],[TX2 - Min Power]] &lt;= 0),
    MIN(($H22 / 1000) * AD$10 * $BA$4, AD$11 * 0.876) * 0.25,
    IF(
        AND($H22 &gt; $BA$7, Tabella01MarzoInverter[[#This Row],[Active power TX2-INV-3]] &lt;= 0),
        Tabella01MarzoInverter[[#This Row],[TX2 - Min Power]] * 0.25,
        0
    )
    +
    IF(
        $N22 &lt; 0.875,
        MAX(0, MIN(($H22 / 1000) * AD$10 * $BA$4, AD$11 * 0.876) - (AD$11 * $N22)) * 0.25,
        0
    )
)</f>
        <v/>
      </c>
      <c r="AE22" s="117">
        <f>IF(
    AND($H22 &gt; $BA$7, Tabella01MarzoInverter[[#This Row],[Active power TX2-INV-4]] &lt;= 0, Tabella01MarzoInverter[[#This Row],[Active power TX3-INV-1]] &lt;= 0),
    MIN(($H22 / 1000) * AE$10 * $BA$4, AE$11 * 0.876) * 0.25,
    IF(
        AND($H22 &gt; $BA$7, Tabella01MarzoInverter[[#This Row],[Active power TX2-INV-4]] &lt;= 0),
        Tabella01MarzoInverter[[#This Row],[Active power TX3-INV-1]] * 0.25,
        0
    )
    +
    IF(
        $N22 &lt; 0.875,
        MAX(0, MIN(($H22 / 1000) * AE$10 * $BA$4, AE$11 * 0.876) - (AE$11 * $N22)) * 0.25,
        0
    )
)</f>
        <v/>
      </c>
      <c r="AF22" s="117">
        <f>IF(
    AND($H22 &gt; $BA$7, Tabella01MarzoInverter[[#This Row],[Active power TX2-INV-5]] &lt;= 0, Tabella01MarzoInverter[[#This Row],[Active power TX3-INV-2]] &lt;= 0),
    MIN(($H22 / 1000) * AF$10 * $BA$4, AF$11 * 0.876) * 0.25,
    IF(
        AND($H22 &gt; $BA$7, Tabella01MarzoInverter[[#This Row],[Active power TX2-INV-5]] &lt;= 0),
        Tabella01MarzoInverter[[#This Row],[Active power TX3-INV-2]] * 0.25,
        0
    )
    +
    IF(
        $N22 &lt; 0.875,
        MAX(0, MIN(($H22 / 1000) * AF$10 * $BA$4, AF$11 * 0.876) - (AF$11 * $N22)) * 0.25,
        0
    )
)</f>
        <v/>
      </c>
      <c r="AG22" s="117">
        <f>IF(
    AND($H22 &gt; $BA$7, Tabella01MarzoInverter[[#This Row],[Active power TX2-INV-6]] &lt;= 0, Tabella01MarzoInverter[[#This Row],[Active power TX3-INV-3]] &lt;= 0),
    MIN(($H22 / 1000) * AG$10 * $BA$4, AG$11 * 0.876) * 0.25,
    IF(
        AND($H22 &gt; $BA$7, Tabella01MarzoInverter[[#This Row],[Active power TX2-INV-6]] &lt;= 0),
        Tabella01MarzoInverter[[#This Row],[Active power TX3-INV-3]] * 0.25,
        0
    )
    +
    IF(
        $N22 &lt; 0.875,
        MAX(0, MIN(($H22 / 1000) * AG$10 * $BA$4, AG$11 * 0.876) - (AG$11 * $N22)) * 0.25,
        0
    )
)</f>
        <v/>
      </c>
      <c r="AH22" s="117">
        <f>IF(
    AND($H22 &gt; $BA$7, Tabella01MarzoInverter[[#This Row],[Active power TX2-INV-7]] &lt;= 0, Tabella01MarzoInverter[[#This Row],[Active power TX3-INV-4]] &lt;= 0),
    MIN(($H22 / 1000) * AH$10 * $BA$4, AH$11 * 0.876) * 0.25,
    IF(
        AND($H22 &gt; $BA$7, Tabella01MarzoInverter[[#This Row],[Active power TX2-INV-7]] &lt;= 0),
        Tabella01MarzoInverter[[#This Row],[Active power TX3-INV-4]] * 0.25,
        0
    )
    +
    IF(
        $N22 &lt; 0.875,
        MAX(0, MIN(($H22 / 1000) * AH$10 * $BA$4, AH$11 * 0.876) - (AH$11 * $N22)) * 0.25,
        0
    )
)</f>
        <v/>
      </c>
      <c r="AI22" s="117">
        <f>IF(
    AND($H22 &gt; $BA$7, Tabella01MarzoInverter[[#This Row],[Active power TX2-INV-8]] &lt;= 0, Tabella01MarzoInverter[[#This Row],[Active power TX3-INV-5]] &lt;= 0),
    MIN(($H22 / 1000) * AI$10 * $BA$4, AI$11 * 0.876) * 0.25,
    IF(
        AND($H22 &gt; $BA$7, Tabella01MarzoInverter[[#This Row],[Active power TX2-INV-8]] &lt;= 0),
        Tabella01MarzoInverter[[#This Row],[Active power TX3-INV-5]] * 0.25,
        0
    )
    +
    IF(
        $N22 &lt; 0.875,
        MAX(0, MIN(($H22 / 1000) * AI$10 * $BA$4, AI$11 * 0.876) - (AI$11 * $N22)) * 0.25,
        0
    )
)</f>
        <v/>
      </c>
      <c r="AJ22" s="117">
        <f>IF(
    AND($H22 &gt; $BA$7, Tabella01MarzoInverter[[#This Row],[Active power TX2-INV-9]] &lt;= 0, Tabella01MarzoInverter[[#This Row],[Active power TX3-INV-6]] &lt;= 0),
    MIN(($H22 / 1000) * AJ$10 * $BA$4, AJ$11 * 0.876) * 0.25,
    IF(
        AND($H22 &gt; $BA$7, Tabella01MarzoInverter[[#This Row],[Active power TX2-INV-9]] &lt;= 0),
        Tabella01MarzoInverter[[#This Row],[Active power TX3-INV-6]] * 0.25,
        0
    )
    +
    IF(
        $N22 &lt; 0.875,
        MAX(0, MIN(($H22 / 1000) * AJ$10 * $BA$4, AJ$11 * 0.876) - (AJ$11 * $N22)) * 0.25,
        0
    )
)</f>
        <v/>
      </c>
      <c r="AK22" s="117">
        <f>IF(
    AND($H22 &gt; $BA$7, Tabella01MarzoInverter[[#This Row],[Active power TX2-INV-10]] &lt;= 0, Tabella01MarzoInverter[[#This Row],[Active power TX3-INV-7]] &lt;= 0),
    MIN(($H22 / 1000) * AK$10 * $BA$4, AK$11 * 0.876) * 0.25,
    IF(
        AND($H22 &gt; $BA$7, Tabella01MarzoInverter[[#This Row],[Active power TX2-INV-10]] &lt;= 0),
        Tabella01MarzoInverter[[#This Row],[Active power TX3-INV-7]] * 0.25,
        0
    )
    +
    IF(
        $N22 &lt; 0.875,
        MAX(0, MIN(($H22 / 1000) * AK$10 * $BA$4, AK$11 * 0.876) - (AK$11 * $N22)) * 0.25,
        0
    )
)</f>
        <v/>
      </c>
      <c r="AL22" s="117">
        <f>IF(
    AND($H22 &gt; $BA$7, Tabella01MarzoInverter[[#This Row],[Active power TX2-INV-11]] &lt;= 0, Tabella01MarzoInverter[[#This Row],[Active power TX3-INV-8]] &lt;= 0),
    MIN(($H22 / 1000) * AL$10 * $BA$4, AL$11 * 0.876) * 0.25,
    IF(
        AND($H22 &gt; $BA$7, Tabella01MarzoInverter[[#This Row],[Active power TX2-INV-11]] &lt;= 0),
        Tabella01MarzoInverter[[#This Row],[Active power TX3-INV-8]] * 0.25,
        0
    )
    +
    IF(
        $N22 &lt; 0.875,
        MAX(0, MIN(($H22 / 1000) * AL$10 * $BA$4, AL$11 * 0.876) - (AL$11 * $N22)) * 0.25,
        0
    )
)</f>
        <v/>
      </c>
      <c r="AM22" s="117">
        <f>IF(
    AND($H22 &gt; $BA$7, Tabella01MarzoInverter[[#This Row],[Active power TX2-INV-12]] &lt;= 0, Tabella01MarzoInverter[[#This Row],[Active power TX3-INV-9]] &lt;= 0),
    MIN(($H22 / 1000) * AM$10 * $BA$4, AM$11 * 0.876) * 0.25,
    IF(
        AND($H22 &gt; $BA$7, Tabella01MarzoInverter[[#This Row],[Active power TX2-INV-12]] &lt;= 0),
        Tabella01MarzoInverter[[#This Row],[Active power TX3-INV-9]] * 0.25,
        0
    )
    +
    IF(
        $N22 &lt; 0.875,
        MAX(0, MIN(($H22 / 1000) * AM$10 * $BA$4, AM$11 * 0.876) - (AM$11 * $N22)) * 0.25,
        0
    )
)</f>
        <v/>
      </c>
      <c r="AN22" s="118">
        <f>SUM(TabellaMar2026[[#This Row],[Colonna39]:[Colonna6]])</f>
        <v/>
      </c>
      <c r="AO22" s="117">
        <f t="array" ref="AO22">IF(
    AND($H22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($H22 / 1000) * AO$10 * $BA$4 * 0.25
    ),
    0
)
+
IF(
    $N22 &lt; 0.875,
    MAX(0, MIN(($H22 / 1000) * AO$10 * $BA$4, AO$11 * 0.876) - (AO$11 * $N22)) * 0.25,
    0
)</f>
        <v/>
      </c>
      <c r="AP22" s="117">
        <f t="array" ref="AP22">IF(
    AND($H22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($H22 / 1000) * AP$10 * $BA$4 * 0.25
    ),
    0
)
+
IF(
    $N22 &lt; 0.875,
    MAX(0, MIN(($H22 / 1000) * AP$10 * $BA$4, AP$11 * 0.876) - (AP$11 * $N22)) * 0.25,
    0
)</f>
        <v/>
      </c>
      <c r="AQ22" s="117">
        <f t="array" ref="AQ22">IF(
    AND($H22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($H22 / 1000) * AQ$10 * $BA$4 * 0.25
    ),
    0
)
+
IF(
    $N22 &lt; 0.875,
    MAX(0, MIN(($H22 / 1000) * AQ$10 * $BA$4, AQ$11 * 0.876) - (AQ$11 * $N22)) * 0.25,
    0
)</f>
        <v/>
      </c>
      <c r="AR22" s="117">
        <f t="array" ref="AR22">IF(
    AND($H22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($H22 / 1000) * AR$10 * $BA$4 * 0.25
    ),
    0
)
+
IF(
    $N22 &lt; 0.875,
    MAX(0, MIN(($H22 / 1000) * AR$10 * $BA$4, AR$11 * 0.876) - (AR$11 * $N22)) * 0.25,
    0
)</f>
        <v/>
      </c>
      <c r="AS22" s="117">
        <f t="array" ref="AS22">IF(
    AND($H22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($H22 / 1000) * AS$10 * $BA$4 * 0.25
    ),
    0
)
+
IF(
    $N22 &lt; 0.875,
    MAX(0, MIN(($H22 / 1000) * AS$10 * $BA$4, AS$11 * 0.876) - (AS$11 * $N22)) * 0.25,
    0
)</f>
        <v/>
      </c>
      <c r="AT22" s="117">
        <f t="array" ref="AT22">IF(
    AND($H22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($H22 / 1000) * AT$10 * $BA$4 * 0.25
    ),
    0
)
+
IF(
    $N22 &lt; 0.875,
    MAX(0, MIN(($H22 / 1000) * AT$10 * $BA$4, AT$11 * 0.876) - (AT$11 * $N22)) * 0.25,
    0
)</f>
        <v/>
      </c>
      <c r="AU22" s="117">
        <f t="array" ref="AU22">IF(
    AND($H22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($H22 / 1000) * AU$10 * $BA$4 * 0.25
    ),
    0
)
+
IF(
    $N22 &lt; 0.875,
    MAX(0, MIN(($H22 / 1000) * AU$10 * $BA$4, AU$11 * 0.876) - (AU$11 * $N22)) * 0.25,
    0
)</f>
        <v/>
      </c>
      <c r="AV22" s="117">
        <f t="array" ref="AV22">IF(
    AND($H22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($H22 / 1000) * AV$10 * $BA$4 * 0.25
    ),
    0
)
+
IF(
    $N22 &lt; 0.875,
    MAX(0, MIN(($H22 / 1000) * AV$10 * $BA$4, AV$11 * 0.876) - (AV$11 * $N22)) * 0.25,
    0
)</f>
        <v/>
      </c>
      <c r="AW22" s="117">
        <f t="array" ref="AW22">IF(
    AND($H22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($H22 / 1000) * AW$10 * $BA$4 * 0.25
    ),
    0
)
+
IF(
    $N22 &lt; 0.875,
    MAX(0, MIN(($H22 / 1000) * AW$10 * $BA$4, AW$11 * 0.876) - (AW$11 * $N22)) * 0.25,
    0
)</f>
        <v/>
      </c>
      <c r="AX22" s="117">
        <f t="array" ref="AX22">IF(
    AND($H22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($H22 / 1000) * AX$10 * $BA$4 * 0.25
    ),
    0
)
+
IF(
    $N22 &lt; 0.875,
    MAX(0, MIN(($H22 / 1000) * AX$10 * $BA$4, AX$11 * 0.876) - (AX$11 * $N22)) * 0.25,
    0
)</f>
        <v/>
      </c>
      <c r="AY22" s="117">
        <f t="array" ref="AY22">IF(
    AND($H22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($H22 / 1000) * AY$10 * $BA$4 * 0.25
    ),
    0
)
+
IF(
    $N22 &lt; 0.875,
    MAX(0, MIN(($H22 / 1000) * AY$10 * $BA$4, AY$11 * 0.876) - (AY$11 * $N22)) * 0.25,
    0
)</f>
        <v/>
      </c>
      <c r="AZ22" s="117">
        <f t="array" ref="AZ22">IF(
    AND($H22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($H22 / 1000) * AZ$10 * $BA$4 * 0.25
    ),
    0
)
+
IF(
    $N22 &lt; 0.875,
    MAX(0, MIN(($H22 / 1000) * AZ$10 * $BA$4, AZ$11 * 0.876) - (AZ$11 * $N22)) * 0.25,
    0
)</f>
        <v/>
      </c>
      <c r="BA22" s="119">
        <f>SUM(TabellaMar2026[[#This Row],[Colonna54]:[Colonna53]])</f>
        <v/>
      </c>
    </row>
    <row r="23" customFormat="1" s="1">
      <c r="A23" s="112" t="n">
        <v>46143</v>
      </c>
      <c r="B23" t="inlineStr">
        <is>
          <t>02:00:00.000</t>
        </is>
      </c>
      <c r="C23" s="2" t="n">
        <v>-1.8</v>
      </c>
      <c r="D23" s="113" t="n">
        <v>-0.00045</v>
      </c>
      <c r="E23" s="113" t="n">
        <v>-1.5</v>
      </c>
      <c r="F23" s="113" t="n">
        <v>-0.000375</v>
      </c>
      <c r="G23" s="113">
        <f>IFERROR((D23+F23)/2, 0)</f>
        <v/>
      </c>
      <c r="H23" s="114">
        <f>IFERROR(IF(AVERAGE(C23,E23)&gt;$BA$7,AVERAGE(C23,E23),0), 0)</f>
        <v/>
      </c>
      <c r="I23" s="114">
        <f>IFERROR(IF(AND(D23=0,F23=0),0,IF(H23&gt;$BA$6,MAX(D23,F23),G23)), 0)</f>
        <v/>
      </c>
      <c r="J23" s="113">
        <f>IFERROR(IF(AND(D23&gt;0,F23&gt;0),ABS(D23-F23)/AVERAGE(D23,F23),0), 0)</f>
        <v/>
      </c>
      <c r="K23" s="113" t="n">
        <v>30098.6</v>
      </c>
      <c r="L23" s="113" t="n">
        <v>30098.6</v>
      </c>
      <c r="M23" s="115">
        <f>IFERROR((L23-K23)*1000, 0)</f>
        <v/>
      </c>
      <c r="N23" s="113" t="n">
        <v>0.8759999999999999</v>
      </c>
      <c r="O23" s="115">
        <f t="array" ref="O23">IF(
    AND($H23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($H23 / 1000) * O$10 * $BA$4 * 0.25
    ),
    0
)
+
IF(
    $N23 &lt; 0.875,
    MAX(0, MIN(($H23 / 1000) * O$10 * $BA$4, O$11 * 0.876) - (O$11 * $N23)) * 0.25,
    0
)</f>
        <v/>
      </c>
      <c r="P23" s="115">
        <f t="array" ref="P23">IF(
    AND($H23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($H23 / 1000) * P$10 * $BA$4 * 0.25
    ),
    0
)
+
IF(
    $N23 &lt; 0.875,
    MAX(0, MIN(($H23 / 1000) * P$10 * $BA$4, P$11 * 0.876) - (P$11 * $N23)) * 0.25,
    0
)</f>
        <v/>
      </c>
      <c r="Q23" s="115">
        <f t="array" ref="Q23">IF(
    AND($H23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($H23 / 1000) * Q$10 * $BA$4 * 0.25
    ),
    0
)
+
IF(
    $N23 &lt; 0.875,
    MAX(0, MIN(($H23 / 1000) * Q$10 * $BA$4, Q$11 * 0.876) - (Q$11 * $N23)) * 0.25,
    0
)</f>
        <v/>
      </c>
      <c r="R23" s="115">
        <f t="array" ref="R23">IF(
    AND($H23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($H23 / 1000) * R$10 * $BA$4 * 0.25
    ),
    0
)
+
IF(
    $N23 &lt; 0.875,
    MAX(0, MIN(($H23 / 1000) * R$10 * $BA$4, R$11 * 0.876) - (R$11 * $N23)) * 0.25,
    0
)</f>
        <v/>
      </c>
      <c r="S23" s="115">
        <f t="array" ref="S23">IF(
    AND($H23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($H23 / 1000) * S$10 * $BA$4 * 0.25
    ),
    0
)
+
IF(
    $N23 &lt; 0.875,
    MAX(0, MIN(($H23 / 1000) * S$10 * $BA$4, S$11 * 0.876) - (S$11 * $N23)) * 0.25,
    0
)</f>
        <v/>
      </c>
      <c r="T23" s="115">
        <f t="array" ref="T23">IF(
    AND($H23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($H23 / 1000) * T$10 * $BA$4 * 0.25
    ),
    0
)
+
IF(
    $N23 &lt; 0.875,
    MAX(0, MIN(($H23 / 1000) * T$10 * $BA$4, T$11 * 0.876) - (T$11 * $N23)) * 0.25,
    0
)</f>
        <v/>
      </c>
      <c r="U23" s="115">
        <f t="array" ref="U23">IF(
    AND($H23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($H23 / 1000) * U$10 * $BA$4 * 0.25
    ),
    0
)
+
IF(
    $N23 &lt; 0.875,
    MAX(0, MIN(($H23 / 1000) * U$10 * $BA$4, U$11 * 0.876) - (U$11 * $N23)) * 0.25,
    0
)</f>
        <v/>
      </c>
      <c r="V23" s="115">
        <f t="array" ref="V23">IF(
    AND($H23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($H23 / 1000) * V$10 * $BA$4 * 0.25
    ),
    0
)
+
IF(
    $N23 &lt; 0.875,
    MAX(0, MIN(($H23 / 1000) * V$10 * $BA$4, V$11 * 0.876) - (V$11 * $N23)) * 0.25,
    0
)</f>
        <v/>
      </c>
      <c r="W23" s="115">
        <f t="array" ref="W23">IF(
    AND($H23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($H23 / 1000) * W$10 * $BA$4 * 0.25
    ),
    0
)
+
IF(
    $N23 &lt; 0.875,
    MAX(0, MIN(($H23 / 1000) * W$10 * $BA$4, W$11 * 0.876) - (W$11 * $N23)) * 0.25,
    0
)</f>
        <v/>
      </c>
      <c r="X23" s="115">
        <f t="array" ref="X23">IF(
    AND($H23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($H23 / 1000) * X$10 * $BA$4 * 0.25
    ),
    0
)
+
IF(
    $N23 &lt; 0.875,
    MAX(0, MIN(($H23 / 1000) * X$10 * $BA$4, X$11 * 0.876) - (X$11 * $N23)) * 0.25,
    0
)</f>
        <v/>
      </c>
      <c r="Y23" s="115">
        <f t="array" ref="Y23">IF(
    AND($H23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($H23 / 1000) * Y$10 * $BA$4 * 0.25
    ),
    0
)
+
IF(
    $N23 &lt; 0.875,
    MAX(0, MIN(($H23 / 1000) * Y$10 * $BA$4, Y$11 * 0.876) - (Y$11 * $N23)) * 0.25,
    0
)</f>
        <v/>
      </c>
      <c r="Z23" s="115">
        <f t="array" ref="Z23">IF(
    AND($H23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($H23 / 1000) * Z$10 * $BA$4 * 0.25
    ),
    0
)
+
IF(
    $N23 &lt; 0.875,
    MAX(0, MIN(($H23 / 1000) * Z$10 * $BA$4, Z$11 * 0.876) - (Z$11 * $N23)) * 0.25,
    0
)</f>
        <v/>
      </c>
      <c r="AA23" s="116">
        <f>SUM(TabellaMar2026[[#This Row],[Colonna24]:[Colonna20]])</f>
        <v/>
      </c>
      <c r="AB23" s="117">
        <f>IF(
    AND($H23 &gt; $BA$7, Tabella01MarzoInverter[[#This Row],[Active power TX2-INV-1]] &lt;= 0, Tabella01MarzoInverter[[#This Row],[TX2 - Average Power]] &lt;= 0),
    MIN(($H23 / 1000) * AB$10 * $BA$4, AB$11 * 0.876) * 0.25,
    IF(
        AND($H23 &gt; $BA$7, Tabella01MarzoInverter[[#This Row],[Active power TX2-INV-1]] &lt;= 0),
        Tabella01MarzoInverter[[#This Row],[TX2 - Average Power]] * 0.25,
        0
    )
    +
    IF(
        $N23 &lt; 0.875,
        MAX(0, MIN(($H23 / 1000) * AB$10 * $BA$4, AB$11 * 0.876) - (AB$11 * $N23)) * 0.25,
        0
    )
)</f>
        <v/>
      </c>
      <c r="AC23" s="117">
        <f>IF(
    AND($H23 &gt; $BA$7, Tabella01MarzoInverter[[#This Row],[Active power TX2-INV-2]] &lt;= 0, Tabella01MarzoInverter[[#This Row],[TX2 - Max Power]] &lt;= 0),
    MIN(($H23 / 1000) * AC$10 * $BA$4, AC$11 * 0.876) * 0.25,
    IF(
        AND($H23 &gt; $BA$7, Tabella01MarzoInverter[[#This Row],[Active power TX2-INV-2]] &lt;= 0),
        Tabella01MarzoInverter[[#This Row],[TX2 - Max Power]] * 0.25,
        0
    )
    +
    IF(
        $N23 &lt; 0.875,
        MAX(0, MIN(($H23 / 1000) * AC$10 * $BA$4, AC$11 * 0.876) - (AC$11 * $N23)) * 0.25,
        0
    )
)</f>
        <v/>
      </c>
      <c r="AD23" s="117">
        <f>IF(
    AND($H23 &gt; $BA$7, Tabella01MarzoInverter[[#This Row],[Active power TX2-INV-3]] &lt;= 0, Tabella01MarzoInverter[[#This Row],[TX2 - Min Power]] &lt;= 0),
    MIN(($H23 / 1000) * AD$10 * $BA$4, AD$11 * 0.876) * 0.25,
    IF(
        AND($H23 &gt; $BA$7, Tabella01MarzoInverter[[#This Row],[Active power TX2-INV-3]] &lt;= 0),
        Tabella01MarzoInverter[[#This Row],[TX2 - Min Power]] * 0.25,
        0
    )
    +
    IF(
        $N23 &lt; 0.875,
        MAX(0, MIN(($H23 / 1000) * AD$10 * $BA$4, AD$11 * 0.876) - (AD$11 * $N23)) * 0.25,
        0
    )
)</f>
        <v/>
      </c>
      <c r="AE23" s="117">
        <f>IF(
    AND($H23 &gt; $BA$7, Tabella01MarzoInverter[[#This Row],[Active power TX2-INV-4]] &lt;= 0, Tabella01MarzoInverter[[#This Row],[Active power TX3-INV-1]] &lt;= 0),
    MIN(($H23 / 1000) * AE$10 * $BA$4, AE$11 * 0.876) * 0.25,
    IF(
        AND($H23 &gt; $BA$7, Tabella01MarzoInverter[[#This Row],[Active power TX2-INV-4]] &lt;= 0),
        Tabella01MarzoInverter[[#This Row],[Active power TX3-INV-1]] * 0.25,
        0
    )
    +
    IF(
        $N23 &lt; 0.875,
        MAX(0, MIN(($H23 / 1000) * AE$10 * $BA$4, AE$11 * 0.876) - (AE$11 * $N23)) * 0.25,
        0
    )
)</f>
        <v/>
      </c>
      <c r="AF23" s="117">
        <f>IF(
    AND($H23 &gt; $BA$7, Tabella01MarzoInverter[[#This Row],[Active power TX2-INV-5]] &lt;= 0, Tabella01MarzoInverter[[#This Row],[Active power TX3-INV-2]] &lt;= 0),
    MIN(($H23 / 1000) * AF$10 * $BA$4, AF$11 * 0.876) * 0.25,
    IF(
        AND($H23 &gt; $BA$7, Tabella01MarzoInverter[[#This Row],[Active power TX2-INV-5]] &lt;= 0),
        Tabella01MarzoInverter[[#This Row],[Active power TX3-INV-2]] * 0.25,
        0
    )
    +
    IF(
        $N23 &lt; 0.875,
        MAX(0, MIN(($H23 / 1000) * AF$10 * $BA$4, AF$11 * 0.876) - (AF$11 * $N23)) * 0.25,
        0
    )
)</f>
        <v/>
      </c>
      <c r="AG23" s="117">
        <f>IF(
    AND($H23 &gt; $BA$7, Tabella01MarzoInverter[[#This Row],[Active power TX2-INV-6]] &lt;= 0, Tabella01MarzoInverter[[#This Row],[Active power TX3-INV-3]] &lt;= 0),
    MIN(($H23 / 1000) * AG$10 * $BA$4, AG$11 * 0.876) * 0.25,
    IF(
        AND($H23 &gt; $BA$7, Tabella01MarzoInverter[[#This Row],[Active power TX2-INV-6]] &lt;= 0),
        Tabella01MarzoInverter[[#This Row],[Active power TX3-INV-3]] * 0.25,
        0
    )
    +
    IF(
        $N23 &lt; 0.875,
        MAX(0, MIN(($H23 / 1000) * AG$10 * $BA$4, AG$11 * 0.876) - (AG$11 * $N23)) * 0.25,
        0
    )
)</f>
        <v/>
      </c>
      <c r="AH23" s="117">
        <f>IF(
    AND($H23 &gt; $BA$7, Tabella01MarzoInverter[[#This Row],[Active power TX2-INV-7]] &lt;= 0, Tabella01MarzoInverter[[#This Row],[Active power TX3-INV-4]] &lt;= 0),
    MIN(($H23 / 1000) * AH$10 * $BA$4, AH$11 * 0.876) * 0.25,
    IF(
        AND($H23 &gt; $BA$7, Tabella01MarzoInverter[[#This Row],[Active power TX2-INV-7]] &lt;= 0),
        Tabella01MarzoInverter[[#This Row],[Active power TX3-INV-4]] * 0.25,
        0
    )
    +
    IF(
        $N23 &lt; 0.875,
        MAX(0, MIN(($H23 / 1000) * AH$10 * $BA$4, AH$11 * 0.876) - (AH$11 * $N23)) * 0.25,
        0
    )
)</f>
        <v/>
      </c>
      <c r="AI23" s="117">
        <f>IF(
    AND($H23 &gt; $BA$7, Tabella01MarzoInverter[[#This Row],[Active power TX2-INV-8]] &lt;= 0, Tabella01MarzoInverter[[#This Row],[Active power TX3-INV-5]] &lt;= 0),
    MIN(($H23 / 1000) * AI$10 * $BA$4, AI$11 * 0.876) * 0.25,
    IF(
        AND($H23 &gt; $BA$7, Tabella01MarzoInverter[[#This Row],[Active power TX2-INV-8]] &lt;= 0),
        Tabella01MarzoInverter[[#This Row],[Active power TX3-INV-5]] * 0.25,
        0
    )
    +
    IF(
        $N23 &lt; 0.875,
        MAX(0, MIN(($H23 / 1000) * AI$10 * $BA$4, AI$11 * 0.876) - (AI$11 * $N23)) * 0.25,
        0
    )
)</f>
        <v/>
      </c>
      <c r="AJ23" s="117">
        <f>IF(
    AND($H23 &gt; $BA$7, Tabella01MarzoInverter[[#This Row],[Active power TX2-INV-9]] &lt;= 0, Tabella01MarzoInverter[[#This Row],[Active power TX3-INV-6]] &lt;= 0),
    MIN(($H23 / 1000) * AJ$10 * $BA$4, AJ$11 * 0.876) * 0.25,
    IF(
        AND($H23 &gt; $BA$7, Tabella01MarzoInverter[[#This Row],[Active power TX2-INV-9]] &lt;= 0),
        Tabella01MarzoInverter[[#This Row],[Active power TX3-INV-6]] * 0.25,
        0
    )
    +
    IF(
        $N23 &lt; 0.875,
        MAX(0, MIN(($H23 / 1000) * AJ$10 * $BA$4, AJ$11 * 0.876) - (AJ$11 * $N23)) * 0.25,
        0
    )
)</f>
        <v/>
      </c>
      <c r="AK23" s="117">
        <f>IF(
    AND($H23 &gt; $BA$7, Tabella01MarzoInverter[[#This Row],[Active power TX2-INV-10]] &lt;= 0, Tabella01MarzoInverter[[#This Row],[Active power TX3-INV-7]] &lt;= 0),
    MIN(($H23 / 1000) * AK$10 * $BA$4, AK$11 * 0.876) * 0.25,
    IF(
        AND($H23 &gt; $BA$7, Tabella01MarzoInverter[[#This Row],[Active power TX2-INV-10]] &lt;= 0),
        Tabella01MarzoInverter[[#This Row],[Active power TX3-INV-7]] * 0.25,
        0
    )
    +
    IF(
        $N23 &lt; 0.875,
        MAX(0, MIN(($H23 / 1000) * AK$10 * $BA$4, AK$11 * 0.876) - (AK$11 * $N23)) * 0.25,
        0
    )
)</f>
        <v/>
      </c>
      <c r="AL23" s="117">
        <f>IF(
    AND($H23 &gt; $BA$7, Tabella01MarzoInverter[[#This Row],[Active power TX2-INV-11]] &lt;= 0, Tabella01MarzoInverter[[#This Row],[Active power TX3-INV-8]] &lt;= 0),
    MIN(($H23 / 1000) * AL$10 * $BA$4, AL$11 * 0.876) * 0.25,
    IF(
        AND($H23 &gt; $BA$7, Tabella01MarzoInverter[[#This Row],[Active power TX2-INV-11]] &lt;= 0),
        Tabella01MarzoInverter[[#This Row],[Active power TX3-INV-8]] * 0.25,
        0
    )
    +
    IF(
        $N23 &lt; 0.875,
        MAX(0, MIN(($H23 / 1000) * AL$10 * $BA$4, AL$11 * 0.876) - (AL$11 * $N23)) * 0.25,
        0
    )
)</f>
        <v/>
      </c>
      <c r="AM23" s="117">
        <f>IF(
    AND($H23 &gt; $BA$7, Tabella01MarzoInverter[[#This Row],[Active power TX2-INV-12]] &lt;= 0, Tabella01MarzoInverter[[#This Row],[Active power TX3-INV-9]] &lt;= 0),
    MIN(($H23 / 1000) * AM$10 * $BA$4, AM$11 * 0.876) * 0.25,
    IF(
        AND($H23 &gt; $BA$7, Tabella01MarzoInverter[[#This Row],[Active power TX2-INV-12]] &lt;= 0),
        Tabella01MarzoInverter[[#This Row],[Active power TX3-INV-9]] * 0.25,
        0
    )
    +
    IF(
        $N23 &lt; 0.875,
        MAX(0, MIN(($H23 / 1000) * AM$10 * $BA$4, AM$11 * 0.876) - (AM$11 * $N23)) * 0.25,
        0
    )
)</f>
        <v/>
      </c>
      <c r="AN23" s="118">
        <f>SUM(TabellaMar2026[[#This Row],[Colonna39]:[Colonna6]])</f>
        <v/>
      </c>
      <c r="AO23" s="117">
        <f t="array" ref="AO23">IF(
    AND($H23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($H23 / 1000) * AO$10 * $BA$4 * 0.25
    ),
    0
)
+
IF(
    $N23 &lt; 0.875,
    MAX(0, MIN(($H23 / 1000) * AO$10 * $BA$4, AO$11 * 0.876) - (AO$11 * $N23)) * 0.25,
    0
)</f>
        <v/>
      </c>
      <c r="AP23" s="117">
        <f t="array" ref="AP23">IF(
    AND($H23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($H23 / 1000) * AP$10 * $BA$4 * 0.25
    ),
    0
)
+
IF(
    $N23 &lt; 0.875,
    MAX(0, MIN(($H23 / 1000) * AP$10 * $BA$4, AP$11 * 0.876) - (AP$11 * $N23)) * 0.25,
    0
)</f>
        <v/>
      </c>
      <c r="AQ23" s="117">
        <f t="array" ref="AQ23">IF(
    AND($H23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($H23 / 1000) * AQ$10 * $BA$4 * 0.25
    ),
    0
)
+
IF(
    $N23 &lt; 0.875,
    MAX(0, MIN(($H23 / 1000) * AQ$10 * $BA$4, AQ$11 * 0.876) - (AQ$11 * $N23)) * 0.25,
    0
)</f>
        <v/>
      </c>
      <c r="AR23" s="117">
        <f t="array" ref="AR23">IF(
    AND($H23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($H23 / 1000) * AR$10 * $BA$4 * 0.25
    ),
    0
)
+
IF(
    $N23 &lt; 0.875,
    MAX(0, MIN(($H23 / 1000) * AR$10 * $BA$4, AR$11 * 0.876) - (AR$11 * $N23)) * 0.25,
    0
)</f>
        <v/>
      </c>
      <c r="AS23" s="117">
        <f t="array" ref="AS23">IF(
    AND($H23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($H23 / 1000) * AS$10 * $BA$4 * 0.25
    ),
    0
)
+
IF(
    $N23 &lt; 0.875,
    MAX(0, MIN(($H23 / 1000) * AS$10 * $BA$4, AS$11 * 0.876) - (AS$11 * $N23)) * 0.25,
    0
)</f>
        <v/>
      </c>
      <c r="AT23" s="117">
        <f t="array" ref="AT23">IF(
    AND($H23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($H23 / 1000) * AT$10 * $BA$4 * 0.25
    ),
    0
)
+
IF(
    $N23 &lt; 0.875,
    MAX(0, MIN(($H23 / 1000) * AT$10 * $BA$4, AT$11 * 0.876) - (AT$11 * $N23)) * 0.25,
    0
)</f>
        <v/>
      </c>
      <c r="AU23" s="117">
        <f t="array" ref="AU23">IF(
    AND($H23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($H23 / 1000) * AU$10 * $BA$4 * 0.25
    ),
    0
)
+
IF(
    $N23 &lt; 0.875,
    MAX(0, MIN(($H23 / 1000) * AU$10 * $BA$4, AU$11 * 0.876) - (AU$11 * $N23)) * 0.25,
    0
)</f>
        <v/>
      </c>
      <c r="AV23" s="117">
        <f t="array" ref="AV23">IF(
    AND($H23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($H23 / 1000) * AV$10 * $BA$4 * 0.25
    ),
    0
)
+
IF(
    $N23 &lt; 0.875,
    MAX(0, MIN(($H23 / 1000) * AV$10 * $BA$4, AV$11 * 0.876) - (AV$11 * $N23)) * 0.25,
    0
)</f>
        <v/>
      </c>
      <c r="AW23" s="117">
        <f t="array" ref="AW23">IF(
    AND($H23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($H23 / 1000) * AW$10 * $BA$4 * 0.25
    ),
    0
)
+
IF(
    $N23 &lt; 0.875,
    MAX(0, MIN(($H23 / 1000) * AW$10 * $BA$4, AW$11 * 0.876) - (AW$11 * $N23)) * 0.25,
    0
)</f>
        <v/>
      </c>
      <c r="AX23" s="117">
        <f t="array" ref="AX23">IF(
    AND($H23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($H23 / 1000) * AX$10 * $BA$4 * 0.25
    ),
    0
)
+
IF(
    $N23 &lt; 0.875,
    MAX(0, MIN(($H23 / 1000) * AX$10 * $BA$4, AX$11 * 0.876) - (AX$11 * $N23)) * 0.25,
    0
)</f>
        <v/>
      </c>
      <c r="AY23" s="117">
        <f t="array" ref="AY23">IF(
    AND($H23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($H23 / 1000) * AY$10 * $BA$4 * 0.25
    ),
    0
)
+
IF(
    $N23 &lt; 0.875,
    MAX(0, MIN(($H23 / 1000) * AY$10 * $BA$4, AY$11 * 0.876) - (AY$11 * $N23)) * 0.25,
    0
)</f>
        <v/>
      </c>
      <c r="AZ23" s="117">
        <f t="array" ref="AZ23">IF(
    AND($H23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($H23 / 1000) * AZ$10 * $BA$4 * 0.25
    ),
    0
)
+
IF(
    $N23 &lt; 0.875,
    MAX(0, MIN(($H23 / 1000) * AZ$10 * $BA$4, AZ$11 * 0.876) - (AZ$11 * $N23)) * 0.25,
    0
)</f>
        <v/>
      </c>
      <c r="BA23" s="119">
        <f>SUM(TabellaMar2026[[#This Row],[Colonna54]:[Colonna53]])</f>
        <v/>
      </c>
    </row>
    <row r="24" customFormat="1" s="1">
      <c r="A24" s="112" t="n">
        <v>46143</v>
      </c>
      <c r="B24" t="inlineStr">
        <is>
          <t>02:15:00.000</t>
        </is>
      </c>
      <c r="C24" s="2" t="n">
        <v>-1.9</v>
      </c>
      <c r="D24" s="113" t="n">
        <v>-0.000475</v>
      </c>
      <c r="E24" s="113" t="n">
        <v>-1.1</v>
      </c>
      <c r="F24" s="113" t="n">
        <v>-0.000275</v>
      </c>
      <c r="G24" s="113">
        <f>IFERROR((D24+F24)/2, 0)</f>
        <v/>
      </c>
      <c r="H24" s="114">
        <f>IFERROR(IF(AVERAGE(C24,E24)&gt;$BA$7,AVERAGE(C24,E24),0), 0)</f>
        <v/>
      </c>
      <c r="I24" s="114">
        <f>IFERROR(IF(AND(D24=0,F24=0),0,IF(H24&gt;$BA$6,MAX(D24,F24),G24)), 0)</f>
        <v/>
      </c>
      <c r="J24" s="113">
        <f>IFERROR(IF(AND(D24&gt;0,F24&gt;0),ABS(D24-F24)/AVERAGE(D24,F24),0), 0)</f>
        <v/>
      </c>
      <c r="K24" s="113" t="n">
        <v>30098.6</v>
      </c>
      <c r="L24" s="113" t="n">
        <v>30098.6</v>
      </c>
      <c r="M24" s="115">
        <f>IFERROR((L24-K24)*1000, 0)</f>
        <v/>
      </c>
      <c r="N24" s="113" t="n">
        <v>0.8759999999999999</v>
      </c>
      <c r="O24" s="115">
        <f t="array" ref="O24">IF(
    AND($H24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($H24 / 1000) * O$10 * $BA$4 * 0.25
    ),
    0
)
+
IF(
    $N24 &lt; 0.875,
    MAX(0, MIN(($H24 / 1000) * O$10 * $BA$4, O$11 * 0.876) - (O$11 * $N24)) * 0.25,
    0
)</f>
        <v/>
      </c>
      <c r="P24" s="115">
        <f t="array" ref="P24">IF(
    AND($H24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($H24 / 1000) * P$10 * $BA$4 * 0.25
    ),
    0
)
+
IF(
    $N24 &lt; 0.875,
    MAX(0, MIN(($H24 / 1000) * P$10 * $BA$4, P$11 * 0.876) - (P$11 * $N24)) * 0.25,
    0
)</f>
        <v/>
      </c>
      <c r="Q24" s="115">
        <f t="array" ref="Q24">IF(
    AND($H24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($H24 / 1000) * Q$10 * $BA$4 * 0.25
    ),
    0
)
+
IF(
    $N24 &lt; 0.875,
    MAX(0, MIN(($H24 / 1000) * Q$10 * $BA$4, Q$11 * 0.876) - (Q$11 * $N24)) * 0.25,
    0
)</f>
        <v/>
      </c>
      <c r="R24" s="115">
        <f t="array" ref="R24">IF(
    AND($H24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($H24 / 1000) * R$10 * $BA$4 * 0.25
    ),
    0
)
+
IF(
    $N24 &lt; 0.875,
    MAX(0, MIN(($H24 / 1000) * R$10 * $BA$4, R$11 * 0.876) - (R$11 * $N24)) * 0.25,
    0
)</f>
        <v/>
      </c>
      <c r="S24" s="115">
        <f t="array" ref="S24">IF(
    AND($H24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($H24 / 1000) * S$10 * $BA$4 * 0.25
    ),
    0
)
+
IF(
    $N24 &lt; 0.875,
    MAX(0, MIN(($H24 / 1000) * S$10 * $BA$4, S$11 * 0.876) - (S$11 * $N24)) * 0.25,
    0
)</f>
        <v/>
      </c>
      <c r="T24" s="115">
        <f t="array" ref="T24">IF(
    AND($H24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($H24 / 1000) * T$10 * $BA$4 * 0.25
    ),
    0
)
+
IF(
    $N24 &lt; 0.875,
    MAX(0, MIN(($H24 / 1000) * T$10 * $BA$4, T$11 * 0.876) - (T$11 * $N24)) * 0.25,
    0
)</f>
        <v/>
      </c>
      <c r="U24" s="115">
        <f t="array" ref="U24">IF(
    AND($H24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($H24 / 1000) * U$10 * $BA$4 * 0.25
    ),
    0
)
+
IF(
    $N24 &lt; 0.875,
    MAX(0, MIN(($H24 / 1000) * U$10 * $BA$4, U$11 * 0.876) - (U$11 * $N24)) * 0.25,
    0
)</f>
        <v/>
      </c>
      <c r="V24" s="115">
        <f t="array" ref="V24">IF(
    AND($H24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($H24 / 1000) * V$10 * $BA$4 * 0.25
    ),
    0
)
+
IF(
    $N24 &lt; 0.875,
    MAX(0, MIN(($H24 / 1000) * V$10 * $BA$4, V$11 * 0.876) - (V$11 * $N24)) * 0.25,
    0
)</f>
        <v/>
      </c>
      <c r="W24" s="115">
        <f t="array" ref="W24">IF(
    AND($H24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($H24 / 1000) * W$10 * $BA$4 * 0.25
    ),
    0
)
+
IF(
    $N24 &lt; 0.875,
    MAX(0, MIN(($H24 / 1000) * W$10 * $BA$4, W$11 * 0.876) - (W$11 * $N24)) * 0.25,
    0
)</f>
        <v/>
      </c>
      <c r="X24" s="115">
        <f t="array" ref="X24">IF(
    AND($H24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($H24 / 1000) * X$10 * $BA$4 * 0.25
    ),
    0
)
+
IF(
    $N24 &lt; 0.875,
    MAX(0, MIN(($H24 / 1000) * X$10 * $BA$4, X$11 * 0.876) - (X$11 * $N24)) * 0.25,
    0
)</f>
        <v/>
      </c>
      <c r="Y24" s="115">
        <f t="array" ref="Y24">IF(
    AND($H24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($H24 / 1000) * Y$10 * $BA$4 * 0.25
    ),
    0
)
+
IF(
    $N24 &lt; 0.875,
    MAX(0, MIN(($H24 / 1000) * Y$10 * $BA$4, Y$11 * 0.876) - (Y$11 * $N24)) * 0.25,
    0
)</f>
        <v/>
      </c>
      <c r="Z24" s="115">
        <f t="array" ref="Z24">IF(
    AND($H24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($H24 / 1000) * Z$10 * $BA$4 * 0.25
    ),
    0
)
+
IF(
    $N24 &lt; 0.875,
    MAX(0, MIN(($H24 / 1000) * Z$10 * $BA$4, Z$11 * 0.876) - (Z$11 * $N24)) * 0.25,
    0
)</f>
        <v/>
      </c>
      <c r="AA24" s="116">
        <f>SUM(TabellaMar2026[[#This Row],[Colonna24]:[Colonna20]])</f>
        <v/>
      </c>
      <c r="AB24" s="117">
        <f>IF(
    AND($H24 &gt; $BA$7, Tabella01MarzoInverter[[#This Row],[Active power TX2-INV-1]] &lt;= 0, Tabella01MarzoInverter[[#This Row],[TX2 - Average Power]] &lt;= 0),
    MIN(($H24 / 1000) * AB$10 * $BA$4, AB$11 * 0.876) * 0.25,
    IF(
        AND($H24 &gt; $BA$7, Tabella01MarzoInverter[[#This Row],[Active power TX2-INV-1]] &lt;= 0),
        Tabella01MarzoInverter[[#This Row],[TX2 - Average Power]] * 0.25,
        0
    )
    +
    IF(
        $N24 &lt; 0.875,
        MAX(0, MIN(($H24 / 1000) * AB$10 * $BA$4, AB$11 * 0.876) - (AB$11 * $N24)) * 0.25,
        0
    )
)</f>
        <v/>
      </c>
      <c r="AC24" s="117">
        <f>IF(
    AND($H24 &gt; $BA$7, Tabella01MarzoInverter[[#This Row],[Active power TX2-INV-2]] &lt;= 0, Tabella01MarzoInverter[[#This Row],[TX2 - Max Power]] &lt;= 0),
    MIN(($H24 / 1000) * AC$10 * $BA$4, AC$11 * 0.876) * 0.25,
    IF(
        AND($H24 &gt; $BA$7, Tabella01MarzoInverter[[#This Row],[Active power TX2-INV-2]] &lt;= 0),
        Tabella01MarzoInverter[[#This Row],[TX2 - Max Power]] * 0.25,
        0
    )
    +
    IF(
        $N24 &lt; 0.875,
        MAX(0, MIN(($H24 / 1000) * AC$10 * $BA$4, AC$11 * 0.876) - (AC$11 * $N24)) * 0.25,
        0
    )
)</f>
        <v/>
      </c>
      <c r="AD24" s="117">
        <f>IF(
    AND($H24 &gt; $BA$7, Tabella01MarzoInverter[[#This Row],[Active power TX2-INV-3]] &lt;= 0, Tabella01MarzoInverter[[#This Row],[TX2 - Min Power]] &lt;= 0),
    MIN(($H24 / 1000) * AD$10 * $BA$4, AD$11 * 0.876) * 0.25,
    IF(
        AND($H24 &gt; $BA$7, Tabella01MarzoInverter[[#This Row],[Active power TX2-INV-3]] &lt;= 0),
        Tabella01MarzoInverter[[#This Row],[TX2 - Min Power]] * 0.25,
        0
    )
    +
    IF(
        $N24 &lt; 0.875,
        MAX(0, MIN(($H24 / 1000) * AD$10 * $BA$4, AD$11 * 0.876) - (AD$11 * $N24)) * 0.25,
        0
    )
)</f>
        <v/>
      </c>
      <c r="AE24" s="117">
        <f>IF(
    AND($H24 &gt; $BA$7, Tabella01MarzoInverter[[#This Row],[Active power TX2-INV-4]] &lt;= 0, Tabella01MarzoInverter[[#This Row],[Active power TX3-INV-1]] &lt;= 0),
    MIN(($H24 / 1000) * AE$10 * $BA$4, AE$11 * 0.876) * 0.25,
    IF(
        AND($H24 &gt; $BA$7, Tabella01MarzoInverter[[#This Row],[Active power TX2-INV-4]] &lt;= 0),
        Tabella01MarzoInverter[[#This Row],[Active power TX3-INV-1]] * 0.25,
        0
    )
    +
    IF(
        $N24 &lt; 0.875,
        MAX(0, MIN(($H24 / 1000) * AE$10 * $BA$4, AE$11 * 0.876) - (AE$11 * $N24)) * 0.25,
        0
    )
)</f>
        <v/>
      </c>
      <c r="AF24" s="117">
        <f>IF(
    AND($H24 &gt; $BA$7, Tabella01MarzoInverter[[#This Row],[Active power TX2-INV-5]] &lt;= 0, Tabella01MarzoInverter[[#This Row],[Active power TX3-INV-2]] &lt;= 0),
    MIN(($H24 / 1000) * AF$10 * $BA$4, AF$11 * 0.876) * 0.25,
    IF(
        AND($H24 &gt; $BA$7, Tabella01MarzoInverter[[#This Row],[Active power TX2-INV-5]] &lt;= 0),
        Tabella01MarzoInverter[[#This Row],[Active power TX3-INV-2]] * 0.25,
        0
    )
    +
    IF(
        $N24 &lt; 0.875,
        MAX(0, MIN(($H24 / 1000) * AF$10 * $BA$4, AF$11 * 0.876) - (AF$11 * $N24)) * 0.25,
        0
    )
)</f>
        <v/>
      </c>
      <c r="AG24" s="117">
        <f>IF(
    AND($H24 &gt; $BA$7, Tabella01MarzoInverter[[#This Row],[Active power TX2-INV-6]] &lt;= 0, Tabella01MarzoInverter[[#This Row],[Active power TX3-INV-3]] &lt;= 0),
    MIN(($H24 / 1000) * AG$10 * $BA$4, AG$11 * 0.876) * 0.25,
    IF(
        AND($H24 &gt; $BA$7, Tabella01MarzoInverter[[#This Row],[Active power TX2-INV-6]] &lt;= 0),
        Tabella01MarzoInverter[[#This Row],[Active power TX3-INV-3]] * 0.25,
        0
    )
    +
    IF(
        $N24 &lt; 0.875,
        MAX(0, MIN(($H24 / 1000) * AG$10 * $BA$4, AG$11 * 0.876) - (AG$11 * $N24)) * 0.25,
        0
    )
)</f>
        <v/>
      </c>
      <c r="AH24" s="117">
        <f>IF(
    AND($H24 &gt; $BA$7, Tabella01MarzoInverter[[#This Row],[Active power TX2-INV-7]] &lt;= 0, Tabella01MarzoInverter[[#This Row],[Active power TX3-INV-4]] &lt;= 0),
    MIN(($H24 / 1000) * AH$10 * $BA$4, AH$11 * 0.876) * 0.25,
    IF(
        AND($H24 &gt; $BA$7, Tabella01MarzoInverter[[#This Row],[Active power TX2-INV-7]] &lt;= 0),
        Tabella01MarzoInverter[[#This Row],[Active power TX3-INV-4]] * 0.25,
        0
    )
    +
    IF(
        $N24 &lt; 0.875,
        MAX(0, MIN(($H24 / 1000) * AH$10 * $BA$4, AH$11 * 0.876) - (AH$11 * $N24)) * 0.25,
        0
    )
)</f>
        <v/>
      </c>
      <c r="AI24" s="117">
        <f>IF(
    AND($H24 &gt; $BA$7, Tabella01MarzoInverter[[#This Row],[Active power TX2-INV-8]] &lt;= 0, Tabella01MarzoInverter[[#This Row],[Active power TX3-INV-5]] &lt;= 0),
    MIN(($H24 / 1000) * AI$10 * $BA$4, AI$11 * 0.876) * 0.25,
    IF(
        AND($H24 &gt; $BA$7, Tabella01MarzoInverter[[#This Row],[Active power TX2-INV-8]] &lt;= 0),
        Tabella01MarzoInverter[[#This Row],[Active power TX3-INV-5]] * 0.25,
        0
    )
    +
    IF(
        $N24 &lt; 0.875,
        MAX(0, MIN(($H24 / 1000) * AI$10 * $BA$4, AI$11 * 0.876) - (AI$11 * $N24)) * 0.25,
        0
    )
)</f>
        <v/>
      </c>
      <c r="AJ24" s="117">
        <f>IF(
    AND($H24 &gt; $BA$7, Tabella01MarzoInverter[[#This Row],[Active power TX2-INV-9]] &lt;= 0, Tabella01MarzoInverter[[#This Row],[Active power TX3-INV-6]] &lt;= 0),
    MIN(($H24 / 1000) * AJ$10 * $BA$4, AJ$11 * 0.876) * 0.25,
    IF(
        AND($H24 &gt; $BA$7, Tabella01MarzoInverter[[#This Row],[Active power TX2-INV-9]] &lt;= 0),
        Tabella01MarzoInverter[[#This Row],[Active power TX3-INV-6]] * 0.25,
        0
    )
    +
    IF(
        $N24 &lt; 0.875,
        MAX(0, MIN(($H24 / 1000) * AJ$10 * $BA$4, AJ$11 * 0.876) - (AJ$11 * $N24)) * 0.25,
        0
    )
)</f>
        <v/>
      </c>
      <c r="AK24" s="117">
        <f>IF(
    AND($H24 &gt; $BA$7, Tabella01MarzoInverter[[#This Row],[Active power TX2-INV-10]] &lt;= 0, Tabella01MarzoInverter[[#This Row],[Active power TX3-INV-7]] &lt;= 0),
    MIN(($H24 / 1000) * AK$10 * $BA$4, AK$11 * 0.876) * 0.25,
    IF(
        AND($H24 &gt; $BA$7, Tabella01MarzoInverter[[#This Row],[Active power TX2-INV-10]] &lt;= 0),
        Tabella01MarzoInverter[[#This Row],[Active power TX3-INV-7]] * 0.25,
        0
    )
    +
    IF(
        $N24 &lt; 0.875,
        MAX(0, MIN(($H24 / 1000) * AK$10 * $BA$4, AK$11 * 0.876) - (AK$11 * $N24)) * 0.25,
        0
    )
)</f>
        <v/>
      </c>
      <c r="AL24" s="117">
        <f>IF(
    AND($H24 &gt; $BA$7, Tabella01MarzoInverter[[#This Row],[Active power TX2-INV-11]] &lt;= 0, Tabella01MarzoInverter[[#This Row],[Active power TX3-INV-8]] &lt;= 0),
    MIN(($H24 / 1000) * AL$10 * $BA$4, AL$11 * 0.876) * 0.25,
    IF(
        AND($H24 &gt; $BA$7, Tabella01MarzoInverter[[#This Row],[Active power TX2-INV-11]] &lt;= 0),
        Tabella01MarzoInverter[[#This Row],[Active power TX3-INV-8]] * 0.25,
        0
    )
    +
    IF(
        $N24 &lt; 0.875,
        MAX(0, MIN(($H24 / 1000) * AL$10 * $BA$4, AL$11 * 0.876) - (AL$11 * $N24)) * 0.25,
        0
    )
)</f>
        <v/>
      </c>
      <c r="AM24" s="117">
        <f>IF(
    AND($H24 &gt; $BA$7, Tabella01MarzoInverter[[#This Row],[Active power TX2-INV-12]] &lt;= 0, Tabella01MarzoInverter[[#This Row],[Active power TX3-INV-9]] &lt;= 0),
    MIN(($H24 / 1000) * AM$10 * $BA$4, AM$11 * 0.876) * 0.25,
    IF(
        AND($H24 &gt; $BA$7, Tabella01MarzoInverter[[#This Row],[Active power TX2-INV-12]] &lt;= 0),
        Tabella01MarzoInverter[[#This Row],[Active power TX3-INV-9]] * 0.25,
        0
    )
    +
    IF(
        $N24 &lt; 0.875,
        MAX(0, MIN(($H24 / 1000) * AM$10 * $BA$4, AM$11 * 0.876) - (AM$11 * $N24)) * 0.25,
        0
    )
)</f>
        <v/>
      </c>
      <c r="AN24" s="118">
        <f>SUM(TabellaMar2026[[#This Row],[Colonna39]:[Colonna6]])</f>
        <v/>
      </c>
      <c r="AO24" s="117">
        <f t="array" ref="AO24">IF(
    AND($H24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($H24 / 1000) * AO$10 * $BA$4 * 0.25
    ),
    0
)
+
IF(
    $N24 &lt; 0.875,
    MAX(0, MIN(($H24 / 1000) * AO$10 * $BA$4, AO$11 * 0.876) - (AO$11 * $N24)) * 0.25,
    0
)</f>
        <v/>
      </c>
      <c r="AP24" s="117">
        <f t="array" ref="AP24">IF(
    AND($H24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($H24 / 1000) * AP$10 * $BA$4 * 0.25
    ),
    0
)
+
IF(
    $N24 &lt; 0.875,
    MAX(0, MIN(($H24 / 1000) * AP$10 * $BA$4, AP$11 * 0.876) - (AP$11 * $N24)) * 0.25,
    0
)</f>
        <v/>
      </c>
      <c r="AQ24" s="117">
        <f t="array" ref="AQ24">IF(
    AND($H24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($H24 / 1000) * AQ$10 * $BA$4 * 0.25
    ),
    0
)
+
IF(
    $N24 &lt; 0.875,
    MAX(0, MIN(($H24 / 1000) * AQ$10 * $BA$4, AQ$11 * 0.876) - (AQ$11 * $N24)) * 0.25,
    0
)</f>
        <v/>
      </c>
      <c r="AR24" s="117">
        <f t="array" ref="AR24">IF(
    AND($H24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($H24 / 1000) * AR$10 * $BA$4 * 0.25
    ),
    0
)
+
IF(
    $N24 &lt; 0.875,
    MAX(0, MIN(($H24 / 1000) * AR$10 * $BA$4, AR$11 * 0.876) - (AR$11 * $N24)) * 0.25,
    0
)</f>
        <v/>
      </c>
      <c r="AS24" s="117">
        <f t="array" ref="AS24">IF(
    AND($H24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($H24 / 1000) * AS$10 * $BA$4 * 0.25
    ),
    0
)
+
IF(
    $N24 &lt; 0.875,
    MAX(0, MIN(($H24 / 1000) * AS$10 * $BA$4, AS$11 * 0.876) - (AS$11 * $N24)) * 0.25,
    0
)</f>
        <v/>
      </c>
      <c r="AT24" s="117">
        <f t="array" ref="AT24">IF(
    AND($H24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($H24 / 1000) * AT$10 * $BA$4 * 0.25
    ),
    0
)
+
IF(
    $N24 &lt; 0.875,
    MAX(0, MIN(($H24 / 1000) * AT$10 * $BA$4, AT$11 * 0.876) - (AT$11 * $N24)) * 0.25,
    0
)</f>
        <v/>
      </c>
      <c r="AU24" s="117">
        <f t="array" ref="AU24">IF(
    AND($H24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($H24 / 1000) * AU$10 * $BA$4 * 0.25
    ),
    0
)
+
IF(
    $N24 &lt; 0.875,
    MAX(0, MIN(($H24 / 1000) * AU$10 * $BA$4, AU$11 * 0.876) - (AU$11 * $N24)) * 0.25,
    0
)</f>
        <v/>
      </c>
      <c r="AV24" s="117">
        <f t="array" ref="AV24">IF(
    AND($H24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($H24 / 1000) * AV$10 * $BA$4 * 0.25
    ),
    0
)
+
IF(
    $N24 &lt; 0.875,
    MAX(0, MIN(($H24 / 1000) * AV$10 * $BA$4, AV$11 * 0.876) - (AV$11 * $N24)) * 0.25,
    0
)</f>
        <v/>
      </c>
      <c r="AW24" s="117">
        <f t="array" ref="AW24">IF(
    AND($H24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($H24 / 1000) * AW$10 * $BA$4 * 0.25
    ),
    0
)
+
IF(
    $N24 &lt; 0.875,
    MAX(0, MIN(($H24 / 1000) * AW$10 * $BA$4, AW$11 * 0.876) - (AW$11 * $N24)) * 0.25,
    0
)</f>
        <v/>
      </c>
      <c r="AX24" s="117">
        <f t="array" ref="AX24">IF(
    AND($H24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($H24 / 1000) * AX$10 * $BA$4 * 0.25
    ),
    0
)
+
IF(
    $N24 &lt; 0.875,
    MAX(0, MIN(($H24 / 1000) * AX$10 * $BA$4, AX$11 * 0.876) - (AX$11 * $N24)) * 0.25,
    0
)</f>
        <v/>
      </c>
      <c r="AY24" s="117">
        <f t="array" ref="AY24">IF(
    AND($H24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($H24 / 1000) * AY$10 * $BA$4 * 0.25
    ),
    0
)
+
IF(
    $N24 &lt; 0.875,
    MAX(0, MIN(($H24 / 1000) * AY$10 * $BA$4, AY$11 * 0.876) - (AY$11 * $N24)) * 0.25,
    0
)</f>
        <v/>
      </c>
      <c r="AZ24" s="117">
        <f t="array" ref="AZ24">IF(
    AND($H24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($H24 / 1000) * AZ$10 * $BA$4 * 0.25
    ),
    0
)
+
IF(
    $N24 &lt; 0.875,
    MAX(0, MIN(($H24 / 1000) * AZ$10 * $BA$4, AZ$11 * 0.876) - (AZ$11 * $N24)) * 0.25,
    0
)</f>
        <v/>
      </c>
      <c r="BA24" s="119">
        <f>SUM(TabellaMar2026[[#This Row],[Colonna54]:[Colonna53]])</f>
        <v/>
      </c>
    </row>
    <row r="25" customFormat="1" s="1">
      <c r="A25" s="112" t="n">
        <v>46143</v>
      </c>
      <c r="B25" t="inlineStr">
        <is>
          <t>02:30:00.000</t>
        </is>
      </c>
      <c r="C25" s="2" t="n">
        <v>-1</v>
      </c>
      <c r="D25" s="113" t="n">
        <v>-0.00025</v>
      </c>
      <c r="E25" s="113" t="n">
        <v>-1</v>
      </c>
      <c r="F25" s="113" t="n">
        <v>-0.00025</v>
      </c>
      <c r="G25" s="113">
        <f>IFERROR((D25+F25)/2, 0)</f>
        <v/>
      </c>
      <c r="H25" s="114">
        <f>IFERROR(IF(AVERAGE(C25,E25)&gt;$BA$7,AVERAGE(C25,E25),0), 0)</f>
        <v/>
      </c>
      <c r="I25" s="114">
        <f>IFERROR(IF(AND(D25=0,F25=0),0,IF(H25&gt;$BA$6,MAX(D25,F25),G25)), 0)</f>
        <v/>
      </c>
      <c r="J25" s="113">
        <f>IFERROR(IF(AND(D25&gt;0,F25&gt;0),ABS(D25-F25)/AVERAGE(D25,F25),0), 0)</f>
        <v/>
      </c>
      <c r="K25" s="113" t="n">
        <v>30098.6</v>
      </c>
      <c r="L25" s="113" t="n">
        <v>30098.6</v>
      </c>
      <c r="M25" s="115">
        <f>IFERROR((L25-K25)*1000, 0)</f>
        <v/>
      </c>
      <c r="N25" s="113" t="n">
        <v>0.8759999999999999</v>
      </c>
      <c r="O25" s="115">
        <f t="array" ref="O25">IF(
    AND($H25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($H25 / 1000) * O$10 * $BA$4 * 0.25
    ),
    0
)
+
IF(
    $N25 &lt; 0.875,
    MAX(0, MIN(($H25 / 1000) * O$10 * $BA$4, O$11 * 0.876) - (O$11 * $N25)) * 0.25,
    0
)</f>
        <v/>
      </c>
      <c r="P25" s="115">
        <f t="array" ref="P25">IF(
    AND($H25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($H25 / 1000) * P$10 * $BA$4 * 0.25
    ),
    0
)
+
IF(
    $N25 &lt; 0.875,
    MAX(0, MIN(($H25 / 1000) * P$10 * $BA$4, P$11 * 0.876) - (P$11 * $N25)) * 0.25,
    0
)</f>
        <v/>
      </c>
      <c r="Q25" s="115">
        <f t="array" ref="Q25">IF(
    AND($H25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($H25 / 1000) * Q$10 * $BA$4 * 0.25
    ),
    0
)
+
IF(
    $N25 &lt; 0.875,
    MAX(0, MIN(($H25 / 1000) * Q$10 * $BA$4, Q$11 * 0.876) - (Q$11 * $N25)) * 0.25,
    0
)</f>
        <v/>
      </c>
      <c r="R25" s="115">
        <f t="array" ref="R25">IF(
    AND($H25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($H25 / 1000) * R$10 * $BA$4 * 0.25
    ),
    0
)
+
IF(
    $N25 &lt; 0.875,
    MAX(0, MIN(($H25 / 1000) * R$10 * $BA$4, R$11 * 0.876) - (R$11 * $N25)) * 0.25,
    0
)</f>
        <v/>
      </c>
      <c r="S25" s="115">
        <f t="array" ref="S25">IF(
    AND($H25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($H25 / 1000) * S$10 * $BA$4 * 0.25
    ),
    0
)
+
IF(
    $N25 &lt; 0.875,
    MAX(0, MIN(($H25 / 1000) * S$10 * $BA$4, S$11 * 0.876) - (S$11 * $N25)) * 0.25,
    0
)</f>
        <v/>
      </c>
      <c r="T25" s="115">
        <f t="array" ref="T25">IF(
    AND($H25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($H25 / 1000) * T$10 * $BA$4 * 0.25
    ),
    0
)
+
IF(
    $N25 &lt; 0.875,
    MAX(0, MIN(($H25 / 1000) * T$10 * $BA$4, T$11 * 0.876) - (T$11 * $N25)) * 0.25,
    0
)</f>
        <v/>
      </c>
      <c r="U25" s="115">
        <f t="array" ref="U25">IF(
    AND($H25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($H25 / 1000) * U$10 * $BA$4 * 0.25
    ),
    0
)
+
IF(
    $N25 &lt; 0.875,
    MAX(0, MIN(($H25 / 1000) * U$10 * $BA$4, U$11 * 0.876) - (U$11 * $N25)) * 0.25,
    0
)</f>
        <v/>
      </c>
      <c r="V25" s="115">
        <f t="array" ref="V25">IF(
    AND($H25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($H25 / 1000) * V$10 * $BA$4 * 0.25
    ),
    0
)
+
IF(
    $N25 &lt; 0.875,
    MAX(0, MIN(($H25 / 1000) * V$10 * $BA$4, V$11 * 0.876) - (V$11 * $N25)) * 0.25,
    0
)</f>
        <v/>
      </c>
      <c r="W25" s="115">
        <f t="array" ref="W25">IF(
    AND($H25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($H25 / 1000) * W$10 * $BA$4 * 0.25
    ),
    0
)
+
IF(
    $N25 &lt; 0.875,
    MAX(0, MIN(($H25 / 1000) * W$10 * $BA$4, W$11 * 0.876) - (W$11 * $N25)) * 0.25,
    0
)</f>
        <v/>
      </c>
      <c r="X25" s="115">
        <f t="array" ref="X25">IF(
    AND($H25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($H25 / 1000) * X$10 * $BA$4 * 0.25
    ),
    0
)
+
IF(
    $N25 &lt; 0.875,
    MAX(0, MIN(($H25 / 1000) * X$10 * $BA$4, X$11 * 0.876) - (X$11 * $N25)) * 0.25,
    0
)</f>
        <v/>
      </c>
      <c r="Y25" s="115">
        <f t="array" ref="Y25">IF(
    AND($H25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($H25 / 1000) * Y$10 * $BA$4 * 0.25
    ),
    0
)
+
IF(
    $N25 &lt; 0.875,
    MAX(0, MIN(($H25 / 1000) * Y$10 * $BA$4, Y$11 * 0.876) - (Y$11 * $N25)) * 0.25,
    0
)</f>
        <v/>
      </c>
      <c r="Z25" s="115">
        <f t="array" ref="Z25">IF(
    AND($H25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($H25 / 1000) * Z$10 * $BA$4 * 0.25
    ),
    0
)
+
IF(
    $N25 &lt; 0.875,
    MAX(0, MIN(($H25 / 1000) * Z$10 * $BA$4, Z$11 * 0.876) - (Z$11 * $N25)) * 0.25,
    0
)</f>
        <v/>
      </c>
      <c r="AA25" s="116">
        <f>SUM(TabellaMar2026[[#This Row],[Colonna24]:[Colonna20]])</f>
        <v/>
      </c>
      <c r="AB25" s="117">
        <f>IF(
    AND($H25 &gt; $BA$7, Tabella01MarzoInverter[[#This Row],[Active power TX2-INV-1]] &lt;= 0, Tabella01MarzoInverter[[#This Row],[TX2 - Average Power]] &lt;= 0),
    MIN(($H25 / 1000) * AB$10 * $BA$4, AB$11 * 0.876) * 0.25,
    IF(
        AND($H25 &gt; $BA$7, Tabella01MarzoInverter[[#This Row],[Active power TX2-INV-1]] &lt;= 0),
        Tabella01MarzoInverter[[#This Row],[TX2 - Average Power]] * 0.25,
        0
    )
    +
    IF(
        $N25 &lt; 0.875,
        MAX(0, MIN(($H25 / 1000) * AB$10 * $BA$4, AB$11 * 0.876) - (AB$11 * $N25)) * 0.25,
        0
    )
)</f>
        <v/>
      </c>
      <c r="AC25" s="117">
        <f>IF(
    AND($H25 &gt; $BA$7, Tabella01MarzoInverter[[#This Row],[Active power TX2-INV-2]] &lt;= 0, Tabella01MarzoInverter[[#This Row],[TX2 - Max Power]] &lt;= 0),
    MIN(($H25 / 1000) * AC$10 * $BA$4, AC$11 * 0.876) * 0.25,
    IF(
        AND($H25 &gt; $BA$7, Tabella01MarzoInverter[[#This Row],[Active power TX2-INV-2]] &lt;= 0),
        Tabella01MarzoInverter[[#This Row],[TX2 - Max Power]] * 0.25,
        0
    )
    +
    IF(
        $N25 &lt; 0.875,
        MAX(0, MIN(($H25 / 1000) * AC$10 * $BA$4, AC$11 * 0.876) - (AC$11 * $N25)) * 0.25,
        0
    )
)</f>
        <v/>
      </c>
      <c r="AD25" s="117">
        <f>IF(
    AND($H25 &gt; $BA$7, Tabella01MarzoInverter[[#This Row],[Active power TX2-INV-3]] &lt;= 0, Tabella01MarzoInverter[[#This Row],[TX2 - Min Power]] &lt;= 0),
    MIN(($H25 / 1000) * AD$10 * $BA$4, AD$11 * 0.876) * 0.25,
    IF(
        AND($H25 &gt; $BA$7, Tabella01MarzoInverter[[#This Row],[Active power TX2-INV-3]] &lt;= 0),
        Tabella01MarzoInverter[[#This Row],[TX2 - Min Power]] * 0.25,
        0
    )
    +
    IF(
        $N25 &lt; 0.875,
        MAX(0, MIN(($H25 / 1000) * AD$10 * $BA$4, AD$11 * 0.876) - (AD$11 * $N25)) * 0.25,
        0
    )
)</f>
        <v/>
      </c>
      <c r="AE25" s="117">
        <f>IF(
    AND($H25 &gt; $BA$7, Tabella01MarzoInverter[[#This Row],[Active power TX2-INV-4]] &lt;= 0, Tabella01MarzoInverter[[#This Row],[Active power TX3-INV-1]] &lt;= 0),
    MIN(($H25 / 1000) * AE$10 * $BA$4, AE$11 * 0.876) * 0.25,
    IF(
        AND($H25 &gt; $BA$7, Tabella01MarzoInverter[[#This Row],[Active power TX2-INV-4]] &lt;= 0),
        Tabella01MarzoInverter[[#This Row],[Active power TX3-INV-1]] * 0.25,
        0
    )
    +
    IF(
        $N25 &lt; 0.875,
        MAX(0, MIN(($H25 / 1000) * AE$10 * $BA$4, AE$11 * 0.876) - (AE$11 * $N25)) * 0.25,
        0
    )
)</f>
        <v/>
      </c>
      <c r="AF25" s="117">
        <f>IF(
    AND($H25 &gt; $BA$7, Tabella01MarzoInverter[[#This Row],[Active power TX2-INV-5]] &lt;= 0, Tabella01MarzoInverter[[#This Row],[Active power TX3-INV-2]] &lt;= 0),
    MIN(($H25 / 1000) * AF$10 * $BA$4, AF$11 * 0.876) * 0.25,
    IF(
        AND($H25 &gt; $BA$7, Tabella01MarzoInverter[[#This Row],[Active power TX2-INV-5]] &lt;= 0),
        Tabella01MarzoInverter[[#This Row],[Active power TX3-INV-2]] * 0.25,
        0
    )
    +
    IF(
        $N25 &lt; 0.875,
        MAX(0, MIN(($H25 / 1000) * AF$10 * $BA$4, AF$11 * 0.876) - (AF$11 * $N25)) * 0.25,
        0
    )
)</f>
        <v/>
      </c>
      <c r="AG25" s="117">
        <f>IF(
    AND($H25 &gt; $BA$7, Tabella01MarzoInverter[[#This Row],[Active power TX2-INV-6]] &lt;= 0, Tabella01MarzoInverter[[#This Row],[Active power TX3-INV-3]] &lt;= 0),
    MIN(($H25 / 1000) * AG$10 * $BA$4, AG$11 * 0.876) * 0.25,
    IF(
        AND($H25 &gt; $BA$7, Tabella01MarzoInverter[[#This Row],[Active power TX2-INV-6]] &lt;= 0),
        Tabella01MarzoInverter[[#This Row],[Active power TX3-INV-3]] * 0.25,
        0
    )
    +
    IF(
        $N25 &lt; 0.875,
        MAX(0, MIN(($H25 / 1000) * AG$10 * $BA$4, AG$11 * 0.876) - (AG$11 * $N25)) * 0.25,
        0
    )
)</f>
        <v/>
      </c>
      <c r="AH25" s="117">
        <f>IF(
    AND($H25 &gt; $BA$7, Tabella01MarzoInverter[[#This Row],[Active power TX2-INV-7]] &lt;= 0, Tabella01MarzoInverter[[#This Row],[Active power TX3-INV-4]] &lt;= 0),
    MIN(($H25 / 1000) * AH$10 * $BA$4, AH$11 * 0.876) * 0.25,
    IF(
        AND($H25 &gt; $BA$7, Tabella01MarzoInverter[[#This Row],[Active power TX2-INV-7]] &lt;= 0),
        Tabella01MarzoInverter[[#This Row],[Active power TX3-INV-4]] * 0.25,
        0
    )
    +
    IF(
        $N25 &lt; 0.875,
        MAX(0, MIN(($H25 / 1000) * AH$10 * $BA$4, AH$11 * 0.876) - (AH$11 * $N25)) * 0.25,
        0
    )
)</f>
        <v/>
      </c>
      <c r="AI25" s="117">
        <f>IF(
    AND($H25 &gt; $BA$7, Tabella01MarzoInverter[[#This Row],[Active power TX2-INV-8]] &lt;= 0, Tabella01MarzoInverter[[#This Row],[Active power TX3-INV-5]] &lt;= 0),
    MIN(($H25 / 1000) * AI$10 * $BA$4, AI$11 * 0.876) * 0.25,
    IF(
        AND($H25 &gt; $BA$7, Tabella01MarzoInverter[[#This Row],[Active power TX2-INV-8]] &lt;= 0),
        Tabella01MarzoInverter[[#This Row],[Active power TX3-INV-5]] * 0.25,
        0
    )
    +
    IF(
        $N25 &lt; 0.875,
        MAX(0, MIN(($H25 / 1000) * AI$10 * $BA$4, AI$11 * 0.876) - (AI$11 * $N25)) * 0.25,
        0
    )
)</f>
        <v/>
      </c>
      <c r="AJ25" s="117">
        <f>IF(
    AND($H25 &gt; $BA$7, Tabella01MarzoInverter[[#This Row],[Active power TX2-INV-9]] &lt;= 0, Tabella01MarzoInverter[[#This Row],[Active power TX3-INV-6]] &lt;= 0),
    MIN(($H25 / 1000) * AJ$10 * $BA$4, AJ$11 * 0.876) * 0.25,
    IF(
        AND($H25 &gt; $BA$7, Tabella01MarzoInverter[[#This Row],[Active power TX2-INV-9]] &lt;= 0),
        Tabella01MarzoInverter[[#This Row],[Active power TX3-INV-6]] * 0.25,
        0
    )
    +
    IF(
        $N25 &lt; 0.875,
        MAX(0, MIN(($H25 / 1000) * AJ$10 * $BA$4, AJ$11 * 0.876) - (AJ$11 * $N25)) * 0.25,
        0
    )
)</f>
        <v/>
      </c>
      <c r="AK25" s="117">
        <f>IF(
    AND($H25 &gt; $BA$7, Tabella01MarzoInverter[[#This Row],[Active power TX2-INV-10]] &lt;= 0, Tabella01MarzoInverter[[#This Row],[Active power TX3-INV-7]] &lt;= 0),
    MIN(($H25 / 1000) * AK$10 * $BA$4, AK$11 * 0.876) * 0.25,
    IF(
        AND($H25 &gt; $BA$7, Tabella01MarzoInverter[[#This Row],[Active power TX2-INV-10]] &lt;= 0),
        Tabella01MarzoInverter[[#This Row],[Active power TX3-INV-7]] * 0.25,
        0
    )
    +
    IF(
        $N25 &lt; 0.875,
        MAX(0, MIN(($H25 / 1000) * AK$10 * $BA$4, AK$11 * 0.876) - (AK$11 * $N25)) * 0.25,
        0
    )
)</f>
        <v/>
      </c>
      <c r="AL25" s="117">
        <f>IF(
    AND($H25 &gt; $BA$7, Tabella01MarzoInverter[[#This Row],[Active power TX2-INV-11]] &lt;= 0, Tabella01MarzoInverter[[#This Row],[Active power TX3-INV-8]] &lt;= 0),
    MIN(($H25 / 1000) * AL$10 * $BA$4, AL$11 * 0.876) * 0.25,
    IF(
        AND($H25 &gt; $BA$7, Tabella01MarzoInverter[[#This Row],[Active power TX2-INV-11]] &lt;= 0),
        Tabella01MarzoInverter[[#This Row],[Active power TX3-INV-8]] * 0.25,
        0
    )
    +
    IF(
        $N25 &lt; 0.875,
        MAX(0, MIN(($H25 / 1000) * AL$10 * $BA$4, AL$11 * 0.876) - (AL$11 * $N25)) * 0.25,
        0
    )
)</f>
        <v/>
      </c>
      <c r="AM25" s="117">
        <f>IF(
    AND($H25 &gt; $BA$7, Tabella01MarzoInverter[[#This Row],[Active power TX2-INV-12]] &lt;= 0, Tabella01MarzoInverter[[#This Row],[Active power TX3-INV-9]] &lt;= 0),
    MIN(($H25 / 1000) * AM$10 * $BA$4, AM$11 * 0.876) * 0.25,
    IF(
        AND($H25 &gt; $BA$7, Tabella01MarzoInverter[[#This Row],[Active power TX2-INV-12]] &lt;= 0),
        Tabella01MarzoInverter[[#This Row],[Active power TX3-INV-9]] * 0.25,
        0
    )
    +
    IF(
        $N25 &lt; 0.875,
        MAX(0, MIN(($H25 / 1000) * AM$10 * $BA$4, AM$11 * 0.876) - (AM$11 * $N25)) * 0.25,
        0
    )
)</f>
        <v/>
      </c>
      <c r="AN25" s="118">
        <f>SUM(TabellaMar2026[[#This Row],[Colonna39]:[Colonna6]])</f>
        <v/>
      </c>
      <c r="AO25" s="117">
        <f t="array" ref="AO25">IF(
    AND($H25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($H25 / 1000) * AO$10 * $BA$4 * 0.25
    ),
    0
)
+
IF(
    $N25 &lt; 0.875,
    MAX(0, MIN(($H25 / 1000) * AO$10 * $BA$4, AO$11 * 0.876) - (AO$11 * $N25)) * 0.25,
    0
)</f>
        <v/>
      </c>
      <c r="AP25" s="117">
        <f t="array" ref="AP25">IF(
    AND($H25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($H25 / 1000) * AP$10 * $BA$4 * 0.25
    ),
    0
)
+
IF(
    $N25 &lt; 0.875,
    MAX(0, MIN(($H25 / 1000) * AP$10 * $BA$4, AP$11 * 0.876) - (AP$11 * $N25)) * 0.25,
    0
)</f>
        <v/>
      </c>
      <c r="AQ25" s="117">
        <f t="array" ref="AQ25">IF(
    AND($H25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($H25 / 1000) * AQ$10 * $BA$4 * 0.25
    ),
    0
)
+
IF(
    $N25 &lt; 0.875,
    MAX(0, MIN(($H25 / 1000) * AQ$10 * $BA$4, AQ$11 * 0.876) - (AQ$11 * $N25)) * 0.25,
    0
)</f>
        <v/>
      </c>
      <c r="AR25" s="117">
        <f t="array" ref="AR25">IF(
    AND($H25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($H25 / 1000) * AR$10 * $BA$4 * 0.25
    ),
    0
)
+
IF(
    $N25 &lt; 0.875,
    MAX(0, MIN(($H25 / 1000) * AR$10 * $BA$4, AR$11 * 0.876) - (AR$11 * $N25)) * 0.25,
    0
)</f>
        <v/>
      </c>
      <c r="AS25" s="117">
        <f t="array" ref="AS25">IF(
    AND($H25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($H25 / 1000) * AS$10 * $BA$4 * 0.25
    ),
    0
)
+
IF(
    $N25 &lt; 0.875,
    MAX(0, MIN(($H25 / 1000) * AS$10 * $BA$4, AS$11 * 0.876) - (AS$11 * $N25)) * 0.25,
    0
)</f>
        <v/>
      </c>
      <c r="AT25" s="117">
        <f t="array" ref="AT25">IF(
    AND($H25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($H25 / 1000) * AT$10 * $BA$4 * 0.25
    ),
    0
)
+
IF(
    $N25 &lt; 0.875,
    MAX(0, MIN(($H25 / 1000) * AT$10 * $BA$4, AT$11 * 0.876) - (AT$11 * $N25)) * 0.25,
    0
)</f>
        <v/>
      </c>
      <c r="AU25" s="117">
        <f t="array" ref="AU25">IF(
    AND($H25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($H25 / 1000) * AU$10 * $BA$4 * 0.25
    ),
    0
)
+
IF(
    $N25 &lt; 0.875,
    MAX(0, MIN(($H25 / 1000) * AU$10 * $BA$4, AU$11 * 0.876) - (AU$11 * $N25)) * 0.25,
    0
)</f>
        <v/>
      </c>
      <c r="AV25" s="117">
        <f t="array" ref="AV25">IF(
    AND($H25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($H25 / 1000) * AV$10 * $BA$4 * 0.25
    ),
    0
)
+
IF(
    $N25 &lt; 0.875,
    MAX(0, MIN(($H25 / 1000) * AV$10 * $BA$4, AV$11 * 0.876) - (AV$11 * $N25)) * 0.25,
    0
)</f>
        <v/>
      </c>
      <c r="AW25" s="117">
        <f t="array" ref="AW25">IF(
    AND($H25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($H25 / 1000) * AW$10 * $BA$4 * 0.25
    ),
    0
)
+
IF(
    $N25 &lt; 0.875,
    MAX(0, MIN(($H25 / 1000) * AW$10 * $BA$4, AW$11 * 0.876) - (AW$11 * $N25)) * 0.25,
    0
)</f>
        <v/>
      </c>
      <c r="AX25" s="117">
        <f t="array" ref="AX25">IF(
    AND($H25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($H25 / 1000) * AX$10 * $BA$4 * 0.25
    ),
    0
)
+
IF(
    $N25 &lt; 0.875,
    MAX(0, MIN(($H25 / 1000) * AX$10 * $BA$4, AX$11 * 0.876) - (AX$11 * $N25)) * 0.25,
    0
)</f>
        <v/>
      </c>
      <c r="AY25" s="117">
        <f t="array" ref="AY25">IF(
    AND($H25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($H25 / 1000) * AY$10 * $BA$4 * 0.25
    ),
    0
)
+
IF(
    $N25 &lt; 0.875,
    MAX(0, MIN(($H25 / 1000) * AY$10 * $BA$4, AY$11 * 0.876) - (AY$11 * $N25)) * 0.25,
    0
)</f>
        <v/>
      </c>
      <c r="AZ25" s="117">
        <f t="array" ref="AZ25">IF(
    AND($H25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($H25 / 1000) * AZ$10 * $BA$4 * 0.25
    ),
    0
)
+
IF(
    $N25 &lt; 0.875,
    MAX(0, MIN(($H25 / 1000) * AZ$10 * $BA$4, AZ$11 * 0.876) - (AZ$11 * $N25)) * 0.25,
    0
)</f>
        <v/>
      </c>
      <c r="BA25" s="119">
        <f>SUM(TabellaMar2026[[#This Row],[Colonna54]:[Colonna53]])</f>
        <v/>
      </c>
    </row>
    <row r="26" customFormat="1" s="1">
      <c r="A26" s="112" t="n">
        <v>46143</v>
      </c>
      <c r="B26" t="inlineStr">
        <is>
          <t>02:45:00.000</t>
        </is>
      </c>
      <c r="C26" s="2" t="n">
        <v>-1</v>
      </c>
      <c r="D26" s="113" t="n">
        <v>-0.00025</v>
      </c>
      <c r="E26" s="113" t="n">
        <v>-1</v>
      </c>
      <c r="F26" s="113" t="n">
        <v>-0.00025</v>
      </c>
      <c r="G26" s="113">
        <f>IFERROR((D26+F26)/2, 0)</f>
        <v/>
      </c>
      <c r="H26" s="114">
        <f>IFERROR(IF(AVERAGE(C26,E26)&gt;$BA$7,AVERAGE(C26,E26),0), 0)</f>
        <v/>
      </c>
      <c r="I26" s="114">
        <f>IFERROR(IF(AND(D26=0,F26=0),0,IF(H26&gt;$BA$6,MAX(D26,F26),G26)), 0)</f>
        <v/>
      </c>
      <c r="J26" s="113">
        <f>IFERROR(IF(AND(D26&gt;0,F26&gt;0),ABS(D26-F26)/AVERAGE(D26,F26),0), 0)</f>
        <v/>
      </c>
      <c r="K26" s="113" t="n">
        <v>30098.6</v>
      </c>
      <c r="L26" s="113" t="n">
        <v>30098.6</v>
      </c>
      <c r="M26" s="115">
        <f>IFERROR((L26-K26)*1000, 0)</f>
        <v/>
      </c>
      <c r="N26" s="113" t="n">
        <v>0.8759999999999999</v>
      </c>
      <c r="O26" s="115">
        <f t="array" ref="O26">IF(
    AND($H26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($H26 / 1000) * O$10 * $BA$4 * 0.25
    ),
    0
)
+
IF(
    $N26 &lt; 0.875,
    MAX(0, MIN(($H26 / 1000) * O$10 * $BA$4, O$11 * 0.876) - (O$11 * $N26)) * 0.25,
    0
)</f>
        <v/>
      </c>
      <c r="P26" s="115">
        <f t="array" ref="P26">IF(
    AND($H26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($H26 / 1000) * P$10 * $BA$4 * 0.25
    ),
    0
)
+
IF(
    $N26 &lt; 0.875,
    MAX(0, MIN(($H26 / 1000) * P$10 * $BA$4, P$11 * 0.876) - (P$11 * $N26)) * 0.25,
    0
)</f>
        <v/>
      </c>
      <c r="Q26" s="115">
        <f t="array" ref="Q26">IF(
    AND($H26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($H26 / 1000) * Q$10 * $BA$4 * 0.25
    ),
    0
)
+
IF(
    $N26 &lt; 0.875,
    MAX(0, MIN(($H26 / 1000) * Q$10 * $BA$4, Q$11 * 0.876) - (Q$11 * $N26)) * 0.25,
    0
)</f>
        <v/>
      </c>
      <c r="R26" s="115">
        <f t="array" ref="R26">IF(
    AND($H26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($H26 / 1000) * R$10 * $BA$4 * 0.25
    ),
    0
)
+
IF(
    $N26 &lt; 0.875,
    MAX(0, MIN(($H26 / 1000) * R$10 * $BA$4, R$11 * 0.876) - (R$11 * $N26)) * 0.25,
    0
)</f>
        <v/>
      </c>
      <c r="S26" s="115">
        <f t="array" ref="S26">IF(
    AND($H26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($H26 / 1000) * S$10 * $BA$4 * 0.25
    ),
    0
)
+
IF(
    $N26 &lt; 0.875,
    MAX(0, MIN(($H26 / 1000) * S$10 * $BA$4, S$11 * 0.876) - (S$11 * $N26)) * 0.25,
    0
)</f>
        <v/>
      </c>
      <c r="T26" s="115">
        <f t="array" ref="T26">IF(
    AND($H26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($H26 / 1000) * T$10 * $BA$4 * 0.25
    ),
    0
)
+
IF(
    $N26 &lt; 0.875,
    MAX(0, MIN(($H26 / 1000) * T$10 * $BA$4, T$11 * 0.876) - (T$11 * $N26)) * 0.25,
    0
)</f>
        <v/>
      </c>
      <c r="U26" s="115">
        <f t="array" ref="U26">IF(
    AND($H26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($H26 / 1000) * U$10 * $BA$4 * 0.25
    ),
    0
)
+
IF(
    $N26 &lt; 0.875,
    MAX(0, MIN(($H26 / 1000) * U$10 * $BA$4, U$11 * 0.876) - (U$11 * $N26)) * 0.25,
    0
)</f>
        <v/>
      </c>
      <c r="V26" s="115">
        <f t="array" ref="V26">IF(
    AND($H26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($H26 / 1000) * V$10 * $BA$4 * 0.25
    ),
    0
)
+
IF(
    $N26 &lt; 0.875,
    MAX(0, MIN(($H26 / 1000) * V$10 * $BA$4, V$11 * 0.876) - (V$11 * $N26)) * 0.25,
    0
)</f>
        <v/>
      </c>
      <c r="W26" s="115">
        <f t="array" ref="W26">IF(
    AND($H26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($H26 / 1000) * W$10 * $BA$4 * 0.25
    ),
    0
)
+
IF(
    $N26 &lt; 0.875,
    MAX(0, MIN(($H26 / 1000) * W$10 * $BA$4, W$11 * 0.876) - (W$11 * $N26)) * 0.25,
    0
)</f>
        <v/>
      </c>
      <c r="X26" s="115">
        <f t="array" ref="X26">IF(
    AND($H26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($H26 / 1000) * X$10 * $BA$4 * 0.25
    ),
    0
)
+
IF(
    $N26 &lt; 0.875,
    MAX(0, MIN(($H26 / 1000) * X$10 * $BA$4, X$11 * 0.876) - (X$11 * $N26)) * 0.25,
    0
)</f>
        <v/>
      </c>
      <c r="Y26" s="115">
        <f t="array" ref="Y26">IF(
    AND($H26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($H26 / 1000) * Y$10 * $BA$4 * 0.25
    ),
    0
)
+
IF(
    $N26 &lt; 0.875,
    MAX(0, MIN(($H26 / 1000) * Y$10 * $BA$4, Y$11 * 0.876) - (Y$11 * $N26)) * 0.25,
    0
)</f>
        <v/>
      </c>
      <c r="Z26" s="115">
        <f t="array" ref="Z26">IF(
    AND($H26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($H26 / 1000) * Z$10 * $BA$4 * 0.25
    ),
    0
)
+
IF(
    $N26 &lt; 0.875,
    MAX(0, MIN(($H26 / 1000) * Z$10 * $BA$4, Z$11 * 0.876) - (Z$11 * $N26)) * 0.25,
    0
)</f>
        <v/>
      </c>
      <c r="AA26" s="116">
        <f>SUM(TabellaMar2026[[#This Row],[Colonna24]:[Colonna20]])</f>
        <v/>
      </c>
      <c r="AB26" s="117">
        <f>IF(
    AND($H26 &gt; $BA$7, Tabella01MarzoInverter[[#This Row],[Active power TX2-INV-1]] &lt;= 0, Tabella01MarzoInverter[[#This Row],[TX2 - Average Power]] &lt;= 0),
    MIN(($H26 / 1000) * AB$10 * $BA$4, AB$11 * 0.876) * 0.25,
    IF(
        AND($H26 &gt; $BA$7, Tabella01MarzoInverter[[#This Row],[Active power TX2-INV-1]] &lt;= 0),
        Tabella01MarzoInverter[[#This Row],[TX2 - Average Power]] * 0.25,
        0
    )
    +
    IF(
        $N26 &lt; 0.875,
        MAX(0, MIN(($H26 / 1000) * AB$10 * $BA$4, AB$11 * 0.876) - (AB$11 * $N26)) * 0.25,
        0
    )
)</f>
        <v/>
      </c>
      <c r="AC26" s="117">
        <f>IF(
    AND($H26 &gt; $BA$7, Tabella01MarzoInverter[[#This Row],[Active power TX2-INV-2]] &lt;= 0, Tabella01MarzoInverter[[#This Row],[TX2 - Max Power]] &lt;= 0),
    MIN(($H26 / 1000) * AC$10 * $BA$4, AC$11 * 0.876) * 0.25,
    IF(
        AND($H26 &gt; $BA$7, Tabella01MarzoInverter[[#This Row],[Active power TX2-INV-2]] &lt;= 0),
        Tabella01MarzoInverter[[#This Row],[TX2 - Max Power]] * 0.25,
        0
    )
    +
    IF(
        $N26 &lt; 0.875,
        MAX(0, MIN(($H26 / 1000) * AC$10 * $BA$4, AC$11 * 0.876) - (AC$11 * $N26)) * 0.25,
        0
    )
)</f>
        <v/>
      </c>
      <c r="AD26" s="117">
        <f>IF(
    AND($H26 &gt; $BA$7, Tabella01MarzoInverter[[#This Row],[Active power TX2-INV-3]] &lt;= 0, Tabella01MarzoInverter[[#This Row],[TX2 - Min Power]] &lt;= 0),
    MIN(($H26 / 1000) * AD$10 * $BA$4, AD$11 * 0.876) * 0.25,
    IF(
        AND($H26 &gt; $BA$7, Tabella01MarzoInverter[[#This Row],[Active power TX2-INV-3]] &lt;= 0),
        Tabella01MarzoInverter[[#This Row],[TX2 - Min Power]] * 0.25,
        0
    )
    +
    IF(
        $N26 &lt; 0.875,
        MAX(0, MIN(($H26 / 1000) * AD$10 * $BA$4, AD$11 * 0.876) - (AD$11 * $N26)) * 0.25,
        0
    )
)</f>
        <v/>
      </c>
      <c r="AE26" s="117">
        <f>IF(
    AND($H26 &gt; $BA$7, Tabella01MarzoInverter[[#This Row],[Active power TX2-INV-4]] &lt;= 0, Tabella01MarzoInverter[[#This Row],[Active power TX3-INV-1]] &lt;= 0),
    MIN(($H26 / 1000) * AE$10 * $BA$4, AE$11 * 0.876) * 0.25,
    IF(
        AND($H26 &gt; $BA$7, Tabella01MarzoInverter[[#This Row],[Active power TX2-INV-4]] &lt;= 0),
        Tabella01MarzoInverter[[#This Row],[Active power TX3-INV-1]] * 0.25,
        0
    )
    +
    IF(
        $N26 &lt; 0.875,
        MAX(0, MIN(($H26 / 1000) * AE$10 * $BA$4, AE$11 * 0.876) - (AE$11 * $N26)) * 0.25,
        0
    )
)</f>
        <v/>
      </c>
      <c r="AF26" s="117">
        <f>IF(
    AND($H26 &gt; $BA$7, Tabella01MarzoInverter[[#This Row],[Active power TX2-INV-5]] &lt;= 0, Tabella01MarzoInverter[[#This Row],[Active power TX3-INV-2]] &lt;= 0),
    MIN(($H26 / 1000) * AF$10 * $BA$4, AF$11 * 0.876) * 0.25,
    IF(
        AND($H26 &gt; $BA$7, Tabella01MarzoInverter[[#This Row],[Active power TX2-INV-5]] &lt;= 0),
        Tabella01MarzoInverter[[#This Row],[Active power TX3-INV-2]] * 0.25,
        0
    )
    +
    IF(
        $N26 &lt; 0.875,
        MAX(0, MIN(($H26 / 1000) * AF$10 * $BA$4, AF$11 * 0.876) - (AF$11 * $N26)) * 0.25,
        0
    )
)</f>
        <v/>
      </c>
      <c r="AG26" s="117">
        <f>IF(
    AND($H26 &gt; $BA$7, Tabella01MarzoInverter[[#This Row],[Active power TX2-INV-6]] &lt;= 0, Tabella01MarzoInverter[[#This Row],[Active power TX3-INV-3]] &lt;= 0),
    MIN(($H26 / 1000) * AG$10 * $BA$4, AG$11 * 0.876) * 0.25,
    IF(
        AND($H26 &gt; $BA$7, Tabella01MarzoInverter[[#This Row],[Active power TX2-INV-6]] &lt;= 0),
        Tabella01MarzoInverter[[#This Row],[Active power TX3-INV-3]] * 0.25,
        0
    )
    +
    IF(
        $N26 &lt; 0.875,
        MAX(0, MIN(($H26 / 1000) * AG$10 * $BA$4, AG$11 * 0.876) - (AG$11 * $N26)) * 0.25,
        0
    )
)</f>
        <v/>
      </c>
      <c r="AH26" s="117">
        <f>IF(
    AND($H26 &gt; $BA$7, Tabella01MarzoInverter[[#This Row],[Active power TX2-INV-7]] &lt;= 0, Tabella01MarzoInverter[[#This Row],[Active power TX3-INV-4]] &lt;= 0),
    MIN(($H26 / 1000) * AH$10 * $BA$4, AH$11 * 0.876) * 0.25,
    IF(
        AND($H26 &gt; $BA$7, Tabella01MarzoInverter[[#This Row],[Active power TX2-INV-7]] &lt;= 0),
        Tabella01MarzoInverter[[#This Row],[Active power TX3-INV-4]] * 0.25,
        0
    )
    +
    IF(
        $N26 &lt; 0.875,
        MAX(0, MIN(($H26 / 1000) * AH$10 * $BA$4, AH$11 * 0.876) - (AH$11 * $N26)) * 0.25,
        0
    )
)</f>
        <v/>
      </c>
      <c r="AI26" s="117">
        <f>IF(
    AND($H26 &gt; $BA$7, Tabella01MarzoInverter[[#This Row],[Active power TX2-INV-8]] &lt;= 0, Tabella01MarzoInverter[[#This Row],[Active power TX3-INV-5]] &lt;= 0),
    MIN(($H26 / 1000) * AI$10 * $BA$4, AI$11 * 0.876) * 0.25,
    IF(
        AND($H26 &gt; $BA$7, Tabella01MarzoInverter[[#This Row],[Active power TX2-INV-8]] &lt;= 0),
        Tabella01MarzoInverter[[#This Row],[Active power TX3-INV-5]] * 0.25,
        0
    )
    +
    IF(
        $N26 &lt; 0.875,
        MAX(0, MIN(($H26 / 1000) * AI$10 * $BA$4, AI$11 * 0.876) - (AI$11 * $N26)) * 0.25,
        0
    )
)</f>
        <v/>
      </c>
      <c r="AJ26" s="117">
        <f>IF(
    AND($H26 &gt; $BA$7, Tabella01MarzoInverter[[#This Row],[Active power TX2-INV-9]] &lt;= 0, Tabella01MarzoInverter[[#This Row],[Active power TX3-INV-6]] &lt;= 0),
    MIN(($H26 / 1000) * AJ$10 * $BA$4, AJ$11 * 0.876) * 0.25,
    IF(
        AND($H26 &gt; $BA$7, Tabella01MarzoInverter[[#This Row],[Active power TX2-INV-9]] &lt;= 0),
        Tabella01MarzoInverter[[#This Row],[Active power TX3-INV-6]] * 0.25,
        0
    )
    +
    IF(
        $N26 &lt; 0.875,
        MAX(0, MIN(($H26 / 1000) * AJ$10 * $BA$4, AJ$11 * 0.876) - (AJ$11 * $N26)) * 0.25,
        0
    )
)</f>
        <v/>
      </c>
      <c r="AK26" s="117">
        <f>IF(
    AND($H26 &gt; $BA$7, Tabella01MarzoInverter[[#This Row],[Active power TX2-INV-10]] &lt;= 0, Tabella01MarzoInverter[[#This Row],[Active power TX3-INV-7]] &lt;= 0),
    MIN(($H26 / 1000) * AK$10 * $BA$4, AK$11 * 0.876) * 0.25,
    IF(
        AND($H26 &gt; $BA$7, Tabella01MarzoInverter[[#This Row],[Active power TX2-INV-10]] &lt;= 0),
        Tabella01MarzoInverter[[#This Row],[Active power TX3-INV-7]] * 0.25,
        0
    )
    +
    IF(
        $N26 &lt; 0.875,
        MAX(0, MIN(($H26 / 1000) * AK$10 * $BA$4, AK$11 * 0.876) - (AK$11 * $N26)) * 0.25,
        0
    )
)</f>
        <v/>
      </c>
      <c r="AL26" s="117">
        <f>IF(
    AND($H26 &gt; $BA$7, Tabella01MarzoInverter[[#This Row],[Active power TX2-INV-11]] &lt;= 0, Tabella01MarzoInverter[[#This Row],[Active power TX3-INV-8]] &lt;= 0),
    MIN(($H26 / 1000) * AL$10 * $BA$4, AL$11 * 0.876) * 0.25,
    IF(
        AND($H26 &gt; $BA$7, Tabella01MarzoInverter[[#This Row],[Active power TX2-INV-11]] &lt;= 0),
        Tabella01MarzoInverter[[#This Row],[Active power TX3-INV-8]] * 0.25,
        0
    )
    +
    IF(
        $N26 &lt; 0.875,
        MAX(0, MIN(($H26 / 1000) * AL$10 * $BA$4, AL$11 * 0.876) - (AL$11 * $N26)) * 0.25,
        0
    )
)</f>
        <v/>
      </c>
      <c r="AM26" s="117">
        <f>IF(
    AND($H26 &gt; $BA$7, Tabella01MarzoInverter[[#This Row],[Active power TX2-INV-12]] &lt;= 0, Tabella01MarzoInverter[[#This Row],[Active power TX3-INV-9]] &lt;= 0),
    MIN(($H26 / 1000) * AM$10 * $BA$4, AM$11 * 0.876) * 0.25,
    IF(
        AND($H26 &gt; $BA$7, Tabella01MarzoInverter[[#This Row],[Active power TX2-INV-12]] &lt;= 0),
        Tabella01MarzoInverter[[#This Row],[Active power TX3-INV-9]] * 0.25,
        0
    )
    +
    IF(
        $N26 &lt; 0.875,
        MAX(0, MIN(($H26 / 1000) * AM$10 * $BA$4, AM$11 * 0.876) - (AM$11 * $N26)) * 0.25,
        0
    )
)</f>
        <v/>
      </c>
      <c r="AN26" s="118">
        <f>SUM(TabellaMar2026[[#This Row],[Colonna39]:[Colonna6]])</f>
        <v/>
      </c>
      <c r="AO26" s="117">
        <f t="array" ref="AO26">IF(
    AND($H26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($H26 / 1000) * AO$10 * $BA$4 * 0.25
    ),
    0
)
+
IF(
    $N26 &lt; 0.875,
    MAX(0, MIN(($H26 / 1000) * AO$10 * $BA$4, AO$11 * 0.876) - (AO$11 * $N26)) * 0.25,
    0
)</f>
        <v/>
      </c>
      <c r="AP26" s="117">
        <f t="array" ref="AP26">IF(
    AND($H26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($H26 / 1000) * AP$10 * $BA$4 * 0.25
    ),
    0
)
+
IF(
    $N26 &lt; 0.875,
    MAX(0, MIN(($H26 / 1000) * AP$10 * $BA$4, AP$11 * 0.876) - (AP$11 * $N26)) * 0.25,
    0
)</f>
        <v/>
      </c>
      <c r="AQ26" s="117">
        <f t="array" ref="AQ26">IF(
    AND($H26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($H26 / 1000) * AQ$10 * $BA$4 * 0.25
    ),
    0
)
+
IF(
    $N26 &lt; 0.875,
    MAX(0, MIN(($H26 / 1000) * AQ$10 * $BA$4, AQ$11 * 0.876) - (AQ$11 * $N26)) * 0.25,
    0
)</f>
        <v/>
      </c>
      <c r="AR26" s="117">
        <f t="array" ref="AR26">IF(
    AND($H26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($H26 / 1000) * AR$10 * $BA$4 * 0.25
    ),
    0
)
+
IF(
    $N26 &lt; 0.875,
    MAX(0, MIN(($H26 / 1000) * AR$10 * $BA$4, AR$11 * 0.876) - (AR$11 * $N26)) * 0.25,
    0
)</f>
        <v/>
      </c>
      <c r="AS26" s="117">
        <f t="array" ref="AS26">IF(
    AND($H26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($H26 / 1000) * AS$10 * $BA$4 * 0.25
    ),
    0
)
+
IF(
    $N26 &lt; 0.875,
    MAX(0, MIN(($H26 / 1000) * AS$10 * $BA$4, AS$11 * 0.876) - (AS$11 * $N26)) * 0.25,
    0
)</f>
        <v/>
      </c>
      <c r="AT26" s="117">
        <f t="array" ref="AT26">IF(
    AND($H26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($H26 / 1000) * AT$10 * $BA$4 * 0.25
    ),
    0
)
+
IF(
    $N26 &lt; 0.875,
    MAX(0, MIN(($H26 / 1000) * AT$10 * $BA$4, AT$11 * 0.876) - (AT$11 * $N26)) * 0.25,
    0
)</f>
        <v/>
      </c>
      <c r="AU26" s="117">
        <f t="array" ref="AU26">IF(
    AND($H26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($H26 / 1000) * AU$10 * $BA$4 * 0.25
    ),
    0
)
+
IF(
    $N26 &lt; 0.875,
    MAX(0, MIN(($H26 / 1000) * AU$10 * $BA$4, AU$11 * 0.876) - (AU$11 * $N26)) * 0.25,
    0
)</f>
        <v/>
      </c>
      <c r="AV26" s="117">
        <f t="array" ref="AV26">IF(
    AND($H26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($H26 / 1000) * AV$10 * $BA$4 * 0.25
    ),
    0
)
+
IF(
    $N26 &lt; 0.875,
    MAX(0, MIN(($H26 / 1000) * AV$10 * $BA$4, AV$11 * 0.876) - (AV$11 * $N26)) * 0.25,
    0
)</f>
        <v/>
      </c>
      <c r="AW26" s="117">
        <f t="array" ref="AW26">IF(
    AND($H26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($H26 / 1000) * AW$10 * $BA$4 * 0.25
    ),
    0
)
+
IF(
    $N26 &lt; 0.875,
    MAX(0, MIN(($H26 / 1000) * AW$10 * $BA$4, AW$11 * 0.876) - (AW$11 * $N26)) * 0.25,
    0
)</f>
        <v/>
      </c>
      <c r="AX26" s="117">
        <f t="array" ref="AX26">IF(
    AND($H26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($H26 / 1000) * AX$10 * $BA$4 * 0.25
    ),
    0
)
+
IF(
    $N26 &lt; 0.875,
    MAX(0, MIN(($H26 / 1000) * AX$10 * $BA$4, AX$11 * 0.876) - (AX$11 * $N26)) * 0.25,
    0
)</f>
        <v/>
      </c>
      <c r="AY26" s="117">
        <f t="array" ref="AY26">IF(
    AND($H26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($H26 / 1000) * AY$10 * $BA$4 * 0.25
    ),
    0
)
+
IF(
    $N26 &lt; 0.875,
    MAX(0, MIN(($H26 / 1000) * AY$10 * $BA$4, AY$11 * 0.876) - (AY$11 * $N26)) * 0.25,
    0
)</f>
        <v/>
      </c>
      <c r="AZ26" s="117">
        <f t="array" ref="AZ26">IF(
    AND($H26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($H26 / 1000) * AZ$10 * $BA$4 * 0.25
    ),
    0
)
+
IF(
    $N26 &lt; 0.875,
    MAX(0, MIN(($H26 / 1000) * AZ$10 * $BA$4, AZ$11 * 0.876) - (AZ$11 * $N26)) * 0.25,
    0
)</f>
        <v/>
      </c>
      <c r="BA26" s="119">
        <f>SUM(TabellaMar2026[[#This Row],[Colonna54]:[Colonna53]])</f>
        <v/>
      </c>
    </row>
    <row r="27" customFormat="1" s="1">
      <c r="A27" s="112" t="n">
        <v>46143</v>
      </c>
      <c r="B27" t="inlineStr">
        <is>
          <t>03:00:00.000</t>
        </is>
      </c>
      <c r="C27" s="2" t="n">
        <v>-1</v>
      </c>
      <c r="D27" s="113" t="n">
        <v>-0.00025</v>
      </c>
      <c r="E27" s="113" t="n">
        <v>-1</v>
      </c>
      <c r="F27" s="113" t="n">
        <v>-0.00025</v>
      </c>
      <c r="G27" s="113">
        <f>IFERROR((D27+F27)/2, 0)</f>
        <v/>
      </c>
      <c r="H27" s="114">
        <f>IFERROR(IF(AVERAGE(C27,E27)&gt;$BA$7,AVERAGE(C27,E27),0), 0)</f>
        <v/>
      </c>
      <c r="I27" s="114">
        <f>IFERROR(IF(AND(D27=0,F27=0),0,IF(H27&gt;$BA$6,MAX(D27,F27),G27)), 0)</f>
        <v/>
      </c>
      <c r="J27" s="113">
        <f>IFERROR(IF(AND(D27&gt;0,F27&gt;0),ABS(D27-F27)/AVERAGE(D27,F27),0), 0)</f>
        <v/>
      </c>
      <c r="K27" s="113" t="n">
        <v>30098.6</v>
      </c>
      <c r="L27" s="113" t="n">
        <v>30098.6</v>
      </c>
      <c r="M27" s="115">
        <f>IFERROR((L27-K27)*1000, 0)</f>
        <v/>
      </c>
      <c r="N27" s="113" t="n">
        <v>0.8759999999999999</v>
      </c>
      <c r="O27" s="115">
        <f t="array" ref="O27">IF(
    AND($H27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($H27 / 1000) * O$10 * $BA$4 * 0.25
    ),
    0
)
+
IF(
    $N27 &lt; 0.875,
    MAX(0, MIN(($H27 / 1000) * O$10 * $BA$4, O$11 * 0.876) - (O$11 * $N27)) * 0.25,
    0
)</f>
        <v/>
      </c>
      <c r="P27" s="115">
        <f t="array" ref="P27">IF(
    AND($H27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($H27 / 1000) * P$10 * $BA$4 * 0.25
    ),
    0
)
+
IF(
    $N27 &lt; 0.875,
    MAX(0, MIN(($H27 / 1000) * P$10 * $BA$4, P$11 * 0.876) - (P$11 * $N27)) * 0.25,
    0
)</f>
        <v/>
      </c>
      <c r="Q27" s="115">
        <f t="array" ref="Q27">IF(
    AND($H27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($H27 / 1000) * Q$10 * $BA$4 * 0.25
    ),
    0
)
+
IF(
    $N27 &lt; 0.875,
    MAX(0, MIN(($H27 / 1000) * Q$10 * $BA$4, Q$11 * 0.876) - (Q$11 * $N27)) * 0.25,
    0
)</f>
        <v/>
      </c>
      <c r="R27" s="115">
        <f t="array" ref="R27">IF(
    AND($H27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($H27 / 1000) * R$10 * $BA$4 * 0.25
    ),
    0
)
+
IF(
    $N27 &lt; 0.875,
    MAX(0, MIN(($H27 / 1000) * R$10 * $BA$4, R$11 * 0.876) - (R$11 * $N27)) * 0.25,
    0
)</f>
        <v/>
      </c>
      <c r="S27" s="115">
        <f t="array" ref="S27">IF(
    AND($H27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($H27 / 1000) * S$10 * $BA$4 * 0.25
    ),
    0
)
+
IF(
    $N27 &lt; 0.875,
    MAX(0, MIN(($H27 / 1000) * S$10 * $BA$4, S$11 * 0.876) - (S$11 * $N27)) * 0.25,
    0
)</f>
        <v/>
      </c>
      <c r="T27" s="115">
        <f t="array" ref="T27">IF(
    AND($H27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($H27 / 1000) * T$10 * $BA$4 * 0.25
    ),
    0
)
+
IF(
    $N27 &lt; 0.875,
    MAX(0, MIN(($H27 / 1000) * T$10 * $BA$4, T$11 * 0.876) - (T$11 * $N27)) * 0.25,
    0
)</f>
        <v/>
      </c>
      <c r="U27" s="115">
        <f t="array" ref="U27">IF(
    AND($H27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($H27 / 1000) * U$10 * $BA$4 * 0.25
    ),
    0
)
+
IF(
    $N27 &lt; 0.875,
    MAX(0, MIN(($H27 / 1000) * U$10 * $BA$4, U$11 * 0.876) - (U$11 * $N27)) * 0.25,
    0
)</f>
        <v/>
      </c>
      <c r="V27" s="115">
        <f t="array" ref="V27">IF(
    AND($H27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($H27 / 1000) * V$10 * $BA$4 * 0.25
    ),
    0
)
+
IF(
    $N27 &lt; 0.875,
    MAX(0, MIN(($H27 / 1000) * V$10 * $BA$4, V$11 * 0.876) - (V$11 * $N27)) * 0.25,
    0
)</f>
        <v/>
      </c>
      <c r="W27" s="115">
        <f t="array" ref="W27">IF(
    AND($H27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($H27 / 1000) * W$10 * $BA$4 * 0.25
    ),
    0
)
+
IF(
    $N27 &lt; 0.875,
    MAX(0, MIN(($H27 / 1000) * W$10 * $BA$4, W$11 * 0.876) - (W$11 * $N27)) * 0.25,
    0
)</f>
        <v/>
      </c>
      <c r="X27" s="115">
        <f t="array" ref="X27">IF(
    AND($H27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($H27 / 1000) * X$10 * $BA$4 * 0.25
    ),
    0
)
+
IF(
    $N27 &lt; 0.875,
    MAX(0, MIN(($H27 / 1000) * X$10 * $BA$4, X$11 * 0.876) - (X$11 * $N27)) * 0.25,
    0
)</f>
        <v/>
      </c>
      <c r="Y27" s="115">
        <f t="array" ref="Y27">IF(
    AND($H27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($H27 / 1000) * Y$10 * $BA$4 * 0.25
    ),
    0
)
+
IF(
    $N27 &lt; 0.875,
    MAX(0, MIN(($H27 / 1000) * Y$10 * $BA$4, Y$11 * 0.876) - (Y$11 * $N27)) * 0.25,
    0
)</f>
        <v/>
      </c>
      <c r="Z27" s="115">
        <f t="array" ref="Z27">IF(
    AND($H27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($H27 / 1000) * Z$10 * $BA$4 * 0.25
    ),
    0
)
+
IF(
    $N27 &lt; 0.875,
    MAX(0, MIN(($H27 / 1000) * Z$10 * $BA$4, Z$11 * 0.876) - (Z$11 * $N27)) * 0.25,
    0
)</f>
        <v/>
      </c>
      <c r="AA27" s="116">
        <f>SUM(TabellaMar2026[[#This Row],[Colonna24]:[Colonna20]])</f>
        <v/>
      </c>
      <c r="AB27" s="117">
        <f>IF(
    AND($H27 &gt; $BA$7, Tabella01MarzoInverter[[#This Row],[Active power TX2-INV-1]] &lt;= 0, Tabella01MarzoInverter[[#This Row],[TX2 - Average Power]] &lt;= 0),
    MIN(($H27 / 1000) * AB$10 * $BA$4, AB$11 * 0.876) * 0.25,
    IF(
        AND($H27 &gt; $BA$7, Tabella01MarzoInverter[[#This Row],[Active power TX2-INV-1]] &lt;= 0),
        Tabella01MarzoInverter[[#This Row],[TX2 - Average Power]] * 0.25,
        0
    )
    +
    IF(
        $N27 &lt; 0.875,
        MAX(0, MIN(($H27 / 1000) * AB$10 * $BA$4, AB$11 * 0.876) - (AB$11 * $N27)) * 0.25,
        0
    )
)</f>
        <v/>
      </c>
      <c r="AC27" s="117">
        <f>IF(
    AND($H27 &gt; $BA$7, Tabella01MarzoInverter[[#This Row],[Active power TX2-INV-2]] &lt;= 0, Tabella01MarzoInverter[[#This Row],[TX2 - Max Power]] &lt;= 0),
    MIN(($H27 / 1000) * AC$10 * $BA$4, AC$11 * 0.876) * 0.25,
    IF(
        AND($H27 &gt; $BA$7, Tabella01MarzoInverter[[#This Row],[Active power TX2-INV-2]] &lt;= 0),
        Tabella01MarzoInverter[[#This Row],[TX2 - Max Power]] * 0.25,
        0
    )
    +
    IF(
        $N27 &lt; 0.875,
        MAX(0, MIN(($H27 / 1000) * AC$10 * $BA$4, AC$11 * 0.876) - (AC$11 * $N27)) * 0.25,
        0
    )
)</f>
        <v/>
      </c>
      <c r="AD27" s="117">
        <f>IF(
    AND($H27 &gt; $BA$7, Tabella01MarzoInverter[[#This Row],[Active power TX2-INV-3]] &lt;= 0, Tabella01MarzoInverter[[#This Row],[TX2 - Min Power]] &lt;= 0),
    MIN(($H27 / 1000) * AD$10 * $BA$4, AD$11 * 0.876) * 0.25,
    IF(
        AND($H27 &gt; $BA$7, Tabella01MarzoInverter[[#This Row],[Active power TX2-INV-3]] &lt;= 0),
        Tabella01MarzoInverter[[#This Row],[TX2 - Min Power]] * 0.25,
        0
    )
    +
    IF(
        $N27 &lt; 0.875,
        MAX(0, MIN(($H27 / 1000) * AD$10 * $BA$4, AD$11 * 0.876) - (AD$11 * $N27)) * 0.25,
        0
    )
)</f>
        <v/>
      </c>
      <c r="AE27" s="117">
        <f>IF(
    AND($H27 &gt; $BA$7, Tabella01MarzoInverter[[#This Row],[Active power TX2-INV-4]] &lt;= 0, Tabella01MarzoInverter[[#This Row],[Active power TX3-INV-1]] &lt;= 0),
    MIN(($H27 / 1000) * AE$10 * $BA$4, AE$11 * 0.876) * 0.25,
    IF(
        AND($H27 &gt; $BA$7, Tabella01MarzoInverter[[#This Row],[Active power TX2-INV-4]] &lt;= 0),
        Tabella01MarzoInverter[[#This Row],[Active power TX3-INV-1]] * 0.25,
        0
    )
    +
    IF(
        $N27 &lt; 0.875,
        MAX(0, MIN(($H27 / 1000) * AE$10 * $BA$4, AE$11 * 0.876) - (AE$11 * $N27)) * 0.25,
        0
    )
)</f>
        <v/>
      </c>
      <c r="AF27" s="117">
        <f>IF(
    AND($H27 &gt; $BA$7, Tabella01MarzoInverter[[#This Row],[Active power TX2-INV-5]] &lt;= 0, Tabella01MarzoInverter[[#This Row],[Active power TX3-INV-2]] &lt;= 0),
    MIN(($H27 / 1000) * AF$10 * $BA$4, AF$11 * 0.876) * 0.25,
    IF(
        AND($H27 &gt; $BA$7, Tabella01MarzoInverter[[#This Row],[Active power TX2-INV-5]] &lt;= 0),
        Tabella01MarzoInverter[[#This Row],[Active power TX3-INV-2]] * 0.25,
        0
    )
    +
    IF(
        $N27 &lt; 0.875,
        MAX(0, MIN(($H27 / 1000) * AF$10 * $BA$4, AF$11 * 0.876) - (AF$11 * $N27)) * 0.25,
        0
    )
)</f>
        <v/>
      </c>
      <c r="AG27" s="117">
        <f>IF(
    AND($H27 &gt; $BA$7, Tabella01MarzoInverter[[#This Row],[Active power TX2-INV-6]] &lt;= 0, Tabella01MarzoInverter[[#This Row],[Active power TX3-INV-3]] &lt;= 0),
    MIN(($H27 / 1000) * AG$10 * $BA$4, AG$11 * 0.876) * 0.25,
    IF(
        AND($H27 &gt; $BA$7, Tabella01MarzoInverter[[#This Row],[Active power TX2-INV-6]] &lt;= 0),
        Tabella01MarzoInverter[[#This Row],[Active power TX3-INV-3]] * 0.25,
        0
    )
    +
    IF(
        $N27 &lt; 0.875,
        MAX(0, MIN(($H27 / 1000) * AG$10 * $BA$4, AG$11 * 0.876) - (AG$11 * $N27)) * 0.25,
        0
    )
)</f>
        <v/>
      </c>
      <c r="AH27" s="117">
        <f>IF(
    AND($H27 &gt; $BA$7, Tabella01MarzoInverter[[#This Row],[Active power TX2-INV-7]] &lt;= 0, Tabella01MarzoInverter[[#This Row],[Active power TX3-INV-4]] &lt;= 0),
    MIN(($H27 / 1000) * AH$10 * $BA$4, AH$11 * 0.876) * 0.25,
    IF(
        AND($H27 &gt; $BA$7, Tabella01MarzoInverter[[#This Row],[Active power TX2-INV-7]] &lt;= 0),
        Tabella01MarzoInverter[[#This Row],[Active power TX3-INV-4]] * 0.25,
        0
    )
    +
    IF(
        $N27 &lt; 0.875,
        MAX(0, MIN(($H27 / 1000) * AH$10 * $BA$4, AH$11 * 0.876) - (AH$11 * $N27)) * 0.25,
        0
    )
)</f>
        <v/>
      </c>
      <c r="AI27" s="117">
        <f>IF(
    AND($H27 &gt; $BA$7, Tabella01MarzoInverter[[#This Row],[Active power TX2-INV-8]] &lt;= 0, Tabella01MarzoInverter[[#This Row],[Active power TX3-INV-5]] &lt;= 0),
    MIN(($H27 / 1000) * AI$10 * $BA$4, AI$11 * 0.876) * 0.25,
    IF(
        AND($H27 &gt; $BA$7, Tabella01MarzoInverter[[#This Row],[Active power TX2-INV-8]] &lt;= 0),
        Tabella01MarzoInverter[[#This Row],[Active power TX3-INV-5]] * 0.25,
        0
    )
    +
    IF(
        $N27 &lt; 0.875,
        MAX(0, MIN(($H27 / 1000) * AI$10 * $BA$4, AI$11 * 0.876) - (AI$11 * $N27)) * 0.25,
        0
    )
)</f>
        <v/>
      </c>
      <c r="AJ27" s="117">
        <f>IF(
    AND($H27 &gt; $BA$7, Tabella01MarzoInverter[[#This Row],[Active power TX2-INV-9]] &lt;= 0, Tabella01MarzoInverter[[#This Row],[Active power TX3-INV-6]] &lt;= 0),
    MIN(($H27 / 1000) * AJ$10 * $BA$4, AJ$11 * 0.876) * 0.25,
    IF(
        AND($H27 &gt; $BA$7, Tabella01MarzoInverter[[#This Row],[Active power TX2-INV-9]] &lt;= 0),
        Tabella01MarzoInverter[[#This Row],[Active power TX3-INV-6]] * 0.25,
        0
    )
    +
    IF(
        $N27 &lt; 0.875,
        MAX(0, MIN(($H27 / 1000) * AJ$10 * $BA$4, AJ$11 * 0.876) - (AJ$11 * $N27)) * 0.25,
        0
    )
)</f>
        <v/>
      </c>
      <c r="AK27" s="117">
        <f>IF(
    AND($H27 &gt; $BA$7, Tabella01MarzoInverter[[#This Row],[Active power TX2-INV-10]] &lt;= 0, Tabella01MarzoInverter[[#This Row],[Active power TX3-INV-7]] &lt;= 0),
    MIN(($H27 / 1000) * AK$10 * $BA$4, AK$11 * 0.876) * 0.25,
    IF(
        AND($H27 &gt; $BA$7, Tabella01MarzoInverter[[#This Row],[Active power TX2-INV-10]] &lt;= 0),
        Tabella01MarzoInverter[[#This Row],[Active power TX3-INV-7]] * 0.25,
        0
    )
    +
    IF(
        $N27 &lt; 0.875,
        MAX(0, MIN(($H27 / 1000) * AK$10 * $BA$4, AK$11 * 0.876) - (AK$11 * $N27)) * 0.25,
        0
    )
)</f>
        <v/>
      </c>
      <c r="AL27" s="117">
        <f>IF(
    AND($H27 &gt; $BA$7, Tabella01MarzoInverter[[#This Row],[Active power TX2-INV-11]] &lt;= 0, Tabella01MarzoInverter[[#This Row],[Active power TX3-INV-8]] &lt;= 0),
    MIN(($H27 / 1000) * AL$10 * $BA$4, AL$11 * 0.876) * 0.25,
    IF(
        AND($H27 &gt; $BA$7, Tabella01MarzoInverter[[#This Row],[Active power TX2-INV-11]] &lt;= 0),
        Tabella01MarzoInverter[[#This Row],[Active power TX3-INV-8]] * 0.25,
        0
    )
    +
    IF(
        $N27 &lt; 0.875,
        MAX(0, MIN(($H27 / 1000) * AL$10 * $BA$4, AL$11 * 0.876) - (AL$11 * $N27)) * 0.25,
        0
    )
)</f>
        <v/>
      </c>
      <c r="AM27" s="117">
        <f>IF(
    AND($H27 &gt; $BA$7, Tabella01MarzoInverter[[#This Row],[Active power TX2-INV-12]] &lt;= 0, Tabella01MarzoInverter[[#This Row],[Active power TX3-INV-9]] &lt;= 0),
    MIN(($H27 / 1000) * AM$10 * $BA$4, AM$11 * 0.876) * 0.25,
    IF(
        AND($H27 &gt; $BA$7, Tabella01MarzoInverter[[#This Row],[Active power TX2-INV-12]] &lt;= 0),
        Tabella01MarzoInverter[[#This Row],[Active power TX3-INV-9]] * 0.25,
        0
    )
    +
    IF(
        $N27 &lt; 0.875,
        MAX(0, MIN(($H27 / 1000) * AM$10 * $BA$4, AM$11 * 0.876) - (AM$11 * $N27)) * 0.25,
        0
    )
)</f>
        <v/>
      </c>
      <c r="AN27" s="118">
        <f>SUM(TabellaMar2026[[#This Row],[Colonna39]:[Colonna6]])</f>
        <v/>
      </c>
      <c r="AO27" s="117">
        <f t="array" ref="AO27">IF(
    AND($H27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($H27 / 1000) * AO$10 * $BA$4 * 0.25
    ),
    0
)
+
IF(
    $N27 &lt; 0.875,
    MAX(0, MIN(($H27 / 1000) * AO$10 * $BA$4, AO$11 * 0.876) - (AO$11 * $N27)) * 0.25,
    0
)</f>
        <v/>
      </c>
      <c r="AP27" s="117">
        <f t="array" ref="AP27">IF(
    AND($H27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($H27 / 1000) * AP$10 * $BA$4 * 0.25
    ),
    0
)
+
IF(
    $N27 &lt; 0.875,
    MAX(0, MIN(($H27 / 1000) * AP$10 * $BA$4, AP$11 * 0.876) - (AP$11 * $N27)) * 0.25,
    0
)</f>
        <v/>
      </c>
      <c r="AQ27" s="117">
        <f t="array" ref="AQ27">IF(
    AND($H27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($H27 / 1000) * AQ$10 * $BA$4 * 0.25
    ),
    0
)
+
IF(
    $N27 &lt; 0.875,
    MAX(0, MIN(($H27 / 1000) * AQ$10 * $BA$4, AQ$11 * 0.876) - (AQ$11 * $N27)) * 0.25,
    0
)</f>
        <v/>
      </c>
      <c r="AR27" s="117">
        <f t="array" ref="AR27">IF(
    AND($H27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($H27 / 1000) * AR$10 * $BA$4 * 0.25
    ),
    0
)
+
IF(
    $N27 &lt; 0.875,
    MAX(0, MIN(($H27 / 1000) * AR$10 * $BA$4, AR$11 * 0.876) - (AR$11 * $N27)) * 0.25,
    0
)</f>
        <v/>
      </c>
      <c r="AS27" s="117">
        <f t="array" ref="AS27">IF(
    AND($H27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($H27 / 1000) * AS$10 * $BA$4 * 0.25
    ),
    0
)
+
IF(
    $N27 &lt; 0.875,
    MAX(0, MIN(($H27 / 1000) * AS$10 * $BA$4, AS$11 * 0.876) - (AS$11 * $N27)) * 0.25,
    0
)</f>
        <v/>
      </c>
      <c r="AT27" s="117">
        <f t="array" ref="AT27">IF(
    AND($H27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($H27 / 1000) * AT$10 * $BA$4 * 0.25
    ),
    0
)
+
IF(
    $N27 &lt; 0.875,
    MAX(0, MIN(($H27 / 1000) * AT$10 * $BA$4, AT$11 * 0.876) - (AT$11 * $N27)) * 0.25,
    0
)</f>
        <v/>
      </c>
      <c r="AU27" s="117">
        <f t="array" ref="AU27">IF(
    AND($H27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($H27 / 1000) * AU$10 * $BA$4 * 0.25
    ),
    0
)
+
IF(
    $N27 &lt; 0.875,
    MAX(0, MIN(($H27 / 1000) * AU$10 * $BA$4, AU$11 * 0.876) - (AU$11 * $N27)) * 0.25,
    0
)</f>
        <v/>
      </c>
      <c r="AV27" s="117">
        <f t="array" ref="AV27">IF(
    AND($H27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($H27 / 1000) * AV$10 * $BA$4 * 0.25
    ),
    0
)
+
IF(
    $N27 &lt; 0.875,
    MAX(0, MIN(($H27 / 1000) * AV$10 * $BA$4, AV$11 * 0.876) - (AV$11 * $N27)) * 0.25,
    0
)</f>
        <v/>
      </c>
      <c r="AW27" s="117">
        <f t="array" ref="AW27">IF(
    AND($H27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($H27 / 1000) * AW$10 * $BA$4 * 0.25
    ),
    0
)
+
IF(
    $N27 &lt; 0.875,
    MAX(0, MIN(($H27 / 1000) * AW$10 * $BA$4, AW$11 * 0.876) - (AW$11 * $N27)) * 0.25,
    0
)</f>
        <v/>
      </c>
      <c r="AX27" s="117">
        <f t="array" ref="AX27">IF(
    AND($H27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($H27 / 1000) * AX$10 * $BA$4 * 0.25
    ),
    0
)
+
IF(
    $N27 &lt; 0.875,
    MAX(0, MIN(($H27 / 1000) * AX$10 * $BA$4, AX$11 * 0.876) - (AX$11 * $N27)) * 0.25,
    0
)</f>
        <v/>
      </c>
      <c r="AY27" s="117">
        <f t="array" ref="AY27">IF(
    AND($H27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($H27 / 1000) * AY$10 * $BA$4 * 0.25
    ),
    0
)
+
IF(
    $N27 &lt; 0.875,
    MAX(0, MIN(($H27 / 1000) * AY$10 * $BA$4, AY$11 * 0.876) - (AY$11 * $N27)) * 0.25,
    0
)</f>
        <v/>
      </c>
      <c r="AZ27" s="117">
        <f t="array" ref="AZ27">IF(
    AND($H27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($H27 / 1000) * AZ$10 * $BA$4 * 0.25
    ),
    0
)
+
IF(
    $N27 &lt; 0.875,
    MAX(0, MIN(($H27 / 1000) * AZ$10 * $BA$4, AZ$11 * 0.876) - (AZ$11 * $N27)) * 0.25,
    0
)</f>
        <v/>
      </c>
      <c r="BA27" s="119">
        <f>SUM(TabellaMar2026[[#This Row],[Colonna54]:[Colonna53]])</f>
        <v/>
      </c>
    </row>
    <row r="28" customFormat="1" s="1">
      <c r="A28" s="112" t="n">
        <v>46143</v>
      </c>
      <c r="B28" t="inlineStr">
        <is>
          <t>03:15:00.000</t>
        </is>
      </c>
      <c r="C28" s="2" t="n">
        <v>-1</v>
      </c>
      <c r="D28" s="113" t="n">
        <v>-0.00025</v>
      </c>
      <c r="E28" s="113" t="n">
        <v>-1</v>
      </c>
      <c r="F28" s="113" t="n">
        <v>-0.00025</v>
      </c>
      <c r="G28" s="113">
        <f>IFERROR((D28+F28)/2, 0)</f>
        <v/>
      </c>
      <c r="H28" s="114">
        <f>IFERROR(IF(AVERAGE(C28,E28)&gt;$BA$7,AVERAGE(C28,E28),0), 0)</f>
        <v/>
      </c>
      <c r="I28" s="114">
        <f>IFERROR(IF(AND(D28=0,F28=0),0,IF(H28&gt;$BA$6,MAX(D28,F28),G28)), 0)</f>
        <v/>
      </c>
      <c r="J28" s="113">
        <f>IFERROR(IF(AND(D28&gt;0,F28&gt;0),ABS(D28-F28)/AVERAGE(D28,F28),0), 0)</f>
        <v/>
      </c>
      <c r="K28" s="113" t="n">
        <v>30098.6</v>
      </c>
      <c r="L28" s="113" t="n">
        <v>30098.6</v>
      </c>
      <c r="M28" s="115">
        <f>IFERROR((L28-K28)*1000, 0)</f>
        <v/>
      </c>
      <c r="N28" s="113" t="n">
        <v>0.8759999999999999</v>
      </c>
      <c r="O28" s="115">
        <f t="array" ref="O28">IF(
    AND($H28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($H28 / 1000) * O$10 * $BA$4 * 0.25
    ),
    0
)
+
IF(
    $N28 &lt; 0.875,
    MAX(0, MIN(($H28 / 1000) * O$10 * $BA$4, O$11 * 0.876) - (O$11 * $N28)) * 0.25,
    0
)</f>
        <v/>
      </c>
      <c r="P28" s="115">
        <f t="array" ref="P28">IF(
    AND($H28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($H28 / 1000) * P$10 * $BA$4 * 0.25
    ),
    0
)
+
IF(
    $N28 &lt; 0.875,
    MAX(0, MIN(($H28 / 1000) * P$10 * $BA$4, P$11 * 0.876) - (P$11 * $N28)) * 0.25,
    0
)</f>
        <v/>
      </c>
      <c r="Q28" s="115">
        <f t="array" ref="Q28">IF(
    AND($H28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($H28 / 1000) * Q$10 * $BA$4 * 0.25
    ),
    0
)
+
IF(
    $N28 &lt; 0.875,
    MAX(0, MIN(($H28 / 1000) * Q$10 * $BA$4, Q$11 * 0.876) - (Q$11 * $N28)) * 0.25,
    0
)</f>
        <v/>
      </c>
      <c r="R28" s="115">
        <f t="array" ref="R28">IF(
    AND($H28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($H28 / 1000) * R$10 * $BA$4 * 0.25
    ),
    0
)
+
IF(
    $N28 &lt; 0.875,
    MAX(0, MIN(($H28 / 1000) * R$10 * $BA$4, R$11 * 0.876) - (R$11 * $N28)) * 0.25,
    0
)</f>
        <v/>
      </c>
      <c r="S28" s="115">
        <f t="array" ref="S28">IF(
    AND($H28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($H28 / 1000) * S$10 * $BA$4 * 0.25
    ),
    0
)
+
IF(
    $N28 &lt; 0.875,
    MAX(0, MIN(($H28 / 1000) * S$10 * $BA$4, S$11 * 0.876) - (S$11 * $N28)) * 0.25,
    0
)</f>
        <v/>
      </c>
      <c r="T28" s="115">
        <f t="array" ref="T28">IF(
    AND($H28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($H28 / 1000) * T$10 * $BA$4 * 0.25
    ),
    0
)
+
IF(
    $N28 &lt; 0.875,
    MAX(0, MIN(($H28 / 1000) * T$10 * $BA$4, T$11 * 0.876) - (T$11 * $N28)) * 0.25,
    0
)</f>
        <v/>
      </c>
      <c r="U28" s="115">
        <f t="array" ref="U28">IF(
    AND($H28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($H28 / 1000) * U$10 * $BA$4 * 0.25
    ),
    0
)
+
IF(
    $N28 &lt; 0.875,
    MAX(0, MIN(($H28 / 1000) * U$10 * $BA$4, U$11 * 0.876) - (U$11 * $N28)) * 0.25,
    0
)</f>
        <v/>
      </c>
      <c r="V28" s="115">
        <f t="array" ref="V28">IF(
    AND($H28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($H28 / 1000) * V$10 * $BA$4 * 0.25
    ),
    0
)
+
IF(
    $N28 &lt; 0.875,
    MAX(0, MIN(($H28 / 1000) * V$10 * $BA$4, V$11 * 0.876) - (V$11 * $N28)) * 0.25,
    0
)</f>
        <v/>
      </c>
      <c r="W28" s="115">
        <f t="array" ref="W28">IF(
    AND($H28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($H28 / 1000) * W$10 * $BA$4 * 0.25
    ),
    0
)
+
IF(
    $N28 &lt; 0.875,
    MAX(0, MIN(($H28 / 1000) * W$10 * $BA$4, W$11 * 0.876) - (W$11 * $N28)) * 0.25,
    0
)</f>
        <v/>
      </c>
      <c r="X28" s="115">
        <f t="array" ref="X28">IF(
    AND($H28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($H28 / 1000) * X$10 * $BA$4 * 0.25
    ),
    0
)
+
IF(
    $N28 &lt; 0.875,
    MAX(0, MIN(($H28 / 1000) * X$10 * $BA$4, X$11 * 0.876) - (X$11 * $N28)) * 0.25,
    0
)</f>
        <v/>
      </c>
      <c r="Y28" s="115">
        <f t="array" ref="Y28">IF(
    AND($H28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($H28 / 1000) * Y$10 * $BA$4 * 0.25
    ),
    0
)
+
IF(
    $N28 &lt; 0.875,
    MAX(0, MIN(($H28 / 1000) * Y$10 * $BA$4, Y$11 * 0.876) - (Y$11 * $N28)) * 0.25,
    0
)</f>
        <v/>
      </c>
      <c r="Z28" s="115">
        <f t="array" ref="Z28">IF(
    AND($H28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($H28 / 1000) * Z$10 * $BA$4 * 0.25
    ),
    0
)
+
IF(
    $N28 &lt; 0.875,
    MAX(0, MIN(($H28 / 1000) * Z$10 * $BA$4, Z$11 * 0.876) - (Z$11 * $N28)) * 0.25,
    0
)</f>
        <v/>
      </c>
      <c r="AA28" s="116">
        <f>SUM(TabellaMar2026[[#This Row],[Colonna24]:[Colonna20]])</f>
        <v/>
      </c>
      <c r="AB28" s="117">
        <f>IF(
    AND($H28 &gt; $BA$7, Tabella01MarzoInverter[[#This Row],[Active power TX2-INV-1]] &lt;= 0, Tabella01MarzoInverter[[#This Row],[TX2 - Average Power]] &lt;= 0),
    MIN(($H28 / 1000) * AB$10 * $BA$4, AB$11 * 0.876) * 0.25,
    IF(
        AND($H28 &gt; $BA$7, Tabella01MarzoInverter[[#This Row],[Active power TX2-INV-1]] &lt;= 0),
        Tabella01MarzoInverter[[#This Row],[TX2 - Average Power]] * 0.25,
        0
    )
    +
    IF(
        $N28 &lt; 0.875,
        MAX(0, MIN(($H28 / 1000) * AB$10 * $BA$4, AB$11 * 0.876) - (AB$11 * $N28)) * 0.25,
        0
    )
)</f>
        <v/>
      </c>
      <c r="AC28" s="117">
        <f>IF(
    AND($H28 &gt; $BA$7, Tabella01MarzoInverter[[#This Row],[Active power TX2-INV-2]] &lt;= 0, Tabella01MarzoInverter[[#This Row],[TX2 - Max Power]] &lt;= 0),
    MIN(($H28 / 1000) * AC$10 * $BA$4, AC$11 * 0.876) * 0.25,
    IF(
        AND($H28 &gt; $BA$7, Tabella01MarzoInverter[[#This Row],[Active power TX2-INV-2]] &lt;= 0),
        Tabella01MarzoInverter[[#This Row],[TX2 - Max Power]] * 0.25,
        0
    )
    +
    IF(
        $N28 &lt; 0.875,
        MAX(0, MIN(($H28 / 1000) * AC$10 * $BA$4, AC$11 * 0.876) - (AC$11 * $N28)) * 0.25,
        0
    )
)</f>
        <v/>
      </c>
      <c r="AD28" s="117">
        <f>IF(
    AND($H28 &gt; $BA$7, Tabella01MarzoInverter[[#This Row],[Active power TX2-INV-3]] &lt;= 0, Tabella01MarzoInverter[[#This Row],[TX2 - Min Power]] &lt;= 0),
    MIN(($H28 / 1000) * AD$10 * $BA$4, AD$11 * 0.876) * 0.25,
    IF(
        AND($H28 &gt; $BA$7, Tabella01MarzoInverter[[#This Row],[Active power TX2-INV-3]] &lt;= 0),
        Tabella01MarzoInverter[[#This Row],[TX2 - Min Power]] * 0.25,
        0
    )
    +
    IF(
        $N28 &lt; 0.875,
        MAX(0, MIN(($H28 / 1000) * AD$10 * $BA$4, AD$11 * 0.876) - (AD$11 * $N28)) * 0.25,
        0
    )
)</f>
        <v/>
      </c>
      <c r="AE28" s="117">
        <f>IF(
    AND($H28 &gt; $BA$7, Tabella01MarzoInverter[[#This Row],[Active power TX2-INV-4]] &lt;= 0, Tabella01MarzoInverter[[#This Row],[Active power TX3-INV-1]] &lt;= 0),
    MIN(($H28 / 1000) * AE$10 * $BA$4, AE$11 * 0.876) * 0.25,
    IF(
        AND($H28 &gt; $BA$7, Tabella01MarzoInverter[[#This Row],[Active power TX2-INV-4]] &lt;= 0),
        Tabella01MarzoInverter[[#This Row],[Active power TX3-INV-1]] * 0.25,
        0
    )
    +
    IF(
        $N28 &lt; 0.875,
        MAX(0, MIN(($H28 / 1000) * AE$10 * $BA$4, AE$11 * 0.876) - (AE$11 * $N28)) * 0.25,
        0
    )
)</f>
        <v/>
      </c>
      <c r="AF28" s="117">
        <f>IF(
    AND($H28 &gt; $BA$7, Tabella01MarzoInverter[[#This Row],[Active power TX2-INV-5]] &lt;= 0, Tabella01MarzoInverter[[#This Row],[Active power TX3-INV-2]] &lt;= 0),
    MIN(($H28 / 1000) * AF$10 * $BA$4, AF$11 * 0.876) * 0.25,
    IF(
        AND($H28 &gt; $BA$7, Tabella01MarzoInverter[[#This Row],[Active power TX2-INV-5]] &lt;= 0),
        Tabella01MarzoInverter[[#This Row],[Active power TX3-INV-2]] * 0.25,
        0
    )
    +
    IF(
        $N28 &lt; 0.875,
        MAX(0, MIN(($H28 / 1000) * AF$10 * $BA$4, AF$11 * 0.876) - (AF$11 * $N28)) * 0.25,
        0
    )
)</f>
        <v/>
      </c>
      <c r="AG28" s="117">
        <f>IF(
    AND($H28 &gt; $BA$7, Tabella01MarzoInverter[[#This Row],[Active power TX2-INV-6]] &lt;= 0, Tabella01MarzoInverter[[#This Row],[Active power TX3-INV-3]] &lt;= 0),
    MIN(($H28 / 1000) * AG$10 * $BA$4, AG$11 * 0.876) * 0.25,
    IF(
        AND($H28 &gt; $BA$7, Tabella01MarzoInverter[[#This Row],[Active power TX2-INV-6]] &lt;= 0),
        Tabella01MarzoInverter[[#This Row],[Active power TX3-INV-3]] * 0.25,
        0
    )
    +
    IF(
        $N28 &lt; 0.875,
        MAX(0, MIN(($H28 / 1000) * AG$10 * $BA$4, AG$11 * 0.876) - (AG$11 * $N28)) * 0.25,
        0
    )
)</f>
        <v/>
      </c>
      <c r="AH28" s="117">
        <f>IF(
    AND($H28 &gt; $BA$7, Tabella01MarzoInverter[[#This Row],[Active power TX2-INV-7]] &lt;= 0, Tabella01MarzoInverter[[#This Row],[Active power TX3-INV-4]] &lt;= 0),
    MIN(($H28 / 1000) * AH$10 * $BA$4, AH$11 * 0.876) * 0.25,
    IF(
        AND($H28 &gt; $BA$7, Tabella01MarzoInverter[[#This Row],[Active power TX2-INV-7]] &lt;= 0),
        Tabella01MarzoInverter[[#This Row],[Active power TX3-INV-4]] * 0.25,
        0
    )
    +
    IF(
        $N28 &lt; 0.875,
        MAX(0, MIN(($H28 / 1000) * AH$10 * $BA$4, AH$11 * 0.876) - (AH$11 * $N28)) * 0.25,
        0
    )
)</f>
        <v/>
      </c>
      <c r="AI28" s="117">
        <f>IF(
    AND($H28 &gt; $BA$7, Tabella01MarzoInverter[[#This Row],[Active power TX2-INV-8]] &lt;= 0, Tabella01MarzoInverter[[#This Row],[Active power TX3-INV-5]] &lt;= 0),
    MIN(($H28 / 1000) * AI$10 * $BA$4, AI$11 * 0.876) * 0.25,
    IF(
        AND($H28 &gt; $BA$7, Tabella01MarzoInverter[[#This Row],[Active power TX2-INV-8]] &lt;= 0),
        Tabella01MarzoInverter[[#This Row],[Active power TX3-INV-5]] * 0.25,
        0
    )
    +
    IF(
        $N28 &lt; 0.875,
        MAX(0, MIN(($H28 / 1000) * AI$10 * $BA$4, AI$11 * 0.876) - (AI$11 * $N28)) * 0.25,
        0
    )
)</f>
        <v/>
      </c>
      <c r="AJ28" s="117">
        <f>IF(
    AND($H28 &gt; $BA$7, Tabella01MarzoInverter[[#This Row],[Active power TX2-INV-9]] &lt;= 0, Tabella01MarzoInverter[[#This Row],[Active power TX3-INV-6]] &lt;= 0),
    MIN(($H28 / 1000) * AJ$10 * $BA$4, AJ$11 * 0.876) * 0.25,
    IF(
        AND($H28 &gt; $BA$7, Tabella01MarzoInverter[[#This Row],[Active power TX2-INV-9]] &lt;= 0),
        Tabella01MarzoInverter[[#This Row],[Active power TX3-INV-6]] * 0.25,
        0
    )
    +
    IF(
        $N28 &lt; 0.875,
        MAX(0, MIN(($H28 / 1000) * AJ$10 * $BA$4, AJ$11 * 0.876) - (AJ$11 * $N28)) * 0.25,
        0
    )
)</f>
        <v/>
      </c>
      <c r="AK28" s="117">
        <f>IF(
    AND($H28 &gt; $BA$7, Tabella01MarzoInverter[[#This Row],[Active power TX2-INV-10]] &lt;= 0, Tabella01MarzoInverter[[#This Row],[Active power TX3-INV-7]] &lt;= 0),
    MIN(($H28 / 1000) * AK$10 * $BA$4, AK$11 * 0.876) * 0.25,
    IF(
        AND($H28 &gt; $BA$7, Tabella01MarzoInverter[[#This Row],[Active power TX2-INV-10]] &lt;= 0),
        Tabella01MarzoInverter[[#This Row],[Active power TX3-INV-7]] * 0.25,
        0
    )
    +
    IF(
        $N28 &lt; 0.875,
        MAX(0, MIN(($H28 / 1000) * AK$10 * $BA$4, AK$11 * 0.876) - (AK$11 * $N28)) * 0.25,
        0
    )
)</f>
        <v/>
      </c>
      <c r="AL28" s="117">
        <f>IF(
    AND($H28 &gt; $BA$7, Tabella01MarzoInverter[[#This Row],[Active power TX2-INV-11]] &lt;= 0, Tabella01MarzoInverter[[#This Row],[Active power TX3-INV-8]] &lt;= 0),
    MIN(($H28 / 1000) * AL$10 * $BA$4, AL$11 * 0.876) * 0.25,
    IF(
        AND($H28 &gt; $BA$7, Tabella01MarzoInverter[[#This Row],[Active power TX2-INV-11]] &lt;= 0),
        Tabella01MarzoInverter[[#This Row],[Active power TX3-INV-8]] * 0.25,
        0
    )
    +
    IF(
        $N28 &lt; 0.875,
        MAX(0, MIN(($H28 / 1000) * AL$10 * $BA$4, AL$11 * 0.876) - (AL$11 * $N28)) * 0.25,
        0
    )
)</f>
        <v/>
      </c>
      <c r="AM28" s="117">
        <f>IF(
    AND($H28 &gt; $BA$7, Tabella01MarzoInverter[[#This Row],[Active power TX2-INV-12]] &lt;= 0, Tabella01MarzoInverter[[#This Row],[Active power TX3-INV-9]] &lt;= 0),
    MIN(($H28 / 1000) * AM$10 * $BA$4, AM$11 * 0.876) * 0.25,
    IF(
        AND($H28 &gt; $BA$7, Tabella01MarzoInverter[[#This Row],[Active power TX2-INV-12]] &lt;= 0),
        Tabella01MarzoInverter[[#This Row],[Active power TX3-INV-9]] * 0.25,
        0
    )
    +
    IF(
        $N28 &lt; 0.875,
        MAX(0, MIN(($H28 / 1000) * AM$10 * $BA$4, AM$11 * 0.876) - (AM$11 * $N28)) * 0.25,
        0
    )
)</f>
        <v/>
      </c>
      <c r="AN28" s="118">
        <f>SUM(TabellaMar2026[[#This Row],[Colonna39]:[Colonna6]])</f>
        <v/>
      </c>
      <c r="AO28" s="117">
        <f t="array" ref="AO28">IF(
    AND($H28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($H28 / 1000) * AO$10 * $BA$4 * 0.25
    ),
    0
)
+
IF(
    $N28 &lt; 0.875,
    MAX(0, MIN(($H28 / 1000) * AO$10 * $BA$4, AO$11 * 0.876) - (AO$11 * $N28)) * 0.25,
    0
)</f>
        <v/>
      </c>
      <c r="AP28" s="117">
        <f t="array" ref="AP28">IF(
    AND($H28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($H28 / 1000) * AP$10 * $BA$4 * 0.25
    ),
    0
)
+
IF(
    $N28 &lt; 0.875,
    MAX(0, MIN(($H28 / 1000) * AP$10 * $BA$4, AP$11 * 0.876) - (AP$11 * $N28)) * 0.25,
    0
)</f>
        <v/>
      </c>
      <c r="AQ28" s="117">
        <f t="array" ref="AQ28">IF(
    AND($H28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($H28 / 1000) * AQ$10 * $BA$4 * 0.25
    ),
    0
)
+
IF(
    $N28 &lt; 0.875,
    MAX(0, MIN(($H28 / 1000) * AQ$10 * $BA$4, AQ$11 * 0.876) - (AQ$11 * $N28)) * 0.25,
    0
)</f>
        <v/>
      </c>
      <c r="AR28" s="117">
        <f t="array" ref="AR28">IF(
    AND($H28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($H28 / 1000) * AR$10 * $BA$4 * 0.25
    ),
    0
)
+
IF(
    $N28 &lt; 0.875,
    MAX(0, MIN(($H28 / 1000) * AR$10 * $BA$4, AR$11 * 0.876) - (AR$11 * $N28)) * 0.25,
    0
)</f>
        <v/>
      </c>
      <c r="AS28" s="117">
        <f t="array" ref="AS28">IF(
    AND($H28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($H28 / 1000) * AS$10 * $BA$4 * 0.25
    ),
    0
)
+
IF(
    $N28 &lt; 0.875,
    MAX(0, MIN(($H28 / 1000) * AS$10 * $BA$4, AS$11 * 0.876) - (AS$11 * $N28)) * 0.25,
    0
)</f>
        <v/>
      </c>
      <c r="AT28" s="117">
        <f t="array" ref="AT28">IF(
    AND($H28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($H28 / 1000) * AT$10 * $BA$4 * 0.25
    ),
    0
)
+
IF(
    $N28 &lt; 0.875,
    MAX(0, MIN(($H28 / 1000) * AT$10 * $BA$4, AT$11 * 0.876) - (AT$11 * $N28)) * 0.25,
    0
)</f>
        <v/>
      </c>
      <c r="AU28" s="117">
        <f t="array" ref="AU28">IF(
    AND($H28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($H28 / 1000) * AU$10 * $BA$4 * 0.25
    ),
    0
)
+
IF(
    $N28 &lt; 0.875,
    MAX(0, MIN(($H28 / 1000) * AU$10 * $BA$4, AU$11 * 0.876) - (AU$11 * $N28)) * 0.25,
    0
)</f>
        <v/>
      </c>
      <c r="AV28" s="117">
        <f t="array" ref="AV28">IF(
    AND($H28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($H28 / 1000) * AV$10 * $BA$4 * 0.25
    ),
    0
)
+
IF(
    $N28 &lt; 0.875,
    MAX(0, MIN(($H28 / 1000) * AV$10 * $BA$4, AV$11 * 0.876) - (AV$11 * $N28)) * 0.25,
    0
)</f>
        <v/>
      </c>
      <c r="AW28" s="117">
        <f t="array" ref="AW28">IF(
    AND($H28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($H28 / 1000) * AW$10 * $BA$4 * 0.25
    ),
    0
)
+
IF(
    $N28 &lt; 0.875,
    MAX(0, MIN(($H28 / 1000) * AW$10 * $BA$4, AW$11 * 0.876) - (AW$11 * $N28)) * 0.25,
    0
)</f>
        <v/>
      </c>
      <c r="AX28" s="117">
        <f t="array" ref="AX28">IF(
    AND($H28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($H28 / 1000) * AX$10 * $BA$4 * 0.25
    ),
    0
)
+
IF(
    $N28 &lt; 0.875,
    MAX(0, MIN(($H28 / 1000) * AX$10 * $BA$4, AX$11 * 0.876) - (AX$11 * $N28)) * 0.25,
    0
)</f>
        <v/>
      </c>
      <c r="AY28" s="117">
        <f t="array" ref="AY28">IF(
    AND($H28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($H28 / 1000) * AY$10 * $BA$4 * 0.25
    ),
    0
)
+
IF(
    $N28 &lt; 0.875,
    MAX(0, MIN(($H28 / 1000) * AY$10 * $BA$4, AY$11 * 0.876) - (AY$11 * $N28)) * 0.25,
    0
)</f>
        <v/>
      </c>
      <c r="AZ28" s="117">
        <f t="array" ref="AZ28">IF(
    AND($H28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($H28 / 1000) * AZ$10 * $BA$4 * 0.25
    ),
    0
)
+
IF(
    $N28 &lt; 0.875,
    MAX(0, MIN(($H28 / 1000) * AZ$10 * $BA$4, AZ$11 * 0.876) - (AZ$11 * $N28)) * 0.25,
    0
)</f>
        <v/>
      </c>
      <c r="BA28" s="119">
        <f>SUM(TabellaMar2026[[#This Row],[Colonna54]:[Colonna53]])</f>
        <v/>
      </c>
    </row>
    <row r="29" customFormat="1" s="1">
      <c r="A29" s="112" t="n">
        <v>46143</v>
      </c>
      <c r="B29" t="inlineStr">
        <is>
          <t>03:30:00.000</t>
        </is>
      </c>
      <c r="C29" s="2" t="n">
        <v>-1</v>
      </c>
      <c r="D29" s="113" t="n">
        <v>-0.00025</v>
      </c>
      <c r="E29" s="113" t="n">
        <v>-1</v>
      </c>
      <c r="F29" s="113" t="n">
        <v>-0.00025</v>
      </c>
      <c r="G29" s="113">
        <f>IFERROR((D29+F29)/2, 0)</f>
        <v/>
      </c>
      <c r="H29" s="114">
        <f>IFERROR(IF(AVERAGE(C29,E29)&gt;$BA$7,AVERAGE(C29,E29),0), 0)</f>
        <v/>
      </c>
      <c r="I29" s="114">
        <f>IFERROR(IF(AND(D29=0,F29=0),0,IF(H29&gt;$BA$6,MAX(D29,F29),G29)), 0)</f>
        <v/>
      </c>
      <c r="J29" s="113">
        <f>IFERROR(IF(AND(D29&gt;0,F29&gt;0),ABS(D29-F29)/AVERAGE(D29,F29),0), 0)</f>
        <v/>
      </c>
      <c r="K29" s="113" t="n">
        <v>30098.6</v>
      </c>
      <c r="L29" s="113" t="n">
        <v>30098.6</v>
      </c>
      <c r="M29" s="115">
        <f>IFERROR((L29-K29)*1000, 0)</f>
        <v/>
      </c>
      <c r="N29" s="113" t="n">
        <v>0.8759999999999999</v>
      </c>
      <c r="O29" s="115">
        <f t="array" ref="O29">IF(
    AND($H29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($H29 / 1000) * O$10 * $BA$4 * 0.25
    ),
    0
)
+
IF(
    $N29 &lt; 0.875,
    MAX(0, MIN(($H29 / 1000) * O$10 * $BA$4, O$11 * 0.876) - (O$11 * $N29)) * 0.25,
    0
)</f>
        <v/>
      </c>
      <c r="P29" s="115">
        <f t="array" ref="P29">IF(
    AND($H29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($H29 / 1000) * P$10 * $BA$4 * 0.25
    ),
    0
)
+
IF(
    $N29 &lt; 0.875,
    MAX(0, MIN(($H29 / 1000) * P$10 * $BA$4, P$11 * 0.876) - (P$11 * $N29)) * 0.25,
    0
)</f>
        <v/>
      </c>
      <c r="Q29" s="115">
        <f t="array" ref="Q29">IF(
    AND($H29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($H29 / 1000) * Q$10 * $BA$4 * 0.25
    ),
    0
)
+
IF(
    $N29 &lt; 0.875,
    MAX(0, MIN(($H29 / 1000) * Q$10 * $BA$4, Q$11 * 0.876) - (Q$11 * $N29)) * 0.25,
    0
)</f>
        <v/>
      </c>
      <c r="R29" s="115">
        <f t="array" ref="R29">IF(
    AND($H29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($H29 / 1000) * R$10 * $BA$4 * 0.25
    ),
    0
)
+
IF(
    $N29 &lt; 0.875,
    MAX(0, MIN(($H29 / 1000) * R$10 * $BA$4, R$11 * 0.876) - (R$11 * $N29)) * 0.25,
    0
)</f>
        <v/>
      </c>
      <c r="S29" s="115">
        <f t="array" ref="S29">IF(
    AND($H29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($H29 / 1000) * S$10 * $BA$4 * 0.25
    ),
    0
)
+
IF(
    $N29 &lt; 0.875,
    MAX(0, MIN(($H29 / 1000) * S$10 * $BA$4, S$11 * 0.876) - (S$11 * $N29)) * 0.25,
    0
)</f>
        <v/>
      </c>
      <c r="T29" s="115">
        <f t="array" ref="T29">IF(
    AND($H29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($H29 / 1000) * T$10 * $BA$4 * 0.25
    ),
    0
)
+
IF(
    $N29 &lt; 0.875,
    MAX(0, MIN(($H29 / 1000) * T$10 * $BA$4, T$11 * 0.876) - (T$11 * $N29)) * 0.25,
    0
)</f>
        <v/>
      </c>
      <c r="U29" s="115">
        <f t="array" ref="U29">IF(
    AND($H29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($H29 / 1000) * U$10 * $BA$4 * 0.25
    ),
    0
)
+
IF(
    $N29 &lt; 0.875,
    MAX(0, MIN(($H29 / 1000) * U$10 * $BA$4, U$11 * 0.876) - (U$11 * $N29)) * 0.25,
    0
)</f>
        <v/>
      </c>
      <c r="V29" s="115">
        <f t="array" ref="V29">IF(
    AND($H29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($H29 / 1000) * V$10 * $BA$4 * 0.25
    ),
    0
)
+
IF(
    $N29 &lt; 0.875,
    MAX(0, MIN(($H29 / 1000) * V$10 * $BA$4, V$11 * 0.876) - (V$11 * $N29)) * 0.25,
    0
)</f>
        <v/>
      </c>
      <c r="W29" s="115">
        <f t="array" ref="W29">IF(
    AND($H29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($H29 / 1000) * W$10 * $BA$4 * 0.25
    ),
    0
)
+
IF(
    $N29 &lt; 0.875,
    MAX(0, MIN(($H29 / 1000) * W$10 * $BA$4, W$11 * 0.876) - (W$11 * $N29)) * 0.25,
    0
)</f>
        <v/>
      </c>
      <c r="X29" s="115">
        <f t="array" ref="X29">IF(
    AND($H29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($H29 / 1000) * X$10 * $BA$4 * 0.25
    ),
    0
)
+
IF(
    $N29 &lt; 0.875,
    MAX(0, MIN(($H29 / 1000) * X$10 * $BA$4, X$11 * 0.876) - (X$11 * $N29)) * 0.25,
    0
)</f>
        <v/>
      </c>
      <c r="Y29" s="115">
        <f t="array" ref="Y29">IF(
    AND($H29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($H29 / 1000) * Y$10 * $BA$4 * 0.25
    ),
    0
)
+
IF(
    $N29 &lt; 0.875,
    MAX(0, MIN(($H29 / 1000) * Y$10 * $BA$4, Y$11 * 0.876) - (Y$11 * $N29)) * 0.25,
    0
)</f>
        <v/>
      </c>
      <c r="Z29" s="115">
        <f t="array" ref="Z29">IF(
    AND($H29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($H29 / 1000) * Z$10 * $BA$4 * 0.25
    ),
    0
)
+
IF(
    $N29 &lt; 0.875,
    MAX(0, MIN(($H29 / 1000) * Z$10 * $BA$4, Z$11 * 0.876) - (Z$11 * $N29)) * 0.25,
    0
)</f>
        <v/>
      </c>
      <c r="AA29" s="116">
        <f>SUM(TabellaMar2026[[#This Row],[Colonna24]:[Colonna20]])</f>
        <v/>
      </c>
      <c r="AB29" s="117">
        <f>IF(
    AND($H29 &gt; $BA$7, Tabella01MarzoInverter[[#This Row],[Active power TX2-INV-1]] &lt;= 0, Tabella01MarzoInverter[[#This Row],[TX2 - Average Power]] &lt;= 0),
    MIN(($H29 / 1000) * AB$10 * $BA$4, AB$11 * 0.876) * 0.25,
    IF(
        AND($H29 &gt; $BA$7, Tabella01MarzoInverter[[#This Row],[Active power TX2-INV-1]] &lt;= 0),
        Tabella01MarzoInverter[[#This Row],[TX2 - Average Power]] * 0.25,
        0
    )
    +
    IF(
        $N29 &lt; 0.875,
        MAX(0, MIN(($H29 / 1000) * AB$10 * $BA$4, AB$11 * 0.876) - (AB$11 * $N29)) * 0.25,
        0
    )
)</f>
        <v/>
      </c>
      <c r="AC29" s="117">
        <f>IF(
    AND($H29 &gt; $BA$7, Tabella01MarzoInverter[[#This Row],[Active power TX2-INV-2]] &lt;= 0, Tabella01MarzoInverter[[#This Row],[TX2 - Max Power]] &lt;= 0),
    MIN(($H29 / 1000) * AC$10 * $BA$4, AC$11 * 0.876) * 0.25,
    IF(
        AND($H29 &gt; $BA$7, Tabella01MarzoInverter[[#This Row],[Active power TX2-INV-2]] &lt;= 0),
        Tabella01MarzoInverter[[#This Row],[TX2 - Max Power]] * 0.25,
        0
    )
    +
    IF(
        $N29 &lt; 0.875,
        MAX(0, MIN(($H29 / 1000) * AC$10 * $BA$4, AC$11 * 0.876) - (AC$11 * $N29)) * 0.25,
        0
    )
)</f>
        <v/>
      </c>
      <c r="AD29" s="117">
        <f>IF(
    AND($H29 &gt; $BA$7, Tabella01MarzoInverter[[#This Row],[Active power TX2-INV-3]] &lt;= 0, Tabella01MarzoInverter[[#This Row],[TX2 - Min Power]] &lt;= 0),
    MIN(($H29 / 1000) * AD$10 * $BA$4, AD$11 * 0.876) * 0.25,
    IF(
        AND($H29 &gt; $BA$7, Tabella01MarzoInverter[[#This Row],[Active power TX2-INV-3]] &lt;= 0),
        Tabella01MarzoInverter[[#This Row],[TX2 - Min Power]] * 0.25,
        0
    )
    +
    IF(
        $N29 &lt; 0.875,
        MAX(0, MIN(($H29 / 1000) * AD$10 * $BA$4, AD$11 * 0.876) - (AD$11 * $N29)) * 0.25,
        0
    )
)</f>
        <v/>
      </c>
      <c r="AE29" s="117">
        <f>IF(
    AND($H29 &gt; $BA$7, Tabella01MarzoInverter[[#This Row],[Active power TX2-INV-4]] &lt;= 0, Tabella01MarzoInverter[[#This Row],[Active power TX3-INV-1]] &lt;= 0),
    MIN(($H29 / 1000) * AE$10 * $BA$4, AE$11 * 0.876) * 0.25,
    IF(
        AND($H29 &gt; $BA$7, Tabella01MarzoInverter[[#This Row],[Active power TX2-INV-4]] &lt;= 0),
        Tabella01MarzoInverter[[#This Row],[Active power TX3-INV-1]] * 0.25,
        0
    )
    +
    IF(
        $N29 &lt; 0.875,
        MAX(0, MIN(($H29 / 1000) * AE$10 * $BA$4, AE$11 * 0.876) - (AE$11 * $N29)) * 0.25,
        0
    )
)</f>
        <v/>
      </c>
      <c r="AF29" s="117">
        <f>IF(
    AND($H29 &gt; $BA$7, Tabella01MarzoInverter[[#This Row],[Active power TX2-INV-5]] &lt;= 0, Tabella01MarzoInverter[[#This Row],[Active power TX3-INV-2]] &lt;= 0),
    MIN(($H29 / 1000) * AF$10 * $BA$4, AF$11 * 0.876) * 0.25,
    IF(
        AND($H29 &gt; $BA$7, Tabella01MarzoInverter[[#This Row],[Active power TX2-INV-5]] &lt;= 0),
        Tabella01MarzoInverter[[#This Row],[Active power TX3-INV-2]] * 0.25,
        0
    )
    +
    IF(
        $N29 &lt; 0.875,
        MAX(0, MIN(($H29 / 1000) * AF$10 * $BA$4, AF$11 * 0.876) - (AF$11 * $N29)) * 0.25,
        0
    )
)</f>
        <v/>
      </c>
      <c r="AG29" s="117">
        <f>IF(
    AND($H29 &gt; $BA$7, Tabella01MarzoInverter[[#This Row],[Active power TX2-INV-6]] &lt;= 0, Tabella01MarzoInverter[[#This Row],[Active power TX3-INV-3]] &lt;= 0),
    MIN(($H29 / 1000) * AG$10 * $BA$4, AG$11 * 0.876) * 0.25,
    IF(
        AND($H29 &gt; $BA$7, Tabella01MarzoInverter[[#This Row],[Active power TX2-INV-6]] &lt;= 0),
        Tabella01MarzoInverter[[#This Row],[Active power TX3-INV-3]] * 0.25,
        0
    )
    +
    IF(
        $N29 &lt; 0.875,
        MAX(0, MIN(($H29 / 1000) * AG$10 * $BA$4, AG$11 * 0.876) - (AG$11 * $N29)) * 0.25,
        0
    )
)</f>
        <v/>
      </c>
      <c r="AH29" s="117">
        <f>IF(
    AND($H29 &gt; $BA$7, Tabella01MarzoInverter[[#This Row],[Active power TX2-INV-7]] &lt;= 0, Tabella01MarzoInverter[[#This Row],[Active power TX3-INV-4]] &lt;= 0),
    MIN(($H29 / 1000) * AH$10 * $BA$4, AH$11 * 0.876) * 0.25,
    IF(
        AND($H29 &gt; $BA$7, Tabella01MarzoInverter[[#This Row],[Active power TX2-INV-7]] &lt;= 0),
        Tabella01MarzoInverter[[#This Row],[Active power TX3-INV-4]] * 0.25,
        0
    )
    +
    IF(
        $N29 &lt; 0.875,
        MAX(0, MIN(($H29 / 1000) * AH$10 * $BA$4, AH$11 * 0.876) - (AH$11 * $N29)) * 0.25,
        0
    )
)</f>
        <v/>
      </c>
      <c r="AI29" s="117">
        <f>IF(
    AND($H29 &gt; $BA$7, Tabella01MarzoInverter[[#This Row],[Active power TX2-INV-8]] &lt;= 0, Tabella01MarzoInverter[[#This Row],[Active power TX3-INV-5]] &lt;= 0),
    MIN(($H29 / 1000) * AI$10 * $BA$4, AI$11 * 0.876) * 0.25,
    IF(
        AND($H29 &gt; $BA$7, Tabella01MarzoInverter[[#This Row],[Active power TX2-INV-8]] &lt;= 0),
        Tabella01MarzoInverter[[#This Row],[Active power TX3-INV-5]] * 0.25,
        0
    )
    +
    IF(
        $N29 &lt; 0.875,
        MAX(0, MIN(($H29 / 1000) * AI$10 * $BA$4, AI$11 * 0.876) - (AI$11 * $N29)) * 0.25,
        0
    )
)</f>
        <v/>
      </c>
      <c r="AJ29" s="117">
        <f>IF(
    AND($H29 &gt; $BA$7, Tabella01MarzoInverter[[#This Row],[Active power TX2-INV-9]] &lt;= 0, Tabella01MarzoInverter[[#This Row],[Active power TX3-INV-6]] &lt;= 0),
    MIN(($H29 / 1000) * AJ$10 * $BA$4, AJ$11 * 0.876) * 0.25,
    IF(
        AND($H29 &gt; $BA$7, Tabella01MarzoInverter[[#This Row],[Active power TX2-INV-9]] &lt;= 0),
        Tabella01MarzoInverter[[#This Row],[Active power TX3-INV-6]] * 0.25,
        0
    )
    +
    IF(
        $N29 &lt; 0.875,
        MAX(0, MIN(($H29 / 1000) * AJ$10 * $BA$4, AJ$11 * 0.876) - (AJ$11 * $N29)) * 0.25,
        0
    )
)</f>
        <v/>
      </c>
      <c r="AK29" s="117">
        <f>IF(
    AND($H29 &gt; $BA$7, Tabella01MarzoInverter[[#This Row],[Active power TX2-INV-10]] &lt;= 0, Tabella01MarzoInverter[[#This Row],[Active power TX3-INV-7]] &lt;= 0),
    MIN(($H29 / 1000) * AK$10 * $BA$4, AK$11 * 0.876) * 0.25,
    IF(
        AND($H29 &gt; $BA$7, Tabella01MarzoInverter[[#This Row],[Active power TX2-INV-10]] &lt;= 0),
        Tabella01MarzoInverter[[#This Row],[Active power TX3-INV-7]] * 0.25,
        0
    )
    +
    IF(
        $N29 &lt; 0.875,
        MAX(0, MIN(($H29 / 1000) * AK$10 * $BA$4, AK$11 * 0.876) - (AK$11 * $N29)) * 0.25,
        0
    )
)</f>
        <v/>
      </c>
      <c r="AL29" s="117">
        <f>IF(
    AND($H29 &gt; $BA$7, Tabella01MarzoInverter[[#This Row],[Active power TX2-INV-11]] &lt;= 0, Tabella01MarzoInverter[[#This Row],[Active power TX3-INV-8]] &lt;= 0),
    MIN(($H29 / 1000) * AL$10 * $BA$4, AL$11 * 0.876) * 0.25,
    IF(
        AND($H29 &gt; $BA$7, Tabella01MarzoInverter[[#This Row],[Active power TX2-INV-11]] &lt;= 0),
        Tabella01MarzoInverter[[#This Row],[Active power TX3-INV-8]] * 0.25,
        0
    )
    +
    IF(
        $N29 &lt; 0.875,
        MAX(0, MIN(($H29 / 1000) * AL$10 * $BA$4, AL$11 * 0.876) - (AL$11 * $N29)) * 0.25,
        0
    )
)</f>
        <v/>
      </c>
      <c r="AM29" s="117">
        <f>IF(
    AND($H29 &gt; $BA$7, Tabella01MarzoInverter[[#This Row],[Active power TX2-INV-12]] &lt;= 0, Tabella01MarzoInverter[[#This Row],[Active power TX3-INV-9]] &lt;= 0),
    MIN(($H29 / 1000) * AM$10 * $BA$4, AM$11 * 0.876) * 0.25,
    IF(
        AND($H29 &gt; $BA$7, Tabella01MarzoInverter[[#This Row],[Active power TX2-INV-12]] &lt;= 0),
        Tabella01MarzoInverter[[#This Row],[Active power TX3-INV-9]] * 0.25,
        0
    )
    +
    IF(
        $N29 &lt; 0.875,
        MAX(0, MIN(($H29 / 1000) * AM$10 * $BA$4, AM$11 * 0.876) - (AM$11 * $N29)) * 0.25,
        0
    )
)</f>
        <v/>
      </c>
      <c r="AN29" s="118">
        <f>SUM(TabellaMar2026[[#This Row],[Colonna39]:[Colonna6]])</f>
        <v/>
      </c>
      <c r="AO29" s="117">
        <f t="array" ref="AO29">IF(
    AND($H29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($H29 / 1000) * AO$10 * $BA$4 * 0.25
    ),
    0
)
+
IF(
    $N29 &lt; 0.875,
    MAX(0, MIN(($H29 / 1000) * AO$10 * $BA$4, AO$11 * 0.876) - (AO$11 * $N29)) * 0.25,
    0
)</f>
        <v/>
      </c>
      <c r="AP29" s="117">
        <f t="array" ref="AP29">IF(
    AND($H29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($H29 / 1000) * AP$10 * $BA$4 * 0.25
    ),
    0
)
+
IF(
    $N29 &lt; 0.875,
    MAX(0, MIN(($H29 / 1000) * AP$10 * $BA$4, AP$11 * 0.876) - (AP$11 * $N29)) * 0.25,
    0
)</f>
        <v/>
      </c>
      <c r="AQ29" s="117">
        <f t="array" ref="AQ29">IF(
    AND($H29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($H29 / 1000) * AQ$10 * $BA$4 * 0.25
    ),
    0
)
+
IF(
    $N29 &lt; 0.875,
    MAX(0, MIN(($H29 / 1000) * AQ$10 * $BA$4, AQ$11 * 0.876) - (AQ$11 * $N29)) * 0.25,
    0
)</f>
        <v/>
      </c>
      <c r="AR29" s="117">
        <f t="array" ref="AR29">IF(
    AND($H29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($H29 / 1000) * AR$10 * $BA$4 * 0.25
    ),
    0
)
+
IF(
    $N29 &lt; 0.875,
    MAX(0, MIN(($H29 / 1000) * AR$10 * $BA$4, AR$11 * 0.876) - (AR$11 * $N29)) * 0.25,
    0
)</f>
        <v/>
      </c>
      <c r="AS29" s="117">
        <f t="array" ref="AS29">IF(
    AND($H29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($H29 / 1000) * AS$10 * $BA$4 * 0.25
    ),
    0
)
+
IF(
    $N29 &lt; 0.875,
    MAX(0, MIN(($H29 / 1000) * AS$10 * $BA$4, AS$11 * 0.876) - (AS$11 * $N29)) * 0.25,
    0
)</f>
        <v/>
      </c>
      <c r="AT29" s="117">
        <f t="array" ref="AT29">IF(
    AND($H29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($H29 / 1000) * AT$10 * $BA$4 * 0.25
    ),
    0
)
+
IF(
    $N29 &lt; 0.875,
    MAX(0, MIN(($H29 / 1000) * AT$10 * $BA$4, AT$11 * 0.876) - (AT$11 * $N29)) * 0.25,
    0
)</f>
        <v/>
      </c>
      <c r="AU29" s="117">
        <f t="array" ref="AU29">IF(
    AND($H29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($H29 / 1000) * AU$10 * $BA$4 * 0.25
    ),
    0
)
+
IF(
    $N29 &lt; 0.875,
    MAX(0, MIN(($H29 / 1000) * AU$10 * $BA$4, AU$11 * 0.876) - (AU$11 * $N29)) * 0.25,
    0
)</f>
        <v/>
      </c>
      <c r="AV29" s="117">
        <f t="array" ref="AV29">IF(
    AND($H29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($H29 / 1000) * AV$10 * $BA$4 * 0.25
    ),
    0
)
+
IF(
    $N29 &lt; 0.875,
    MAX(0, MIN(($H29 / 1000) * AV$10 * $BA$4, AV$11 * 0.876) - (AV$11 * $N29)) * 0.25,
    0
)</f>
        <v/>
      </c>
      <c r="AW29" s="117">
        <f t="array" ref="AW29">IF(
    AND($H29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($H29 / 1000) * AW$10 * $BA$4 * 0.25
    ),
    0
)
+
IF(
    $N29 &lt; 0.875,
    MAX(0, MIN(($H29 / 1000) * AW$10 * $BA$4, AW$11 * 0.876) - (AW$11 * $N29)) * 0.25,
    0
)</f>
        <v/>
      </c>
      <c r="AX29" s="117">
        <f t="array" ref="AX29">IF(
    AND($H29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($H29 / 1000) * AX$10 * $BA$4 * 0.25
    ),
    0
)
+
IF(
    $N29 &lt; 0.875,
    MAX(0, MIN(($H29 / 1000) * AX$10 * $BA$4, AX$11 * 0.876) - (AX$11 * $N29)) * 0.25,
    0
)</f>
        <v/>
      </c>
      <c r="AY29" s="117">
        <f t="array" ref="AY29">IF(
    AND($H29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($H29 / 1000) * AY$10 * $BA$4 * 0.25
    ),
    0
)
+
IF(
    $N29 &lt; 0.875,
    MAX(0, MIN(($H29 / 1000) * AY$10 * $BA$4, AY$11 * 0.876) - (AY$11 * $N29)) * 0.25,
    0
)</f>
        <v/>
      </c>
      <c r="AZ29" s="117">
        <f t="array" ref="AZ29">IF(
    AND($H29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($H29 / 1000) * AZ$10 * $BA$4 * 0.25
    ),
    0
)
+
IF(
    $N29 &lt; 0.875,
    MAX(0, MIN(($H29 / 1000) * AZ$10 * $BA$4, AZ$11 * 0.876) - (AZ$11 * $N29)) * 0.25,
    0
)</f>
        <v/>
      </c>
      <c r="BA29" s="119">
        <f>SUM(TabellaMar2026[[#This Row],[Colonna54]:[Colonna53]])</f>
        <v/>
      </c>
    </row>
    <row r="30" customFormat="1" s="1">
      <c r="A30" s="112" t="n">
        <v>46143</v>
      </c>
      <c r="B30" t="inlineStr">
        <is>
          <t>03:45:00.000</t>
        </is>
      </c>
      <c r="C30" s="2" t="n">
        <v>-1</v>
      </c>
      <c r="D30" s="113" t="n">
        <v>-0.00025</v>
      </c>
      <c r="E30" s="113" t="n">
        <v>-1</v>
      </c>
      <c r="F30" s="113" t="n">
        <v>-0.00025</v>
      </c>
      <c r="G30" s="113">
        <f>IFERROR((D30+F30)/2, 0)</f>
        <v/>
      </c>
      <c r="H30" s="114">
        <f>IFERROR(IF(AVERAGE(C30,E30)&gt;$BA$7,AVERAGE(C30,E30),0), 0)</f>
        <v/>
      </c>
      <c r="I30" s="114">
        <f>IFERROR(IF(AND(D30=0,F30=0),0,IF(H30&gt;$BA$6,MAX(D30,F30),G30)), 0)</f>
        <v/>
      </c>
      <c r="J30" s="113">
        <f>IFERROR(IF(AND(D30&gt;0,F30&gt;0),ABS(D30-F30)/AVERAGE(D30,F30),0), 0)</f>
        <v/>
      </c>
      <c r="K30" s="113" t="n">
        <v>30098.6</v>
      </c>
      <c r="L30" s="113" t="n">
        <v>30098.6</v>
      </c>
      <c r="M30" s="115">
        <f>IFERROR((L30-K30)*1000, 0)</f>
        <v/>
      </c>
      <c r="N30" s="113" t="n">
        <v>0.8759999999999999</v>
      </c>
      <c r="O30" s="115">
        <f t="array" ref="O30">IF(
    AND($H30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($H30 / 1000) * O$10 * $BA$4 * 0.25
    ),
    0
)
+
IF(
    $N30 &lt; 0.875,
    MAX(0, MIN(($H30 / 1000) * O$10 * $BA$4, O$11 * 0.876) - (O$11 * $N30)) * 0.25,
    0
)</f>
        <v/>
      </c>
      <c r="P30" s="115">
        <f t="array" ref="P30">IF(
    AND($H30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($H30 / 1000) * P$10 * $BA$4 * 0.25
    ),
    0
)
+
IF(
    $N30 &lt; 0.875,
    MAX(0, MIN(($H30 / 1000) * P$10 * $BA$4, P$11 * 0.876) - (P$11 * $N30)) * 0.25,
    0
)</f>
        <v/>
      </c>
      <c r="Q30" s="115">
        <f t="array" ref="Q30">IF(
    AND($H30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($H30 / 1000) * Q$10 * $BA$4 * 0.25
    ),
    0
)
+
IF(
    $N30 &lt; 0.875,
    MAX(0, MIN(($H30 / 1000) * Q$10 * $BA$4, Q$11 * 0.876) - (Q$11 * $N30)) * 0.25,
    0
)</f>
        <v/>
      </c>
      <c r="R30" s="115">
        <f t="array" ref="R30">IF(
    AND($H30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($H30 / 1000) * R$10 * $BA$4 * 0.25
    ),
    0
)
+
IF(
    $N30 &lt; 0.875,
    MAX(0, MIN(($H30 / 1000) * R$10 * $BA$4, R$11 * 0.876) - (R$11 * $N30)) * 0.25,
    0
)</f>
        <v/>
      </c>
      <c r="S30" s="115">
        <f t="array" ref="S30">IF(
    AND($H30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($H30 / 1000) * S$10 * $BA$4 * 0.25
    ),
    0
)
+
IF(
    $N30 &lt; 0.875,
    MAX(0, MIN(($H30 / 1000) * S$10 * $BA$4, S$11 * 0.876) - (S$11 * $N30)) * 0.25,
    0
)</f>
        <v/>
      </c>
      <c r="T30" s="115">
        <f t="array" ref="T30">IF(
    AND($H30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($H30 / 1000) * T$10 * $BA$4 * 0.25
    ),
    0
)
+
IF(
    $N30 &lt; 0.875,
    MAX(0, MIN(($H30 / 1000) * T$10 * $BA$4, T$11 * 0.876) - (T$11 * $N30)) * 0.25,
    0
)</f>
        <v/>
      </c>
      <c r="U30" s="115">
        <f t="array" ref="U30">IF(
    AND($H30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($H30 / 1000) * U$10 * $BA$4 * 0.25
    ),
    0
)
+
IF(
    $N30 &lt; 0.875,
    MAX(0, MIN(($H30 / 1000) * U$10 * $BA$4, U$11 * 0.876) - (U$11 * $N30)) * 0.25,
    0
)</f>
        <v/>
      </c>
      <c r="V30" s="115">
        <f t="array" ref="V30">IF(
    AND($H30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($H30 / 1000) * V$10 * $BA$4 * 0.25
    ),
    0
)
+
IF(
    $N30 &lt; 0.875,
    MAX(0, MIN(($H30 / 1000) * V$10 * $BA$4, V$11 * 0.876) - (V$11 * $N30)) * 0.25,
    0
)</f>
        <v/>
      </c>
      <c r="W30" s="115">
        <f t="array" ref="W30">IF(
    AND($H30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($H30 / 1000) * W$10 * $BA$4 * 0.25
    ),
    0
)
+
IF(
    $N30 &lt; 0.875,
    MAX(0, MIN(($H30 / 1000) * W$10 * $BA$4, W$11 * 0.876) - (W$11 * $N30)) * 0.25,
    0
)</f>
        <v/>
      </c>
      <c r="X30" s="115">
        <f t="array" ref="X30">IF(
    AND($H30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($H30 / 1000) * X$10 * $BA$4 * 0.25
    ),
    0
)
+
IF(
    $N30 &lt; 0.875,
    MAX(0, MIN(($H30 / 1000) * X$10 * $BA$4, X$11 * 0.876) - (X$11 * $N30)) * 0.25,
    0
)</f>
        <v/>
      </c>
      <c r="Y30" s="115">
        <f t="array" ref="Y30">IF(
    AND($H30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($H30 / 1000) * Y$10 * $BA$4 * 0.25
    ),
    0
)
+
IF(
    $N30 &lt; 0.875,
    MAX(0, MIN(($H30 / 1000) * Y$10 * $BA$4, Y$11 * 0.876) - (Y$11 * $N30)) * 0.25,
    0
)</f>
        <v/>
      </c>
      <c r="Z30" s="115">
        <f t="array" ref="Z30">IF(
    AND($H30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($H30 / 1000) * Z$10 * $BA$4 * 0.25
    ),
    0
)
+
IF(
    $N30 &lt; 0.875,
    MAX(0, MIN(($H30 / 1000) * Z$10 * $BA$4, Z$11 * 0.876) - (Z$11 * $N30)) * 0.25,
    0
)</f>
        <v/>
      </c>
      <c r="AA30" s="116">
        <f>SUM(TabellaMar2026[[#This Row],[Colonna24]:[Colonna20]])</f>
        <v/>
      </c>
      <c r="AB30" s="117">
        <f>IF(
    AND($H30 &gt; $BA$7, Tabella01MarzoInverter[[#This Row],[Active power TX2-INV-1]] &lt;= 0, Tabella01MarzoInverter[[#This Row],[TX2 - Average Power]] &lt;= 0),
    MIN(($H30 / 1000) * AB$10 * $BA$4, AB$11 * 0.876) * 0.25,
    IF(
        AND($H30 &gt; $BA$7, Tabella01MarzoInverter[[#This Row],[Active power TX2-INV-1]] &lt;= 0),
        Tabella01MarzoInverter[[#This Row],[TX2 - Average Power]] * 0.25,
        0
    )
    +
    IF(
        $N30 &lt; 0.875,
        MAX(0, MIN(($H30 / 1000) * AB$10 * $BA$4, AB$11 * 0.876) - (AB$11 * $N30)) * 0.25,
        0
    )
)</f>
        <v/>
      </c>
      <c r="AC30" s="117">
        <f>IF(
    AND($H30 &gt; $BA$7, Tabella01MarzoInverter[[#This Row],[Active power TX2-INV-2]] &lt;= 0, Tabella01MarzoInverter[[#This Row],[TX2 - Max Power]] &lt;= 0),
    MIN(($H30 / 1000) * AC$10 * $BA$4, AC$11 * 0.876) * 0.25,
    IF(
        AND($H30 &gt; $BA$7, Tabella01MarzoInverter[[#This Row],[Active power TX2-INV-2]] &lt;= 0),
        Tabella01MarzoInverter[[#This Row],[TX2 - Max Power]] * 0.25,
        0
    )
    +
    IF(
        $N30 &lt; 0.875,
        MAX(0, MIN(($H30 / 1000) * AC$10 * $BA$4, AC$11 * 0.876) - (AC$11 * $N30)) * 0.25,
        0
    )
)</f>
        <v/>
      </c>
      <c r="AD30" s="117">
        <f>IF(
    AND($H30 &gt; $BA$7, Tabella01MarzoInverter[[#This Row],[Active power TX2-INV-3]] &lt;= 0, Tabella01MarzoInverter[[#This Row],[TX2 - Min Power]] &lt;= 0),
    MIN(($H30 / 1000) * AD$10 * $BA$4, AD$11 * 0.876) * 0.25,
    IF(
        AND($H30 &gt; $BA$7, Tabella01MarzoInverter[[#This Row],[Active power TX2-INV-3]] &lt;= 0),
        Tabella01MarzoInverter[[#This Row],[TX2 - Min Power]] * 0.25,
        0
    )
    +
    IF(
        $N30 &lt; 0.875,
        MAX(0, MIN(($H30 / 1000) * AD$10 * $BA$4, AD$11 * 0.876) - (AD$11 * $N30)) * 0.25,
        0
    )
)</f>
        <v/>
      </c>
      <c r="AE30" s="117">
        <f>IF(
    AND($H30 &gt; $BA$7, Tabella01MarzoInverter[[#This Row],[Active power TX2-INV-4]] &lt;= 0, Tabella01MarzoInverter[[#This Row],[Active power TX3-INV-1]] &lt;= 0),
    MIN(($H30 / 1000) * AE$10 * $BA$4, AE$11 * 0.876) * 0.25,
    IF(
        AND($H30 &gt; $BA$7, Tabella01MarzoInverter[[#This Row],[Active power TX2-INV-4]] &lt;= 0),
        Tabella01MarzoInverter[[#This Row],[Active power TX3-INV-1]] * 0.25,
        0
    )
    +
    IF(
        $N30 &lt; 0.875,
        MAX(0, MIN(($H30 / 1000) * AE$10 * $BA$4, AE$11 * 0.876) - (AE$11 * $N30)) * 0.25,
        0
    )
)</f>
        <v/>
      </c>
      <c r="AF30" s="117">
        <f>IF(
    AND($H30 &gt; $BA$7, Tabella01MarzoInverter[[#This Row],[Active power TX2-INV-5]] &lt;= 0, Tabella01MarzoInverter[[#This Row],[Active power TX3-INV-2]] &lt;= 0),
    MIN(($H30 / 1000) * AF$10 * $BA$4, AF$11 * 0.876) * 0.25,
    IF(
        AND($H30 &gt; $BA$7, Tabella01MarzoInverter[[#This Row],[Active power TX2-INV-5]] &lt;= 0),
        Tabella01MarzoInverter[[#This Row],[Active power TX3-INV-2]] * 0.25,
        0
    )
    +
    IF(
        $N30 &lt; 0.875,
        MAX(0, MIN(($H30 / 1000) * AF$10 * $BA$4, AF$11 * 0.876) - (AF$11 * $N30)) * 0.25,
        0
    )
)</f>
        <v/>
      </c>
      <c r="AG30" s="117">
        <f>IF(
    AND($H30 &gt; $BA$7, Tabella01MarzoInverter[[#This Row],[Active power TX2-INV-6]] &lt;= 0, Tabella01MarzoInverter[[#This Row],[Active power TX3-INV-3]] &lt;= 0),
    MIN(($H30 / 1000) * AG$10 * $BA$4, AG$11 * 0.876) * 0.25,
    IF(
        AND($H30 &gt; $BA$7, Tabella01MarzoInverter[[#This Row],[Active power TX2-INV-6]] &lt;= 0),
        Tabella01MarzoInverter[[#This Row],[Active power TX3-INV-3]] * 0.25,
        0
    )
    +
    IF(
        $N30 &lt; 0.875,
        MAX(0, MIN(($H30 / 1000) * AG$10 * $BA$4, AG$11 * 0.876) - (AG$11 * $N30)) * 0.25,
        0
    )
)</f>
        <v/>
      </c>
      <c r="AH30" s="117">
        <f>IF(
    AND($H30 &gt; $BA$7, Tabella01MarzoInverter[[#This Row],[Active power TX2-INV-7]] &lt;= 0, Tabella01MarzoInverter[[#This Row],[Active power TX3-INV-4]] &lt;= 0),
    MIN(($H30 / 1000) * AH$10 * $BA$4, AH$11 * 0.876) * 0.25,
    IF(
        AND($H30 &gt; $BA$7, Tabella01MarzoInverter[[#This Row],[Active power TX2-INV-7]] &lt;= 0),
        Tabella01MarzoInverter[[#This Row],[Active power TX3-INV-4]] * 0.25,
        0
    )
    +
    IF(
        $N30 &lt; 0.875,
        MAX(0, MIN(($H30 / 1000) * AH$10 * $BA$4, AH$11 * 0.876) - (AH$11 * $N30)) * 0.25,
        0
    )
)</f>
        <v/>
      </c>
      <c r="AI30" s="117">
        <f>IF(
    AND($H30 &gt; $BA$7, Tabella01MarzoInverter[[#This Row],[Active power TX2-INV-8]] &lt;= 0, Tabella01MarzoInverter[[#This Row],[Active power TX3-INV-5]] &lt;= 0),
    MIN(($H30 / 1000) * AI$10 * $BA$4, AI$11 * 0.876) * 0.25,
    IF(
        AND($H30 &gt; $BA$7, Tabella01MarzoInverter[[#This Row],[Active power TX2-INV-8]] &lt;= 0),
        Tabella01MarzoInverter[[#This Row],[Active power TX3-INV-5]] * 0.25,
        0
    )
    +
    IF(
        $N30 &lt; 0.875,
        MAX(0, MIN(($H30 / 1000) * AI$10 * $BA$4, AI$11 * 0.876) - (AI$11 * $N30)) * 0.25,
        0
    )
)</f>
        <v/>
      </c>
      <c r="AJ30" s="117">
        <f>IF(
    AND($H30 &gt; $BA$7, Tabella01MarzoInverter[[#This Row],[Active power TX2-INV-9]] &lt;= 0, Tabella01MarzoInverter[[#This Row],[Active power TX3-INV-6]] &lt;= 0),
    MIN(($H30 / 1000) * AJ$10 * $BA$4, AJ$11 * 0.876) * 0.25,
    IF(
        AND($H30 &gt; $BA$7, Tabella01MarzoInverter[[#This Row],[Active power TX2-INV-9]] &lt;= 0),
        Tabella01MarzoInverter[[#This Row],[Active power TX3-INV-6]] * 0.25,
        0
    )
    +
    IF(
        $N30 &lt; 0.875,
        MAX(0, MIN(($H30 / 1000) * AJ$10 * $BA$4, AJ$11 * 0.876) - (AJ$11 * $N30)) * 0.25,
        0
    )
)</f>
        <v/>
      </c>
      <c r="AK30" s="117">
        <f>IF(
    AND($H30 &gt; $BA$7, Tabella01MarzoInverter[[#This Row],[Active power TX2-INV-10]] &lt;= 0, Tabella01MarzoInverter[[#This Row],[Active power TX3-INV-7]] &lt;= 0),
    MIN(($H30 / 1000) * AK$10 * $BA$4, AK$11 * 0.876) * 0.25,
    IF(
        AND($H30 &gt; $BA$7, Tabella01MarzoInverter[[#This Row],[Active power TX2-INV-10]] &lt;= 0),
        Tabella01MarzoInverter[[#This Row],[Active power TX3-INV-7]] * 0.25,
        0
    )
    +
    IF(
        $N30 &lt; 0.875,
        MAX(0, MIN(($H30 / 1000) * AK$10 * $BA$4, AK$11 * 0.876) - (AK$11 * $N30)) * 0.25,
        0
    )
)</f>
        <v/>
      </c>
      <c r="AL30" s="117">
        <f>IF(
    AND($H30 &gt; $BA$7, Tabella01MarzoInverter[[#This Row],[Active power TX2-INV-11]] &lt;= 0, Tabella01MarzoInverter[[#This Row],[Active power TX3-INV-8]] &lt;= 0),
    MIN(($H30 / 1000) * AL$10 * $BA$4, AL$11 * 0.876) * 0.25,
    IF(
        AND($H30 &gt; $BA$7, Tabella01MarzoInverter[[#This Row],[Active power TX2-INV-11]] &lt;= 0),
        Tabella01MarzoInverter[[#This Row],[Active power TX3-INV-8]] * 0.25,
        0
    )
    +
    IF(
        $N30 &lt; 0.875,
        MAX(0, MIN(($H30 / 1000) * AL$10 * $BA$4, AL$11 * 0.876) - (AL$11 * $N30)) * 0.25,
        0
    )
)</f>
        <v/>
      </c>
      <c r="AM30" s="117">
        <f>IF(
    AND($H30 &gt; $BA$7, Tabella01MarzoInverter[[#This Row],[Active power TX2-INV-12]] &lt;= 0, Tabella01MarzoInverter[[#This Row],[Active power TX3-INV-9]] &lt;= 0),
    MIN(($H30 / 1000) * AM$10 * $BA$4, AM$11 * 0.876) * 0.25,
    IF(
        AND($H30 &gt; $BA$7, Tabella01MarzoInverter[[#This Row],[Active power TX2-INV-12]] &lt;= 0),
        Tabella01MarzoInverter[[#This Row],[Active power TX3-INV-9]] * 0.25,
        0
    )
    +
    IF(
        $N30 &lt; 0.875,
        MAX(0, MIN(($H30 / 1000) * AM$10 * $BA$4, AM$11 * 0.876) - (AM$11 * $N30)) * 0.25,
        0
    )
)</f>
        <v/>
      </c>
      <c r="AN30" s="118">
        <f>SUM(TabellaMar2026[[#This Row],[Colonna39]:[Colonna6]])</f>
        <v/>
      </c>
      <c r="AO30" s="117">
        <f t="array" ref="AO30">IF(
    AND($H30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($H30 / 1000) * AO$10 * $BA$4 * 0.25
    ),
    0
)
+
IF(
    $N30 &lt; 0.875,
    MAX(0, MIN(($H30 / 1000) * AO$10 * $BA$4, AO$11 * 0.876) - (AO$11 * $N30)) * 0.25,
    0
)</f>
        <v/>
      </c>
      <c r="AP30" s="117">
        <f t="array" ref="AP30">IF(
    AND($H30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($H30 / 1000) * AP$10 * $BA$4 * 0.25
    ),
    0
)
+
IF(
    $N30 &lt; 0.875,
    MAX(0, MIN(($H30 / 1000) * AP$10 * $BA$4, AP$11 * 0.876) - (AP$11 * $N30)) * 0.25,
    0
)</f>
        <v/>
      </c>
      <c r="AQ30" s="117">
        <f t="array" ref="AQ30">IF(
    AND($H30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($H30 / 1000) * AQ$10 * $BA$4 * 0.25
    ),
    0
)
+
IF(
    $N30 &lt; 0.875,
    MAX(0, MIN(($H30 / 1000) * AQ$10 * $BA$4, AQ$11 * 0.876) - (AQ$11 * $N30)) * 0.25,
    0
)</f>
        <v/>
      </c>
      <c r="AR30" s="117">
        <f t="array" ref="AR30">IF(
    AND($H30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($H30 / 1000) * AR$10 * $BA$4 * 0.25
    ),
    0
)
+
IF(
    $N30 &lt; 0.875,
    MAX(0, MIN(($H30 / 1000) * AR$10 * $BA$4, AR$11 * 0.876) - (AR$11 * $N30)) * 0.25,
    0
)</f>
        <v/>
      </c>
      <c r="AS30" s="117">
        <f t="array" ref="AS30">IF(
    AND($H30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($H30 / 1000) * AS$10 * $BA$4 * 0.25
    ),
    0
)
+
IF(
    $N30 &lt; 0.875,
    MAX(0, MIN(($H30 / 1000) * AS$10 * $BA$4, AS$11 * 0.876) - (AS$11 * $N30)) * 0.25,
    0
)</f>
        <v/>
      </c>
      <c r="AT30" s="117">
        <f t="array" ref="AT30">IF(
    AND($H30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($H30 / 1000) * AT$10 * $BA$4 * 0.25
    ),
    0
)
+
IF(
    $N30 &lt; 0.875,
    MAX(0, MIN(($H30 / 1000) * AT$10 * $BA$4, AT$11 * 0.876) - (AT$11 * $N30)) * 0.25,
    0
)</f>
        <v/>
      </c>
      <c r="AU30" s="117">
        <f t="array" ref="AU30">IF(
    AND($H30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($H30 / 1000) * AU$10 * $BA$4 * 0.25
    ),
    0
)
+
IF(
    $N30 &lt; 0.875,
    MAX(0, MIN(($H30 / 1000) * AU$10 * $BA$4, AU$11 * 0.876) - (AU$11 * $N30)) * 0.25,
    0
)</f>
        <v/>
      </c>
      <c r="AV30" s="117">
        <f t="array" ref="AV30">IF(
    AND($H30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($H30 / 1000) * AV$10 * $BA$4 * 0.25
    ),
    0
)
+
IF(
    $N30 &lt; 0.875,
    MAX(0, MIN(($H30 / 1000) * AV$10 * $BA$4, AV$11 * 0.876) - (AV$11 * $N30)) * 0.25,
    0
)</f>
        <v/>
      </c>
      <c r="AW30" s="117">
        <f t="array" ref="AW30">IF(
    AND($H30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($H30 / 1000) * AW$10 * $BA$4 * 0.25
    ),
    0
)
+
IF(
    $N30 &lt; 0.875,
    MAX(0, MIN(($H30 / 1000) * AW$10 * $BA$4, AW$11 * 0.876) - (AW$11 * $N30)) * 0.25,
    0
)</f>
        <v/>
      </c>
      <c r="AX30" s="117">
        <f t="array" ref="AX30">IF(
    AND($H30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($H30 / 1000) * AX$10 * $BA$4 * 0.25
    ),
    0
)
+
IF(
    $N30 &lt; 0.875,
    MAX(0, MIN(($H30 / 1000) * AX$10 * $BA$4, AX$11 * 0.876) - (AX$11 * $N30)) * 0.25,
    0
)</f>
        <v/>
      </c>
      <c r="AY30" s="117">
        <f t="array" ref="AY30">IF(
    AND($H30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($H30 / 1000) * AY$10 * $BA$4 * 0.25
    ),
    0
)
+
IF(
    $N30 &lt; 0.875,
    MAX(0, MIN(($H30 / 1000) * AY$10 * $BA$4, AY$11 * 0.876) - (AY$11 * $N30)) * 0.25,
    0
)</f>
        <v/>
      </c>
      <c r="AZ30" s="117">
        <f t="array" ref="AZ30">IF(
    AND($H30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($H30 / 1000) * AZ$10 * $BA$4 * 0.25
    ),
    0
)
+
IF(
    $N30 &lt; 0.875,
    MAX(0, MIN(($H30 / 1000) * AZ$10 * $BA$4, AZ$11 * 0.876) - (AZ$11 * $N30)) * 0.25,
    0
)</f>
        <v/>
      </c>
      <c r="BA30" s="119">
        <f>SUM(TabellaMar2026[[#This Row],[Colonna54]:[Colonna53]])</f>
        <v/>
      </c>
    </row>
    <row r="31" customFormat="1" s="1">
      <c r="A31" s="112" t="n">
        <v>46143</v>
      </c>
      <c r="B31" t="inlineStr">
        <is>
          <t>04:00:00.000</t>
        </is>
      </c>
      <c r="C31" s="2" t="n">
        <v>-0.8</v>
      </c>
      <c r="D31" s="113" t="n">
        <v>-0.0002</v>
      </c>
      <c r="E31" s="113" t="n">
        <v>-0.5</v>
      </c>
      <c r="F31" s="113" t="n">
        <v>-0.000125</v>
      </c>
      <c r="G31" s="113">
        <f>IFERROR((D31+F31)/2, 0)</f>
        <v/>
      </c>
      <c r="H31" s="114">
        <f>IFERROR(IF(AVERAGE(C31,E31)&gt;$BA$7,AVERAGE(C31,E31),0), 0)</f>
        <v/>
      </c>
      <c r="I31" s="114">
        <f>IFERROR(IF(AND(D31=0,F31=0),0,IF(H31&gt;$BA$6,MAX(D31,F31),G31)), 0)</f>
        <v/>
      </c>
      <c r="J31" s="113">
        <f>IFERROR(IF(AND(D31&gt;0,F31&gt;0),ABS(D31-F31)/AVERAGE(D31,F31),0), 0)</f>
        <v/>
      </c>
      <c r="K31" s="113" t="n">
        <v>30098.6</v>
      </c>
      <c r="L31" s="113" t="n">
        <v>30098.6</v>
      </c>
      <c r="M31" s="115">
        <f>IFERROR((L31-K31)*1000, 0)</f>
        <v/>
      </c>
      <c r="N31" s="113" t="n">
        <v>0.8759999999999999</v>
      </c>
      <c r="O31" s="115">
        <f t="array" ref="O31">IF(
    AND($H31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($H31 / 1000) * O$10 * $BA$4 * 0.25
    ),
    0
)
+
IF(
    $N31 &lt; 0.875,
    MAX(0, MIN(($H31 / 1000) * O$10 * $BA$4, O$11 * 0.876) - (O$11 * $N31)) * 0.25,
    0
)</f>
        <v/>
      </c>
      <c r="P31" s="115">
        <f t="array" ref="P31">IF(
    AND($H31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($H31 / 1000) * P$10 * $BA$4 * 0.25
    ),
    0
)
+
IF(
    $N31 &lt; 0.875,
    MAX(0, MIN(($H31 / 1000) * P$10 * $BA$4, P$11 * 0.876) - (P$11 * $N31)) * 0.25,
    0
)</f>
        <v/>
      </c>
      <c r="Q31" s="115">
        <f t="array" ref="Q31">IF(
    AND($H31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($H31 / 1000) * Q$10 * $BA$4 * 0.25
    ),
    0
)
+
IF(
    $N31 &lt; 0.875,
    MAX(0, MIN(($H31 / 1000) * Q$10 * $BA$4, Q$11 * 0.876) - (Q$11 * $N31)) * 0.25,
    0
)</f>
        <v/>
      </c>
      <c r="R31" s="115">
        <f t="array" ref="R31">IF(
    AND($H31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($H31 / 1000) * R$10 * $BA$4 * 0.25
    ),
    0
)
+
IF(
    $N31 &lt; 0.875,
    MAX(0, MIN(($H31 / 1000) * R$10 * $BA$4, R$11 * 0.876) - (R$11 * $N31)) * 0.25,
    0
)</f>
        <v/>
      </c>
      <c r="S31" s="115">
        <f t="array" ref="S31">IF(
    AND($H31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($H31 / 1000) * S$10 * $BA$4 * 0.25
    ),
    0
)
+
IF(
    $N31 &lt; 0.875,
    MAX(0, MIN(($H31 / 1000) * S$10 * $BA$4, S$11 * 0.876) - (S$11 * $N31)) * 0.25,
    0
)</f>
        <v/>
      </c>
      <c r="T31" s="115">
        <f t="array" ref="T31">IF(
    AND($H31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($H31 / 1000) * T$10 * $BA$4 * 0.25
    ),
    0
)
+
IF(
    $N31 &lt; 0.875,
    MAX(0, MIN(($H31 / 1000) * T$10 * $BA$4, T$11 * 0.876) - (T$11 * $N31)) * 0.25,
    0
)</f>
        <v/>
      </c>
      <c r="U31" s="115">
        <f t="array" ref="U31">IF(
    AND($H31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($H31 / 1000) * U$10 * $BA$4 * 0.25
    ),
    0
)
+
IF(
    $N31 &lt; 0.875,
    MAX(0, MIN(($H31 / 1000) * U$10 * $BA$4, U$11 * 0.876) - (U$11 * $N31)) * 0.25,
    0
)</f>
        <v/>
      </c>
      <c r="V31" s="115">
        <f t="array" ref="V31">IF(
    AND($H31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($H31 / 1000) * V$10 * $BA$4 * 0.25
    ),
    0
)
+
IF(
    $N31 &lt; 0.875,
    MAX(0, MIN(($H31 / 1000) * V$10 * $BA$4, V$11 * 0.876) - (V$11 * $N31)) * 0.25,
    0
)</f>
        <v/>
      </c>
      <c r="W31" s="115">
        <f t="array" ref="W31">IF(
    AND($H31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($H31 / 1000) * W$10 * $BA$4 * 0.25
    ),
    0
)
+
IF(
    $N31 &lt; 0.875,
    MAX(0, MIN(($H31 / 1000) * W$10 * $BA$4, W$11 * 0.876) - (W$11 * $N31)) * 0.25,
    0
)</f>
        <v/>
      </c>
      <c r="X31" s="115">
        <f t="array" ref="X31">IF(
    AND($H31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($H31 / 1000) * X$10 * $BA$4 * 0.25
    ),
    0
)
+
IF(
    $N31 &lt; 0.875,
    MAX(0, MIN(($H31 / 1000) * X$10 * $BA$4, X$11 * 0.876) - (X$11 * $N31)) * 0.25,
    0
)</f>
        <v/>
      </c>
      <c r="Y31" s="115">
        <f t="array" ref="Y31">IF(
    AND($H31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($H31 / 1000) * Y$10 * $BA$4 * 0.25
    ),
    0
)
+
IF(
    $N31 &lt; 0.875,
    MAX(0, MIN(($H31 / 1000) * Y$10 * $BA$4, Y$11 * 0.876) - (Y$11 * $N31)) * 0.25,
    0
)</f>
        <v/>
      </c>
      <c r="Z31" s="115">
        <f t="array" ref="Z31">IF(
    AND($H31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($H31 / 1000) * Z$10 * $BA$4 * 0.25
    ),
    0
)
+
IF(
    $N31 &lt; 0.875,
    MAX(0, MIN(($H31 / 1000) * Z$10 * $BA$4, Z$11 * 0.876) - (Z$11 * $N31)) * 0.25,
    0
)</f>
        <v/>
      </c>
      <c r="AA31" s="116">
        <f>SUM(TabellaMar2026[[#This Row],[Colonna24]:[Colonna20]])</f>
        <v/>
      </c>
      <c r="AB31" s="117">
        <f>IF(
    AND($H31 &gt; $BA$7, Tabella01MarzoInverter[[#This Row],[Active power TX2-INV-1]] &lt;= 0, Tabella01MarzoInverter[[#This Row],[TX2 - Average Power]] &lt;= 0),
    MIN(($H31 / 1000) * AB$10 * $BA$4, AB$11 * 0.876) * 0.25,
    IF(
        AND($H31 &gt; $BA$7, Tabella01MarzoInverter[[#This Row],[Active power TX2-INV-1]] &lt;= 0),
        Tabella01MarzoInverter[[#This Row],[TX2 - Average Power]] * 0.25,
        0
    )
    +
    IF(
        $N31 &lt; 0.875,
        MAX(0, MIN(($H31 / 1000) * AB$10 * $BA$4, AB$11 * 0.876) - (AB$11 * $N31)) * 0.25,
        0
    )
)</f>
        <v/>
      </c>
      <c r="AC31" s="117">
        <f>IF(
    AND($H31 &gt; $BA$7, Tabella01MarzoInverter[[#This Row],[Active power TX2-INV-2]] &lt;= 0, Tabella01MarzoInverter[[#This Row],[TX2 - Max Power]] &lt;= 0),
    MIN(($H31 / 1000) * AC$10 * $BA$4, AC$11 * 0.876) * 0.25,
    IF(
        AND($H31 &gt; $BA$7, Tabella01MarzoInverter[[#This Row],[Active power TX2-INV-2]] &lt;= 0),
        Tabella01MarzoInverter[[#This Row],[TX2 - Max Power]] * 0.25,
        0
    )
    +
    IF(
        $N31 &lt; 0.875,
        MAX(0, MIN(($H31 / 1000) * AC$10 * $BA$4, AC$11 * 0.876) - (AC$11 * $N31)) * 0.25,
        0
    )
)</f>
        <v/>
      </c>
      <c r="AD31" s="117">
        <f>IF(
    AND($H31 &gt; $BA$7, Tabella01MarzoInverter[[#This Row],[Active power TX2-INV-3]] &lt;= 0, Tabella01MarzoInverter[[#This Row],[TX2 - Min Power]] &lt;= 0),
    MIN(($H31 / 1000) * AD$10 * $BA$4, AD$11 * 0.876) * 0.25,
    IF(
        AND($H31 &gt; $BA$7, Tabella01MarzoInverter[[#This Row],[Active power TX2-INV-3]] &lt;= 0),
        Tabella01MarzoInverter[[#This Row],[TX2 - Min Power]] * 0.25,
        0
    )
    +
    IF(
        $N31 &lt; 0.875,
        MAX(0, MIN(($H31 / 1000) * AD$10 * $BA$4, AD$11 * 0.876) - (AD$11 * $N31)) * 0.25,
        0
    )
)</f>
        <v/>
      </c>
      <c r="AE31" s="117">
        <f>IF(
    AND($H31 &gt; $BA$7, Tabella01MarzoInverter[[#This Row],[Active power TX2-INV-4]] &lt;= 0, Tabella01MarzoInverter[[#This Row],[Active power TX3-INV-1]] &lt;= 0),
    MIN(($H31 / 1000) * AE$10 * $BA$4, AE$11 * 0.876) * 0.25,
    IF(
        AND($H31 &gt; $BA$7, Tabella01MarzoInverter[[#This Row],[Active power TX2-INV-4]] &lt;= 0),
        Tabella01MarzoInverter[[#This Row],[Active power TX3-INV-1]] * 0.25,
        0
    )
    +
    IF(
        $N31 &lt; 0.875,
        MAX(0, MIN(($H31 / 1000) * AE$10 * $BA$4, AE$11 * 0.876) - (AE$11 * $N31)) * 0.25,
        0
    )
)</f>
        <v/>
      </c>
      <c r="AF31" s="117">
        <f>IF(
    AND($H31 &gt; $BA$7, Tabella01MarzoInverter[[#This Row],[Active power TX2-INV-5]] &lt;= 0, Tabella01MarzoInverter[[#This Row],[Active power TX3-INV-2]] &lt;= 0),
    MIN(($H31 / 1000) * AF$10 * $BA$4, AF$11 * 0.876) * 0.25,
    IF(
        AND($H31 &gt; $BA$7, Tabella01MarzoInverter[[#This Row],[Active power TX2-INV-5]] &lt;= 0),
        Tabella01MarzoInverter[[#This Row],[Active power TX3-INV-2]] * 0.25,
        0
    )
    +
    IF(
        $N31 &lt; 0.875,
        MAX(0, MIN(($H31 / 1000) * AF$10 * $BA$4, AF$11 * 0.876) - (AF$11 * $N31)) * 0.25,
        0
    )
)</f>
        <v/>
      </c>
      <c r="AG31" s="117">
        <f>IF(
    AND($H31 &gt; $BA$7, Tabella01MarzoInverter[[#This Row],[Active power TX2-INV-6]] &lt;= 0, Tabella01MarzoInverter[[#This Row],[Active power TX3-INV-3]] &lt;= 0),
    MIN(($H31 / 1000) * AG$10 * $BA$4, AG$11 * 0.876) * 0.25,
    IF(
        AND($H31 &gt; $BA$7, Tabella01MarzoInverter[[#This Row],[Active power TX2-INV-6]] &lt;= 0),
        Tabella01MarzoInverter[[#This Row],[Active power TX3-INV-3]] * 0.25,
        0
    )
    +
    IF(
        $N31 &lt; 0.875,
        MAX(0, MIN(($H31 / 1000) * AG$10 * $BA$4, AG$11 * 0.876) - (AG$11 * $N31)) * 0.25,
        0
    )
)</f>
        <v/>
      </c>
      <c r="AH31" s="117">
        <f>IF(
    AND($H31 &gt; $BA$7, Tabella01MarzoInverter[[#This Row],[Active power TX2-INV-7]] &lt;= 0, Tabella01MarzoInverter[[#This Row],[Active power TX3-INV-4]] &lt;= 0),
    MIN(($H31 / 1000) * AH$10 * $BA$4, AH$11 * 0.876) * 0.25,
    IF(
        AND($H31 &gt; $BA$7, Tabella01MarzoInverter[[#This Row],[Active power TX2-INV-7]] &lt;= 0),
        Tabella01MarzoInverter[[#This Row],[Active power TX3-INV-4]] * 0.25,
        0
    )
    +
    IF(
        $N31 &lt; 0.875,
        MAX(0, MIN(($H31 / 1000) * AH$10 * $BA$4, AH$11 * 0.876) - (AH$11 * $N31)) * 0.25,
        0
    )
)</f>
        <v/>
      </c>
      <c r="AI31" s="117">
        <f>IF(
    AND($H31 &gt; $BA$7, Tabella01MarzoInverter[[#This Row],[Active power TX2-INV-8]] &lt;= 0, Tabella01MarzoInverter[[#This Row],[Active power TX3-INV-5]] &lt;= 0),
    MIN(($H31 / 1000) * AI$10 * $BA$4, AI$11 * 0.876) * 0.25,
    IF(
        AND($H31 &gt; $BA$7, Tabella01MarzoInverter[[#This Row],[Active power TX2-INV-8]] &lt;= 0),
        Tabella01MarzoInverter[[#This Row],[Active power TX3-INV-5]] * 0.25,
        0
    )
    +
    IF(
        $N31 &lt; 0.875,
        MAX(0, MIN(($H31 / 1000) * AI$10 * $BA$4, AI$11 * 0.876) - (AI$11 * $N31)) * 0.25,
        0
    )
)</f>
        <v/>
      </c>
      <c r="AJ31" s="117">
        <f>IF(
    AND($H31 &gt; $BA$7, Tabella01MarzoInverter[[#This Row],[Active power TX2-INV-9]] &lt;= 0, Tabella01MarzoInverter[[#This Row],[Active power TX3-INV-6]] &lt;= 0),
    MIN(($H31 / 1000) * AJ$10 * $BA$4, AJ$11 * 0.876) * 0.25,
    IF(
        AND($H31 &gt; $BA$7, Tabella01MarzoInverter[[#This Row],[Active power TX2-INV-9]] &lt;= 0),
        Tabella01MarzoInverter[[#This Row],[Active power TX3-INV-6]] * 0.25,
        0
    )
    +
    IF(
        $N31 &lt; 0.875,
        MAX(0, MIN(($H31 / 1000) * AJ$10 * $BA$4, AJ$11 * 0.876) - (AJ$11 * $N31)) * 0.25,
        0
    )
)</f>
        <v/>
      </c>
      <c r="AK31" s="117">
        <f>IF(
    AND($H31 &gt; $BA$7, Tabella01MarzoInverter[[#This Row],[Active power TX2-INV-10]] &lt;= 0, Tabella01MarzoInverter[[#This Row],[Active power TX3-INV-7]] &lt;= 0),
    MIN(($H31 / 1000) * AK$10 * $BA$4, AK$11 * 0.876) * 0.25,
    IF(
        AND($H31 &gt; $BA$7, Tabella01MarzoInverter[[#This Row],[Active power TX2-INV-10]] &lt;= 0),
        Tabella01MarzoInverter[[#This Row],[Active power TX3-INV-7]] * 0.25,
        0
    )
    +
    IF(
        $N31 &lt; 0.875,
        MAX(0, MIN(($H31 / 1000) * AK$10 * $BA$4, AK$11 * 0.876) - (AK$11 * $N31)) * 0.25,
        0
    )
)</f>
        <v/>
      </c>
      <c r="AL31" s="117">
        <f>IF(
    AND($H31 &gt; $BA$7, Tabella01MarzoInverter[[#This Row],[Active power TX2-INV-11]] &lt;= 0, Tabella01MarzoInverter[[#This Row],[Active power TX3-INV-8]] &lt;= 0),
    MIN(($H31 / 1000) * AL$10 * $BA$4, AL$11 * 0.876) * 0.25,
    IF(
        AND($H31 &gt; $BA$7, Tabella01MarzoInverter[[#This Row],[Active power TX2-INV-11]] &lt;= 0),
        Tabella01MarzoInverter[[#This Row],[Active power TX3-INV-8]] * 0.25,
        0
    )
    +
    IF(
        $N31 &lt; 0.875,
        MAX(0, MIN(($H31 / 1000) * AL$10 * $BA$4, AL$11 * 0.876) - (AL$11 * $N31)) * 0.25,
        0
    )
)</f>
        <v/>
      </c>
      <c r="AM31" s="117">
        <f>IF(
    AND($H31 &gt; $BA$7, Tabella01MarzoInverter[[#This Row],[Active power TX2-INV-12]] &lt;= 0, Tabella01MarzoInverter[[#This Row],[Active power TX3-INV-9]] &lt;= 0),
    MIN(($H31 / 1000) * AM$10 * $BA$4, AM$11 * 0.876) * 0.25,
    IF(
        AND($H31 &gt; $BA$7, Tabella01MarzoInverter[[#This Row],[Active power TX2-INV-12]] &lt;= 0),
        Tabella01MarzoInverter[[#This Row],[Active power TX3-INV-9]] * 0.25,
        0
    )
    +
    IF(
        $N31 &lt; 0.875,
        MAX(0, MIN(($H31 / 1000) * AM$10 * $BA$4, AM$11 * 0.876) - (AM$11 * $N31)) * 0.25,
        0
    )
)</f>
        <v/>
      </c>
      <c r="AN31" s="118">
        <f>SUM(TabellaMar2026[[#This Row],[Colonna39]:[Colonna6]])</f>
        <v/>
      </c>
      <c r="AO31" s="117">
        <f t="array" ref="AO31">IF(
    AND($H31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($H31 / 1000) * AO$10 * $BA$4 * 0.25
    ),
    0
)
+
IF(
    $N31 &lt; 0.875,
    MAX(0, MIN(($H31 / 1000) * AO$10 * $BA$4, AO$11 * 0.876) - (AO$11 * $N31)) * 0.25,
    0
)</f>
        <v/>
      </c>
      <c r="AP31" s="117">
        <f t="array" ref="AP31">IF(
    AND($H31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($H31 / 1000) * AP$10 * $BA$4 * 0.25
    ),
    0
)
+
IF(
    $N31 &lt; 0.875,
    MAX(0, MIN(($H31 / 1000) * AP$10 * $BA$4, AP$11 * 0.876) - (AP$11 * $N31)) * 0.25,
    0
)</f>
        <v/>
      </c>
      <c r="AQ31" s="117">
        <f t="array" ref="AQ31">IF(
    AND($H31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($H31 / 1000) * AQ$10 * $BA$4 * 0.25
    ),
    0
)
+
IF(
    $N31 &lt; 0.875,
    MAX(0, MIN(($H31 / 1000) * AQ$10 * $BA$4, AQ$11 * 0.876) - (AQ$11 * $N31)) * 0.25,
    0
)</f>
        <v/>
      </c>
      <c r="AR31" s="117">
        <f t="array" ref="AR31">IF(
    AND($H31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($H31 / 1000) * AR$10 * $BA$4 * 0.25
    ),
    0
)
+
IF(
    $N31 &lt; 0.875,
    MAX(0, MIN(($H31 / 1000) * AR$10 * $BA$4, AR$11 * 0.876) - (AR$11 * $N31)) * 0.25,
    0
)</f>
        <v/>
      </c>
      <c r="AS31" s="117">
        <f t="array" ref="AS31">IF(
    AND($H31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($H31 / 1000) * AS$10 * $BA$4 * 0.25
    ),
    0
)
+
IF(
    $N31 &lt; 0.875,
    MAX(0, MIN(($H31 / 1000) * AS$10 * $BA$4, AS$11 * 0.876) - (AS$11 * $N31)) * 0.25,
    0
)</f>
        <v/>
      </c>
      <c r="AT31" s="117">
        <f t="array" ref="AT31">IF(
    AND($H31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($H31 / 1000) * AT$10 * $BA$4 * 0.25
    ),
    0
)
+
IF(
    $N31 &lt; 0.875,
    MAX(0, MIN(($H31 / 1000) * AT$10 * $BA$4, AT$11 * 0.876) - (AT$11 * $N31)) * 0.25,
    0
)</f>
        <v/>
      </c>
      <c r="AU31" s="117">
        <f t="array" ref="AU31">IF(
    AND($H31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($H31 / 1000) * AU$10 * $BA$4 * 0.25
    ),
    0
)
+
IF(
    $N31 &lt; 0.875,
    MAX(0, MIN(($H31 / 1000) * AU$10 * $BA$4, AU$11 * 0.876) - (AU$11 * $N31)) * 0.25,
    0
)</f>
        <v/>
      </c>
      <c r="AV31" s="117">
        <f t="array" ref="AV31">IF(
    AND($H31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($H31 / 1000) * AV$10 * $BA$4 * 0.25
    ),
    0
)
+
IF(
    $N31 &lt; 0.875,
    MAX(0, MIN(($H31 / 1000) * AV$10 * $BA$4, AV$11 * 0.876) - (AV$11 * $N31)) * 0.25,
    0
)</f>
        <v/>
      </c>
      <c r="AW31" s="117">
        <f t="array" ref="AW31">IF(
    AND($H31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($H31 / 1000) * AW$10 * $BA$4 * 0.25
    ),
    0
)
+
IF(
    $N31 &lt; 0.875,
    MAX(0, MIN(($H31 / 1000) * AW$10 * $BA$4, AW$11 * 0.876) - (AW$11 * $N31)) * 0.25,
    0
)</f>
        <v/>
      </c>
      <c r="AX31" s="117">
        <f t="array" ref="AX31">IF(
    AND($H31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($H31 / 1000) * AX$10 * $BA$4 * 0.25
    ),
    0
)
+
IF(
    $N31 &lt; 0.875,
    MAX(0, MIN(($H31 / 1000) * AX$10 * $BA$4, AX$11 * 0.876) - (AX$11 * $N31)) * 0.25,
    0
)</f>
        <v/>
      </c>
      <c r="AY31" s="117">
        <f t="array" ref="AY31">IF(
    AND($H31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($H31 / 1000) * AY$10 * $BA$4 * 0.25
    ),
    0
)
+
IF(
    $N31 &lt; 0.875,
    MAX(0, MIN(($H31 / 1000) * AY$10 * $BA$4, AY$11 * 0.876) - (AY$11 * $N31)) * 0.25,
    0
)</f>
        <v/>
      </c>
      <c r="AZ31" s="117">
        <f t="array" ref="AZ31">IF(
    AND($H31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($H31 / 1000) * AZ$10 * $BA$4 * 0.25
    ),
    0
)
+
IF(
    $N31 &lt; 0.875,
    MAX(0, MIN(($H31 / 1000) * AZ$10 * $BA$4, AZ$11 * 0.876) - (AZ$11 * $N31)) * 0.25,
    0
)</f>
        <v/>
      </c>
      <c r="BA31" s="119">
        <f>SUM(TabellaMar2026[[#This Row],[Colonna54]:[Colonna53]])</f>
        <v/>
      </c>
    </row>
    <row r="32" customFormat="1" s="1">
      <c r="A32" s="112" t="n">
        <v>46143</v>
      </c>
      <c r="B32" t="inlineStr">
        <is>
          <t>04:15:00.000</t>
        </is>
      </c>
      <c r="C32" s="2" t="n">
        <v>-1</v>
      </c>
      <c r="D32" s="113" t="n">
        <v>-0.00025</v>
      </c>
      <c r="E32" s="113" t="n">
        <v>-0.8</v>
      </c>
      <c r="F32" s="113" t="n">
        <v>-0.0002</v>
      </c>
      <c r="G32" s="113">
        <f>IFERROR((D32+F32)/2, 0)</f>
        <v/>
      </c>
      <c r="H32" s="114">
        <f>IFERROR(IF(AVERAGE(C32,E32)&gt;$BA$7,AVERAGE(C32,E32),0), 0)</f>
        <v/>
      </c>
      <c r="I32" s="114">
        <f>IFERROR(IF(AND(D32=0,F32=0),0,IF(H32&gt;$BA$6,MAX(D32,F32),G32)), 0)</f>
        <v/>
      </c>
      <c r="J32" s="113">
        <f>IFERROR(IF(AND(D32&gt;0,F32&gt;0),ABS(D32-F32)/AVERAGE(D32,F32),0), 0)</f>
        <v/>
      </c>
      <c r="K32" s="113" t="n">
        <v>30098.6</v>
      </c>
      <c r="L32" s="113" t="n">
        <v>30098.6</v>
      </c>
      <c r="M32" s="115">
        <f>IFERROR((L32-K32)*1000, 0)</f>
        <v/>
      </c>
      <c r="N32" s="113" t="n">
        <v>0.8759999999999999</v>
      </c>
      <c r="O32" s="115">
        <f t="array" ref="O32">IF(
    AND($H32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($H32 / 1000) * O$10 * $BA$4 * 0.25
    ),
    0
)
+
IF(
    $N32 &lt; 0.875,
    MAX(0, MIN(($H32 / 1000) * O$10 * $BA$4, O$11 * 0.876) - (O$11 * $N32)) * 0.25,
    0
)</f>
        <v/>
      </c>
      <c r="P32" s="115">
        <f t="array" ref="P32">IF(
    AND($H32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($H32 / 1000) * P$10 * $BA$4 * 0.25
    ),
    0
)
+
IF(
    $N32 &lt; 0.875,
    MAX(0, MIN(($H32 / 1000) * P$10 * $BA$4, P$11 * 0.876) - (P$11 * $N32)) * 0.25,
    0
)</f>
        <v/>
      </c>
      <c r="Q32" s="115">
        <f t="array" ref="Q32">IF(
    AND($H32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($H32 / 1000) * Q$10 * $BA$4 * 0.25
    ),
    0
)
+
IF(
    $N32 &lt; 0.875,
    MAX(0, MIN(($H32 / 1000) * Q$10 * $BA$4, Q$11 * 0.876) - (Q$11 * $N32)) * 0.25,
    0
)</f>
        <v/>
      </c>
      <c r="R32" s="115">
        <f t="array" ref="R32">IF(
    AND($H32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($H32 / 1000) * R$10 * $BA$4 * 0.25
    ),
    0
)
+
IF(
    $N32 &lt; 0.875,
    MAX(0, MIN(($H32 / 1000) * R$10 * $BA$4, R$11 * 0.876) - (R$11 * $N32)) * 0.25,
    0
)</f>
        <v/>
      </c>
      <c r="S32" s="115">
        <f t="array" ref="S32">IF(
    AND($H32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($H32 / 1000) * S$10 * $BA$4 * 0.25
    ),
    0
)
+
IF(
    $N32 &lt; 0.875,
    MAX(0, MIN(($H32 / 1000) * S$10 * $BA$4, S$11 * 0.876) - (S$11 * $N32)) * 0.25,
    0
)</f>
        <v/>
      </c>
      <c r="T32" s="115">
        <f t="array" ref="T32">IF(
    AND($H32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($H32 / 1000) * T$10 * $BA$4 * 0.25
    ),
    0
)
+
IF(
    $N32 &lt; 0.875,
    MAX(0, MIN(($H32 / 1000) * T$10 * $BA$4, T$11 * 0.876) - (T$11 * $N32)) * 0.25,
    0
)</f>
        <v/>
      </c>
      <c r="U32" s="115">
        <f t="array" ref="U32">IF(
    AND($H32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($H32 / 1000) * U$10 * $BA$4 * 0.25
    ),
    0
)
+
IF(
    $N32 &lt; 0.875,
    MAX(0, MIN(($H32 / 1000) * U$10 * $BA$4, U$11 * 0.876) - (U$11 * $N32)) * 0.25,
    0
)</f>
        <v/>
      </c>
      <c r="V32" s="115">
        <f t="array" ref="V32">IF(
    AND($H32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($H32 / 1000) * V$10 * $BA$4 * 0.25
    ),
    0
)
+
IF(
    $N32 &lt; 0.875,
    MAX(0, MIN(($H32 / 1000) * V$10 * $BA$4, V$11 * 0.876) - (V$11 * $N32)) * 0.25,
    0
)</f>
        <v/>
      </c>
      <c r="W32" s="115">
        <f t="array" ref="W32">IF(
    AND($H32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($H32 / 1000) * W$10 * $BA$4 * 0.25
    ),
    0
)
+
IF(
    $N32 &lt; 0.875,
    MAX(0, MIN(($H32 / 1000) * W$10 * $BA$4, W$11 * 0.876) - (W$11 * $N32)) * 0.25,
    0
)</f>
        <v/>
      </c>
      <c r="X32" s="115">
        <f t="array" ref="X32">IF(
    AND($H32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($H32 / 1000) * X$10 * $BA$4 * 0.25
    ),
    0
)
+
IF(
    $N32 &lt; 0.875,
    MAX(0, MIN(($H32 / 1000) * X$10 * $BA$4, X$11 * 0.876) - (X$11 * $N32)) * 0.25,
    0
)</f>
        <v/>
      </c>
      <c r="Y32" s="115">
        <f t="array" ref="Y32">IF(
    AND($H32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($H32 / 1000) * Y$10 * $BA$4 * 0.25
    ),
    0
)
+
IF(
    $N32 &lt; 0.875,
    MAX(0, MIN(($H32 / 1000) * Y$10 * $BA$4, Y$11 * 0.876) - (Y$11 * $N32)) * 0.25,
    0
)</f>
        <v/>
      </c>
      <c r="Z32" s="115">
        <f t="array" ref="Z32">IF(
    AND($H32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($H32 / 1000) * Z$10 * $BA$4 * 0.25
    ),
    0
)
+
IF(
    $N32 &lt; 0.875,
    MAX(0, MIN(($H32 / 1000) * Z$10 * $BA$4, Z$11 * 0.876) - (Z$11 * $N32)) * 0.25,
    0
)</f>
        <v/>
      </c>
      <c r="AA32" s="116">
        <f>SUM(TabellaMar2026[[#This Row],[Colonna24]:[Colonna20]])</f>
        <v/>
      </c>
      <c r="AB32" s="117">
        <f>IF(
    AND($H32 &gt; $BA$7, Tabella01MarzoInverter[[#This Row],[Active power TX2-INV-1]] &lt;= 0, Tabella01MarzoInverter[[#This Row],[TX2 - Average Power]] &lt;= 0),
    MIN(($H32 / 1000) * AB$10 * $BA$4, AB$11 * 0.876) * 0.25,
    IF(
        AND($H32 &gt; $BA$7, Tabella01MarzoInverter[[#This Row],[Active power TX2-INV-1]] &lt;= 0),
        Tabella01MarzoInverter[[#This Row],[TX2 - Average Power]] * 0.25,
        0
    )
    +
    IF(
        $N32 &lt; 0.875,
        MAX(0, MIN(($H32 / 1000) * AB$10 * $BA$4, AB$11 * 0.876) - (AB$11 * $N32)) * 0.25,
        0
    )
)</f>
        <v/>
      </c>
      <c r="AC32" s="117">
        <f>IF(
    AND($H32 &gt; $BA$7, Tabella01MarzoInverter[[#This Row],[Active power TX2-INV-2]] &lt;= 0, Tabella01MarzoInverter[[#This Row],[TX2 - Max Power]] &lt;= 0),
    MIN(($H32 / 1000) * AC$10 * $BA$4, AC$11 * 0.876) * 0.25,
    IF(
        AND($H32 &gt; $BA$7, Tabella01MarzoInverter[[#This Row],[Active power TX2-INV-2]] &lt;= 0),
        Tabella01MarzoInverter[[#This Row],[TX2 - Max Power]] * 0.25,
        0
    )
    +
    IF(
        $N32 &lt; 0.875,
        MAX(0, MIN(($H32 / 1000) * AC$10 * $BA$4, AC$11 * 0.876) - (AC$11 * $N32)) * 0.25,
        0
    )
)</f>
        <v/>
      </c>
      <c r="AD32" s="117">
        <f>IF(
    AND($H32 &gt; $BA$7, Tabella01MarzoInverter[[#This Row],[Active power TX2-INV-3]] &lt;= 0, Tabella01MarzoInverter[[#This Row],[TX2 - Min Power]] &lt;= 0),
    MIN(($H32 / 1000) * AD$10 * $BA$4, AD$11 * 0.876) * 0.25,
    IF(
        AND($H32 &gt; $BA$7, Tabella01MarzoInverter[[#This Row],[Active power TX2-INV-3]] &lt;= 0),
        Tabella01MarzoInverter[[#This Row],[TX2 - Min Power]] * 0.25,
        0
    )
    +
    IF(
        $N32 &lt; 0.875,
        MAX(0, MIN(($H32 / 1000) * AD$10 * $BA$4, AD$11 * 0.876) - (AD$11 * $N32)) * 0.25,
        0
    )
)</f>
        <v/>
      </c>
      <c r="AE32" s="117">
        <f>IF(
    AND($H32 &gt; $BA$7, Tabella01MarzoInverter[[#This Row],[Active power TX2-INV-4]] &lt;= 0, Tabella01MarzoInverter[[#This Row],[Active power TX3-INV-1]] &lt;= 0),
    MIN(($H32 / 1000) * AE$10 * $BA$4, AE$11 * 0.876) * 0.25,
    IF(
        AND($H32 &gt; $BA$7, Tabella01MarzoInverter[[#This Row],[Active power TX2-INV-4]] &lt;= 0),
        Tabella01MarzoInverter[[#This Row],[Active power TX3-INV-1]] * 0.25,
        0
    )
    +
    IF(
        $N32 &lt; 0.875,
        MAX(0, MIN(($H32 / 1000) * AE$10 * $BA$4, AE$11 * 0.876) - (AE$11 * $N32)) * 0.25,
        0
    )
)</f>
        <v/>
      </c>
      <c r="AF32" s="117">
        <f>IF(
    AND($H32 &gt; $BA$7, Tabella01MarzoInverter[[#This Row],[Active power TX2-INV-5]] &lt;= 0, Tabella01MarzoInverter[[#This Row],[Active power TX3-INV-2]] &lt;= 0),
    MIN(($H32 / 1000) * AF$10 * $BA$4, AF$11 * 0.876) * 0.25,
    IF(
        AND($H32 &gt; $BA$7, Tabella01MarzoInverter[[#This Row],[Active power TX2-INV-5]] &lt;= 0),
        Tabella01MarzoInverter[[#This Row],[Active power TX3-INV-2]] * 0.25,
        0
    )
    +
    IF(
        $N32 &lt; 0.875,
        MAX(0, MIN(($H32 / 1000) * AF$10 * $BA$4, AF$11 * 0.876) - (AF$11 * $N32)) * 0.25,
        0
    )
)</f>
        <v/>
      </c>
      <c r="AG32" s="117">
        <f>IF(
    AND($H32 &gt; $BA$7, Tabella01MarzoInverter[[#This Row],[Active power TX2-INV-6]] &lt;= 0, Tabella01MarzoInverter[[#This Row],[Active power TX3-INV-3]] &lt;= 0),
    MIN(($H32 / 1000) * AG$10 * $BA$4, AG$11 * 0.876) * 0.25,
    IF(
        AND($H32 &gt; $BA$7, Tabella01MarzoInverter[[#This Row],[Active power TX2-INV-6]] &lt;= 0),
        Tabella01MarzoInverter[[#This Row],[Active power TX3-INV-3]] * 0.25,
        0
    )
    +
    IF(
        $N32 &lt; 0.875,
        MAX(0, MIN(($H32 / 1000) * AG$10 * $BA$4, AG$11 * 0.876) - (AG$11 * $N32)) * 0.25,
        0
    )
)</f>
        <v/>
      </c>
      <c r="AH32" s="117">
        <f>IF(
    AND($H32 &gt; $BA$7, Tabella01MarzoInverter[[#This Row],[Active power TX2-INV-7]] &lt;= 0, Tabella01MarzoInverter[[#This Row],[Active power TX3-INV-4]] &lt;= 0),
    MIN(($H32 / 1000) * AH$10 * $BA$4, AH$11 * 0.876) * 0.25,
    IF(
        AND($H32 &gt; $BA$7, Tabella01MarzoInverter[[#This Row],[Active power TX2-INV-7]] &lt;= 0),
        Tabella01MarzoInverter[[#This Row],[Active power TX3-INV-4]] * 0.25,
        0
    )
    +
    IF(
        $N32 &lt; 0.875,
        MAX(0, MIN(($H32 / 1000) * AH$10 * $BA$4, AH$11 * 0.876) - (AH$11 * $N32)) * 0.25,
        0
    )
)</f>
        <v/>
      </c>
      <c r="AI32" s="117">
        <f>IF(
    AND($H32 &gt; $BA$7, Tabella01MarzoInverter[[#This Row],[Active power TX2-INV-8]] &lt;= 0, Tabella01MarzoInverter[[#This Row],[Active power TX3-INV-5]] &lt;= 0),
    MIN(($H32 / 1000) * AI$10 * $BA$4, AI$11 * 0.876) * 0.25,
    IF(
        AND($H32 &gt; $BA$7, Tabella01MarzoInverter[[#This Row],[Active power TX2-INV-8]] &lt;= 0),
        Tabella01MarzoInverter[[#This Row],[Active power TX3-INV-5]] * 0.25,
        0
    )
    +
    IF(
        $N32 &lt; 0.875,
        MAX(0, MIN(($H32 / 1000) * AI$10 * $BA$4, AI$11 * 0.876) - (AI$11 * $N32)) * 0.25,
        0
    )
)</f>
        <v/>
      </c>
      <c r="AJ32" s="117">
        <f>IF(
    AND($H32 &gt; $BA$7, Tabella01MarzoInverter[[#This Row],[Active power TX2-INV-9]] &lt;= 0, Tabella01MarzoInverter[[#This Row],[Active power TX3-INV-6]] &lt;= 0),
    MIN(($H32 / 1000) * AJ$10 * $BA$4, AJ$11 * 0.876) * 0.25,
    IF(
        AND($H32 &gt; $BA$7, Tabella01MarzoInverter[[#This Row],[Active power TX2-INV-9]] &lt;= 0),
        Tabella01MarzoInverter[[#This Row],[Active power TX3-INV-6]] * 0.25,
        0
    )
    +
    IF(
        $N32 &lt; 0.875,
        MAX(0, MIN(($H32 / 1000) * AJ$10 * $BA$4, AJ$11 * 0.876) - (AJ$11 * $N32)) * 0.25,
        0
    )
)</f>
        <v/>
      </c>
      <c r="AK32" s="117">
        <f>IF(
    AND($H32 &gt; $BA$7, Tabella01MarzoInverter[[#This Row],[Active power TX2-INV-10]] &lt;= 0, Tabella01MarzoInverter[[#This Row],[Active power TX3-INV-7]] &lt;= 0),
    MIN(($H32 / 1000) * AK$10 * $BA$4, AK$11 * 0.876) * 0.25,
    IF(
        AND($H32 &gt; $BA$7, Tabella01MarzoInverter[[#This Row],[Active power TX2-INV-10]] &lt;= 0),
        Tabella01MarzoInverter[[#This Row],[Active power TX3-INV-7]] * 0.25,
        0
    )
    +
    IF(
        $N32 &lt; 0.875,
        MAX(0, MIN(($H32 / 1000) * AK$10 * $BA$4, AK$11 * 0.876) - (AK$11 * $N32)) * 0.25,
        0
    )
)</f>
        <v/>
      </c>
      <c r="AL32" s="117">
        <f>IF(
    AND($H32 &gt; $BA$7, Tabella01MarzoInverter[[#This Row],[Active power TX2-INV-11]] &lt;= 0, Tabella01MarzoInverter[[#This Row],[Active power TX3-INV-8]] &lt;= 0),
    MIN(($H32 / 1000) * AL$10 * $BA$4, AL$11 * 0.876) * 0.25,
    IF(
        AND($H32 &gt; $BA$7, Tabella01MarzoInverter[[#This Row],[Active power TX2-INV-11]] &lt;= 0),
        Tabella01MarzoInverter[[#This Row],[Active power TX3-INV-8]] * 0.25,
        0
    )
    +
    IF(
        $N32 &lt; 0.875,
        MAX(0, MIN(($H32 / 1000) * AL$10 * $BA$4, AL$11 * 0.876) - (AL$11 * $N32)) * 0.25,
        0
    )
)</f>
        <v/>
      </c>
      <c r="AM32" s="117">
        <f>IF(
    AND($H32 &gt; $BA$7, Tabella01MarzoInverter[[#This Row],[Active power TX2-INV-12]] &lt;= 0, Tabella01MarzoInverter[[#This Row],[Active power TX3-INV-9]] &lt;= 0),
    MIN(($H32 / 1000) * AM$10 * $BA$4, AM$11 * 0.876) * 0.25,
    IF(
        AND($H32 &gt; $BA$7, Tabella01MarzoInverter[[#This Row],[Active power TX2-INV-12]] &lt;= 0),
        Tabella01MarzoInverter[[#This Row],[Active power TX3-INV-9]] * 0.25,
        0
    )
    +
    IF(
        $N32 &lt; 0.875,
        MAX(0, MIN(($H32 / 1000) * AM$10 * $BA$4, AM$11 * 0.876) - (AM$11 * $N32)) * 0.25,
        0
    )
)</f>
        <v/>
      </c>
      <c r="AN32" s="118">
        <f>SUM(TabellaMar2026[[#This Row],[Colonna39]:[Colonna6]])</f>
        <v/>
      </c>
      <c r="AO32" s="117">
        <f t="array" ref="AO32">IF(
    AND($H32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($H32 / 1000) * AO$10 * $BA$4 * 0.25
    ),
    0
)
+
IF(
    $N32 &lt; 0.875,
    MAX(0, MIN(($H32 / 1000) * AO$10 * $BA$4, AO$11 * 0.876) - (AO$11 * $N32)) * 0.25,
    0
)</f>
        <v/>
      </c>
      <c r="AP32" s="117">
        <f t="array" ref="AP32">IF(
    AND($H32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($H32 / 1000) * AP$10 * $BA$4 * 0.25
    ),
    0
)
+
IF(
    $N32 &lt; 0.875,
    MAX(0, MIN(($H32 / 1000) * AP$10 * $BA$4, AP$11 * 0.876) - (AP$11 * $N32)) * 0.25,
    0
)</f>
        <v/>
      </c>
      <c r="AQ32" s="117">
        <f t="array" ref="AQ32">IF(
    AND($H32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($H32 / 1000) * AQ$10 * $BA$4 * 0.25
    ),
    0
)
+
IF(
    $N32 &lt; 0.875,
    MAX(0, MIN(($H32 / 1000) * AQ$10 * $BA$4, AQ$11 * 0.876) - (AQ$11 * $N32)) * 0.25,
    0
)</f>
        <v/>
      </c>
      <c r="AR32" s="117">
        <f t="array" ref="AR32">IF(
    AND($H32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($H32 / 1000) * AR$10 * $BA$4 * 0.25
    ),
    0
)
+
IF(
    $N32 &lt; 0.875,
    MAX(0, MIN(($H32 / 1000) * AR$10 * $BA$4, AR$11 * 0.876) - (AR$11 * $N32)) * 0.25,
    0
)</f>
        <v/>
      </c>
      <c r="AS32" s="117">
        <f t="array" ref="AS32">IF(
    AND($H32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($H32 / 1000) * AS$10 * $BA$4 * 0.25
    ),
    0
)
+
IF(
    $N32 &lt; 0.875,
    MAX(0, MIN(($H32 / 1000) * AS$10 * $BA$4, AS$11 * 0.876) - (AS$11 * $N32)) * 0.25,
    0
)</f>
        <v/>
      </c>
      <c r="AT32" s="117">
        <f t="array" ref="AT32">IF(
    AND($H32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($H32 / 1000) * AT$10 * $BA$4 * 0.25
    ),
    0
)
+
IF(
    $N32 &lt; 0.875,
    MAX(0, MIN(($H32 / 1000) * AT$10 * $BA$4, AT$11 * 0.876) - (AT$11 * $N32)) * 0.25,
    0
)</f>
        <v/>
      </c>
      <c r="AU32" s="117">
        <f t="array" ref="AU32">IF(
    AND($H32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($H32 / 1000) * AU$10 * $BA$4 * 0.25
    ),
    0
)
+
IF(
    $N32 &lt; 0.875,
    MAX(0, MIN(($H32 / 1000) * AU$10 * $BA$4, AU$11 * 0.876) - (AU$11 * $N32)) * 0.25,
    0
)</f>
        <v/>
      </c>
      <c r="AV32" s="117">
        <f t="array" ref="AV32">IF(
    AND($H32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($H32 / 1000) * AV$10 * $BA$4 * 0.25
    ),
    0
)
+
IF(
    $N32 &lt; 0.875,
    MAX(0, MIN(($H32 / 1000) * AV$10 * $BA$4, AV$11 * 0.876) - (AV$11 * $N32)) * 0.25,
    0
)</f>
        <v/>
      </c>
      <c r="AW32" s="117">
        <f t="array" ref="AW32">IF(
    AND($H32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($H32 / 1000) * AW$10 * $BA$4 * 0.25
    ),
    0
)
+
IF(
    $N32 &lt; 0.875,
    MAX(0, MIN(($H32 / 1000) * AW$10 * $BA$4, AW$11 * 0.876) - (AW$11 * $N32)) * 0.25,
    0
)</f>
        <v/>
      </c>
      <c r="AX32" s="117">
        <f t="array" ref="AX32">IF(
    AND($H32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($H32 / 1000) * AX$10 * $BA$4 * 0.25
    ),
    0
)
+
IF(
    $N32 &lt; 0.875,
    MAX(0, MIN(($H32 / 1000) * AX$10 * $BA$4, AX$11 * 0.876) - (AX$11 * $N32)) * 0.25,
    0
)</f>
        <v/>
      </c>
      <c r="AY32" s="117">
        <f t="array" ref="AY32">IF(
    AND($H32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($H32 / 1000) * AY$10 * $BA$4 * 0.25
    ),
    0
)
+
IF(
    $N32 &lt; 0.875,
    MAX(0, MIN(($H32 / 1000) * AY$10 * $BA$4, AY$11 * 0.876) - (AY$11 * $N32)) * 0.25,
    0
)</f>
        <v/>
      </c>
      <c r="AZ32" s="117">
        <f t="array" ref="AZ32">IF(
    AND($H32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($H32 / 1000) * AZ$10 * $BA$4 * 0.25
    ),
    0
)
+
IF(
    $N32 &lt; 0.875,
    MAX(0, MIN(($H32 / 1000) * AZ$10 * $BA$4, AZ$11 * 0.876) - (AZ$11 * $N32)) * 0.25,
    0
)</f>
        <v/>
      </c>
      <c r="BA32" s="119">
        <f>SUM(TabellaMar2026[[#This Row],[Colonna54]:[Colonna53]])</f>
        <v/>
      </c>
    </row>
    <row r="33" customFormat="1" s="1">
      <c r="A33" s="112" t="n">
        <v>46143</v>
      </c>
      <c r="B33" t="inlineStr">
        <is>
          <t>04:30:00.000</t>
        </is>
      </c>
      <c r="C33" s="2" t="n">
        <v>-0.9</v>
      </c>
      <c r="D33" s="113" t="n">
        <v>-0.000225</v>
      </c>
      <c r="E33" s="113" t="n">
        <v>-1</v>
      </c>
      <c r="F33" s="113" t="n">
        <v>-0.00025</v>
      </c>
      <c r="G33" s="113">
        <f>IFERROR((D33+F33)/2, 0)</f>
        <v/>
      </c>
      <c r="H33" s="114">
        <f>IFERROR(IF(AVERAGE(C33,E33)&gt;$BA$7,AVERAGE(C33,E33),0), 0)</f>
        <v/>
      </c>
      <c r="I33" s="114">
        <f>IFERROR(IF(AND(D33=0,F33=0),0,IF(H33&gt;$BA$6,MAX(D33,F33),G33)), 0)</f>
        <v/>
      </c>
      <c r="J33" s="113">
        <f>IFERROR(IF(AND(D33&gt;0,F33&gt;0),ABS(D33-F33)/AVERAGE(D33,F33),0), 0)</f>
        <v/>
      </c>
      <c r="K33" s="113" t="n">
        <v>30098.6</v>
      </c>
      <c r="L33" s="113" t="n">
        <v>30098.6</v>
      </c>
      <c r="M33" s="115">
        <f>IFERROR((L33-K33)*1000, 0)</f>
        <v/>
      </c>
      <c r="N33" s="113" t="n">
        <v>0.8759999999999999</v>
      </c>
      <c r="O33" s="115">
        <f t="array" ref="O33">IF(
    AND($H33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($H33 / 1000) * O$10 * $BA$4 * 0.25
    ),
    0
)
+
IF(
    $N33 &lt; 0.875,
    MAX(0, MIN(($H33 / 1000) * O$10 * $BA$4, O$11 * 0.876) - (O$11 * $N33)) * 0.25,
    0
)</f>
        <v/>
      </c>
      <c r="P33" s="115">
        <f t="array" ref="P33">IF(
    AND($H33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($H33 / 1000) * P$10 * $BA$4 * 0.25
    ),
    0
)
+
IF(
    $N33 &lt; 0.875,
    MAX(0, MIN(($H33 / 1000) * P$10 * $BA$4, P$11 * 0.876) - (P$11 * $N33)) * 0.25,
    0
)</f>
        <v/>
      </c>
      <c r="Q33" s="115">
        <f t="array" ref="Q33">IF(
    AND($H33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($H33 / 1000) * Q$10 * $BA$4 * 0.25
    ),
    0
)
+
IF(
    $N33 &lt; 0.875,
    MAX(0, MIN(($H33 / 1000) * Q$10 * $BA$4, Q$11 * 0.876) - (Q$11 * $N33)) * 0.25,
    0
)</f>
        <v/>
      </c>
      <c r="R33" s="115">
        <f t="array" ref="R33">IF(
    AND($H33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($H33 / 1000) * R$10 * $BA$4 * 0.25
    ),
    0
)
+
IF(
    $N33 &lt; 0.875,
    MAX(0, MIN(($H33 / 1000) * R$10 * $BA$4, R$11 * 0.876) - (R$11 * $N33)) * 0.25,
    0
)</f>
        <v/>
      </c>
      <c r="S33" s="115">
        <f t="array" ref="S33">IF(
    AND($H33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($H33 / 1000) * S$10 * $BA$4 * 0.25
    ),
    0
)
+
IF(
    $N33 &lt; 0.875,
    MAX(0, MIN(($H33 / 1000) * S$10 * $BA$4, S$11 * 0.876) - (S$11 * $N33)) * 0.25,
    0
)</f>
        <v/>
      </c>
      <c r="T33" s="115">
        <f t="array" ref="T33">IF(
    AND($H33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($H33 / 1000) * T$10 * $BA$4 * 0.25
    ),
    0
)
+
IF(
    $N33 &lt; 0.875,
    MAX(0, MIN(($H33 / 1000) * T$10 * $BA$4, T$11 * 0.876) - (T$11 * $N33)) * 0.25,
    0
)</f>
        <v/>
      </c>
      <c r="U33" s="115">
        <f t="array" ref="U33">IF(
    AND($H33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($H33 / 1000) * U$10 * $BA$4 * 0.25
    ),
    0
)
+
IF(
    $N33 &lt; 0.875,
    MAX(0, MIN(($H33 / 1000) * U$10 * $BA$4, U$11 * 0.876) - (U$11 * $N33)) * 0.25,
    0
)</f>
        <v/>
      </c>
      <c r="V33" s="115">
        <f t="array" ref="V33">IF(
    AND($H33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($H33 / 1000) * V$10 * $BA$4 * 0.25
    ),
    0
)
+
IF(
    $N33 &lt; 0.875,
    MAX(0, MIN(($H33 / 1000) * V$10 * $BA$4, V$11 * 0.876) - (V$11 * $N33)) * 0.25,
    0
)</f>
        <v/>
      </c>
      <c r="W33" s="115">
        <f t="array" ref="W33">IF(
    AND($H33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($H33 / 1000) * W$10 * $BA$4 * 0.25
    ),
    0
)
+
IF(
    $N33 &lt; 0.875,
    MAX(0, MIN(($H33 / 1000) * W$10 * $BA$4, W$11 * 0.876) - (W$11 * $N33)) * 0.25,
    0
)</f>
        <v/>
      </c>
      <c r="X33" s="115">
        <f t="array" ref="X33">IF(
    AND($H33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($H33 / 1000) * X$10 * $BA$4 * 0.25
    ),
    0
)
+
IF(
    $N33 &lt; 0.875,
    MAX(0, MIN(($H33 / 1000) * X$10 * $BA$4, X$11 * 0.876) - (X$11 * $N33)) * 0.25,
    0
)</f>
        <v/>
      </c>
      <c r="Y33" s="115">
        <f t="array" ref="Y33">IF(
    AND($H33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($H33 / 1000) * Y$10 * $BA$4 * 0.25
    ),
    0
)
+
IF(
    $N33 &lt; 0.875,
    MAX(0, MIN(($H33 / 1000) * Y$10 * $BA$4, Y$11 * 0.876) - (Y$11 * $N33)) * 0.25,
    0
)</f>
        <v/>
      </c>
      <c r="Z33" s="115">
        <f t="array" ref="Z33">IF(
    AND($H33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($H33 / 1000) * Z$10 * $BA$4 * 0.25
    ),
    0
)
+
IF(
    $N33 &lt; 0.875,
    MAX(0, MIN(($H33 / 1000) * Z$10 * $BA$4, Z$11 * 0.876) - (Z$11 * $N33)) * 0.25,
    0
)</f>
        <v/>
      </c>
      <c r="AA33" s="116">
        <f>SUM(TabellaMar2026[[#This Row],[Colonna24]:[Colonna20]])</f>
        <v/>
      </c>
      <c r="AB33" s="117">
        <f>IF(
    AND($H33 &gt; $BA$7, Tabella01MarzoInverter[[#This Row],[Active power TX2-INV-1]] &lt;= 0, Tabella01MarzoInverter[[#This Row],[TX2 - Average Power]] &lt;= 0),
    MIN(($H33 / 1000) * AB$10 * $BA$4, AB$11 * 0.876) * 0.25,
    IF(
        AND($H33 &gt; $BA$7, Tabella01MarzoInverter[[#This Row],[Active power TX2-INV-1]] &lt;= 0),
        Tabella01MarzoInverter[[#This Row],[TX2 - Average Power]] * 0.25,
        0
    )
    +
    IF(
        $N33 &lt; 0.875,
        MAX(0, MIN(($H33 / 1000) * AB$10 * $BA$4, AB$11 * 0.876) - (AB$11 * $N33)) * 0.25,
        0
    )
)</f>
        <v/>
      </c>
      <c r="AC33" s="117">
        <f>IF(
    AND($H33 &gt; $BA$7, Tabella01MarzoInverter[[#This Row],[Active power TX2-INV-2]] &lt;= 0, Tabella01MarzoInverter[[#This Row],[TX2 - Max Power]] &lt;= 0),
    MIN(($H33 / 1000) * AC$10 * $BA$4, AC$11 * 0.876) * 0.25,
    IF(
        AND($H33 &gt; $BA$7, Tabella01MarzoInverter[[#This Row],[Active power TX2-INV-2]] &lt;= 0),
        Tabella01MarzoInverter[[#This Row],[TX2 - Max Power]] * 0.25,
        0
    )
    +
    IF(
        $N33 &lt; 0.875,
        MAX(0, MIN(($H33 / 1000) * AC$10 * $BA$4, AC$11 * 0.876) - (AC$11 * $N33)) * 0.25,
        0
    )
)</f>
        <v/>
      </c>
      <c r="AD33" s="117">
        <f>IF(
    AND($H33 &gt; $BA$7, Tabella01MarzoInverter[[#This Row],[Active power TX2-INV-3]] &lt;= 0, Tabella01MarzoInverter[[#This Row],[TX2 - Min Power]] &lt;= 0),
    MIN(($H33 / 1000) * AD$10 * $BA$4, AD$11 * 0.876) * 0.25,
    IF(
        AND($H33 &gt; $BA$7, Tabella01MarzoInverter[[#This Row],[Active power TX2-INV-3]] &lt;= 0),
        Tabella01MarzoInverter[[#This Row],[TX2 - Min Power]] * 0.25,
        0
    )
    +
    IF(
        $N33 &lt; 0.875,
        MAX(0, MIN(($H33 / 1000) * AD$10 * $BA$4, AD$11 * 0.876) - (AD$11 * $N33)) * 0.25,
        0
    )
)</f>
        <v/>
      </c>
      <c r="AE33" s="117">
        <f>IF(
    AND($H33 &gt; $BA$7, Tabella01MarzoInverter[[#This Row],[Active power TX2-INV-4]] &lt;= 0, Tabella01MarzoInverter[[#This Row],[Active power TX3-INV-1]] &lt;= 0),
    MIN(($H33 / 1000) * AE$10 * $BA$4, AE$11 * 0.876) * 0.25,
    IF(
        AND($H33 &gt; $BA$7, Tabella01MarzoInverter[[#This Row],[Active power TX2-INV-4]] &lt;= 0),
        Tabella01MarzoInverter[[#This Row],[Active power TX3-INV-1]] * 0.25,
        0
    )
    +
    IF(
        $N33 &lt; 0.875,
        MAX(0, MIN(($H33 / 1000) * AE$10 * $BA$4, AE$11 * 0.876) - (AE$11 * $N33)) * 0.25,
        0
    )
)</f>
        <v/>
      </c>
      <c r="AF33" s="117">
        <f>IF(
    AND($H33 &gt; $BA$7, Tabella01MarzoInverter[[#This Row],[Active power TX2-INV-5]] &lt;= 0, Tabella01MarzoInverter[[#This Row],[Active power TX3-INV-2]] &lt;= 0),
    MIN(($H33 / 1000) * AF$10 * $BA$4, AF$11 * 0.876) * 0.25,
    IF(
        AND($H33 &gt; $BA$7, Tabella01MarzoInverter[[#This Row],[Active power TX2-INV-5]] &lt;= 0),
        Tabella01MarzoInverter[[#This Row],[Active power TX3-INV-2]] * 0.25,
        0
    )
    +
    IF(
        $N33 &lt; 0.875,
        MAX(0, MIN(($H33 / 1000) * AF$10 * $BA$4, AF$11 * 0.876) - (AF$11 * $N33)) * 0.25,
        0
    )
)</f>
        <v/>
      </c>
      <c r="AG33" s="117">
        <f>IF(
    AND($H33 &gt; $BA$7, Tabella01MarzoInverter[[#This Row],[Active power TX2-INV-6]] &lt;= 0, Tabella01MarzoInverter[[#This Row],[Active power TX3-INV-3]] &lt;= 0),
    MIN(($H33 / 1000) * AG$10 * $BA$4, AG$11 * 0.876) * 0.25,
    IF(
        AND($H33 &gt; $BA$7, Tabella01MarzoInverter[[#This Row],[Active power TX2-INV-6]] &lt;= 0),
        Tabella01MarzoInverter[[#This Row],[Active power TX3-INV-3]] * 0.25,
        0
    )
    +
    IF(
        $N33 &lt; 0.875,
        MAX(0, MIN(($H33 / 1000) * AG$10 * $BA$4, AG$11 * 0.876) - (AG$11 * $N33)) * 0.25,
        0
    )
)</f>
        <v/>
      </c>
      <c r="AH33" s="117">
        <f>IF(
    AND($H33 &gt; $BA$7, Tabella01MarzoInverter[[#This Row],[Active power TX2-INV-7]] &lt;= 0, Tabella01MarzoInverter[[#This Row],[Active power TX3-INV-4]] &lt;= 0),
    MIN(($H33 / 1000) * AH$10 * $BA$4, AH$11 * 0.876) * 0.25,
    IF(
        AND($H33 &gt; $BA$7, Tabella01MarzoInverter[[#This Row],[Active power TX2-INV-7]] &lt;= 0),
        Tabella01MarzoInverter[[#This Row],[Active power TX3-INV-4]] * 0.25,
        0
    )
    +
    IF(
        $N33 &lt; 0.875,
        MAX(0, MIN(($H33 / 1000) * AH$10 * $BA$4, AH$11 * 0.876) - (AH$11 * $N33)) * 0.25,
        0
    )
)</f>
        <v/>
      </c>
      <c r="AI33" s="117">
        <f>IF(
    AND($H33 &gt; $BA$7, Tabella01MarzoInverter[[#This Row],[Active power TX2-INV-8]] &lt;= 0, Tabella01MarzoInverter[[#This Row],[Active power TX3-INV-5]] &lt;= 0),
    MIN(($H33 / 1000) * AI$10 * $BA$4, AI$11 * 0.876) * 0.25,
    IF(
        AND($H33 &gt; $BA$7, Tabella01MarzoInverter[[#This Row],[Active power TX2-INV-8]] &lt;= 0),
        Tabella01MarzoInverter[[#This Row],[Active power TX3-INV-5]] * 0.25,
        0
    )
    +
    IF(
        $N33 &lt; 0.875,
        MAX(0, MIN(($H33 / 1000) * AI$10 * $BA$4, AI$11 * 0.876) - (AI$11 * $N33)) * 0.25,
        0
    )
)</f>
        <v/>
      </c>
      <c r="AJ33" s="117">
        <f>IF(
    AND($H33 &gt; $BA$7, Tabella01MarzoInverter[[#This Row],[Active power TX2-INV-9]] &lt;= 0, Tabella01MarzoInverter[[#This Row],[Active power TX3-INV-6]] &lt;= 0),
    MIN(($H33 / 1000) * AJ$10 * $BA$4, AJ$11 * 0.876) * 0.25,
    IF(
        AND($H33 &gt; $BA$7, Tabella01MarzoInverter[[#This Row],[Active power TX2-INV-9]] &lt;= 0),
        Tabella01MarzoInverter[[#This Row],[Active power TX3-INV-6]] * 0.25,
        0
    )
    +
    IF(
        $N33 &lt; 0.875,
        MAX(0, MIN(($H33 / 1000) * AJ$10 * $BA$4, AJ$11 * 0.876) - (AJ$11 * $N33)) * 0.25,
        0
    )
)</f>
        <v/>
      </c>
      <c r="AK33" s="117">
        <f>IF(
    AND($H33 &gt; $BA$7, Tabella01MarzoInverter[[#This Row],[Active power TX2-INV-10]] &lt;= 0, Tabella01MarzoInverter[[#This Row],[Active power TX3-INV-7]] &lt;= 0),
    MIN(($H33 / 1000) * AK$10 * $BA$4, AK$11 * 0.876) * 0.25,
    IF(
        AND($H33 &gt; $BA$7, Tabella01MarzoInverter[[#This Row],[Active power TX2-INV-10]] &lt;= 0),
        Tabella01MarzoInverter[[#This Row],[Active power TX3-INV-7]] * 0.25,
        0
    )
    +
    IF(
        $N33 &lt; 0.875,
        MAX(0, MIN(($H33 / 1000) * AK$10 * $BA$4, AK$11 * 0.876) - (AK$11 * $N33)) * 0.25,
        0
    )
)</f>
        <v/>
      </c>
      <c r="AL33" s="117">
        <f>IF(
    AND($H33 &gt; $BA$7, Tabella01MarzoInverter[[#This Row],[Active power TX2-INV-11]] &lt;= 0, Tabella01MarzoInverter[[#This Row],[Active power TX3-INV-8]] &lt;= 0),
    MIN(($H33 / 1000) * AL$10 * $BA$4, AL$11 * 0.876) * 0.25,
    IF(
        AND($H33 &gt; $BA$7, Tabella01MarzoInverter[[#This Row],[Active power TX2-INV-11]] &lt;= 0),
        Tabella01MarzoInverter[[#This Row],[Active power TX3-INV-8]] * 0.25,
        0
    )
    +
    IF(
        $N33 &lt; 0.875,
        MAX(0, MIN(($H33 / 1000) * AL$10 * $BA$4, AL$11 * 0.876) - (AL$11 * $N33)) * 0.25,
        0
    )
)</f>
        <v/>
      </c>
      <c r="AM33" s="117">
        <f>IF(
    AND($H33 &gt; $BA$7, Tabella01MarzoInverter[[#This Row],[Active power TX2-INV-12]] &lt;= 0, Tabella01MarzoInverter[[#This Row],[Active power TX3-INV-9]] &lt;= 0),
    MIN(($H33 / 1000) * AM$10 * $BA$4, AM$11 * 0.876) * 0.25,
    IF(
        AND($H33 &gt; $BA$7, Tabella01MarzoInverter[[#This Row],[Active power TX2-INV-12]] &lt;= 0),
        Tabella01MarzoInverter[[#This Row],[Active power TX3-INV-9]] * 0.25,
        0
    )
    +
    IF(
        $N33 &lt; 0.875,
        MAX(0, MIN(($H33 / 1000) * AM$10 * $BA$4, AM$11 * 0.876) - (AM$11 * $N33)) * 0.25,
        0
    )
)</f>
        <v/>
      </c>
      <c r="AN33" s="118">
        <f>SUM(TabellaMar2026[[#This Row],[Colonna39]:[Colonna6]])</f>
        <v/>
      </c>
      <c r="AO33" s="117">
        <f t="array" ref="AO33">IF(
    AND($H33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($H33 / 1000) * AO$10 * $BA$4 * 0.25
    ),
    0
)
+
IF(
    $N33 &lt; 0.875,
    MAX(0, MIN(($H33 / 1000) * AO$10 * $BA$4, AO$11 * 0.876) - (AO$11 * $N33)) * 0.25,
    0
)</f>
        <v/>
      </c>
      <c r="AP33" s="117">
        <f t="array" ref="AP33">IF(
    AND($H33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($H33 / 1000) * AP$10 * $BA$4 * 0.25
    ),
    0
)
+
IF(
    $N33 &lt; 0.875,
    MAX(0, MIN(($H33 / 1000) * AP$10 * $BA$4, AP$11 * 0.876) - (AP$11 * $N33)) * 0.25,
    0
)</f>
        <v/>
      </c>
      <c r="AQ33" s="117">
        <f t="array" ref="AQ33">IF(
    AND($H33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($H33 / 1000) * AQ$10 * $BA$4 * 0.25
    ),
    0
)
+
IF(
    $N33 &lt; 0.875,
    MAX(0, MIN(($H33 / 1000) * AQ$10 * $BA$4, AQ$11 * 0.876) - (AQ$11 * $N33)) * 0.25,
    0
)</f>
        <v/>
      </c>
      <c r="AR33" s="117">
        <f t="array" ref="AR33">IF(
    AND($H33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($H33 / 1000) * AR$10 * $BA$4 * 0.25
    ),
    0
)
+
IF(
    $N33 &lt; 0.875,
    MAX(0, MIN(($H33 / 1000) * AR$10 * $BA$4, AR$11 * 0.876) - (AR$11 * $N33)) * 0.25,
    0
)</f>
        <v/>
      </c>
      <c r="AS33" s="117">
        <f t="array" ref="AS33">IF(
    AND($H33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($H33 / 1000) * AS$10 * $BA$4 * 0.25
    ),
    0
)
+
IF(
    $N33 &lt; 0.875,
    MAX(0, MIN(($H33 / 1000) * AS$10 * $BA$4, AS$11 * 0.876) - (AS$11 * $N33)) * 0.25,
    0
)</f>
        <v/>
      </c>
      <c r="AT33" s="117">
        <f t="array" ref="AT33">IF(
    AND($H33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($H33 / 1000) * AT$10 * $BA$4 * 0.25
    ),
    0
)
+
IF(
    $N33 &lt; 0.875,
    MAX(0, MIN(($H33 / 1000) * AT$10 * $BA$4, AT$11 * 0.876) - (AT$11 * $N33)) * 0.25,
    0
)</f>
        <v/>
      </c>
      <c r="AU33" s="117">
        <f t="array" ref="AU33">IF(
    AND($H33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($H33 / 1000) * AU$10 * $BA$4 * 0.25
    ),
    0
)
+
IF(
    $N33 &lt; 0.875,
    MAX(0, MIN(($H33 / 1000) * AU$10 * $BA$4, AU$11 * 0.876) - (AU$11 * $N33)) * 0.25,
    0
)</f>
        <v/>
      </c>
      <c r="AV33" s="117">
        <f t="array" ref="AV33">IF(
    AND($H33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($H33 / 1000) * AV$10 * $BA$4 * 0.25
    ),
    0
)
+
IF(
    $N33 &lt; 0.875,
    MAX(0, MIN(($H33 / 1000) * AV$10 * $BA$4, AV$11 * 0.876) - (AV$11 * $N33)) * 0.25,
    0
)</f>
        <v/>
      </c>
      <c r="AW33" s="117">
        <f t="array" ref="AW33">IF(
    AND($H33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($H33 / 1000) * AW$10 * $BA$4 * 0.25
    ),
    0
)
+
IF(
    $N33 &lt; 0.875,
    MAX(0, MIN(($H33 / 1000) * AW$10 * $BA$4, AW$11 * 0.876) - (AW$11 * $N33)) * 0.25,
    0
)</f>
        <v/>
      </c>
      <c r="AX33" s="117">
        <f t="array" ref="AX33">IF(
    AND($H33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($H33 / 1000) * AX$10 * $BA$4 * 0.25
    ),
    0
)
+
IF(
    $N33 &lt; 0.875,
    MAX(0, MIN(($H33 / 1000) * AX$10 * $BA$4, AX$11 * 0.876) - (AX$11 * $N33)) * 0.25,
    0
)</f>
        <v/>
      </c>
      <c r="AY33" s="117">
        <f t="array" ref="AY33">IF(
    AND($H33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($H33 / 1000) * AY$10 * $BA$4 * 0.25
    ),
    0
)
+
IF(
    $N33 &lt; 0.875,
    MAX(0, MIN(($H33 / 1000) * AY$10 * $BA$4, AY$11 * 0.876) - (AY$11 * $N33)) * 0.25,
    0
)</f>
        <v/>
      </c>
      <c r="AZ33" s="117">
        <f t="array" ref="AZ33">IF(
    AND($H33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($H33 / 1000) * AZ$10 * $BA$4 * 0.25
    ),
    0
)
+
IF(
    $N33 &lt; 0.875,
    MAX(0, MIN(($H33 / 1000) * AZ$10 * $BA$4, AZ$11 * 0.876) - (AZ$11 * $N33)) * 0.25,
    0
)</f>
        <v/>
      </c>
      <c r="BA33" s="119">
        <f>SUM(TabellaMar2026[[#This Row],[Colonna54]:[Colonna53]])</f>
        <v/>
      </c>
    </row>
    <row r="34" customFormat="1" s="1">
      <c r="A34" s="112" t="n">
        <v>46143</v>
      </c>
      <c r="B34" t="inlineStr">
        <is>
          <t>04:45:00.000</t>
        </is>
      </c>
      <c r="C34" s="2" t="n">
        <v>-1</v>
      </c>
      <c r="D34" s="113" t="n">
        <v>-0.00025</v>
      </c>
      <c r="E34" s="113" t="n">
        <v>-1</v>
      </c>
      <c r="F34" s="113" t="n">
        <v>-0.00025</v>
      </c>
      <c r="G34" s="113">
        <f>IFERROR((D34+F34)/2, 0)</f>
        <v/>
      </c>
      <c r="H34" s="114">
        <f>IFERROR(IF(AVERAGE(C34,E34)&gt;$BA$7,AVERAGE(C34,E34),0), 0)</f>
        <v/>
      </c>
      <c r="I34" s="114">
        <f>IFERROR(IF(AND(D34=0,F34=0),0,IF(H34&gt;$BA$6,MAX(D34,F34),G34)), 0)</f>
        <v/>
      </c>
      <c r="J34" s="113">
        <f>IFERROR(IF(AND(D34&gt;0,F34&gt;0),ABS(D34-F34)/AVERAGE(D34,F34),0), 0)</f>
        <v/>
      </c>
      <c r="K34" s="113" t="n">
        <v>30098.6</v>
      </c>
      <c r="L34" s="113" t="n">
        <v>30098.6</v>
      </c>
      <c r="M34" s="115">
        <f>IFERROR((L34-K34)*1000, 0)</f>
        <v/>
      </c>
      <c r="N34" s="113" t="n">
        <v>0.8759999999999999</v>
      </c>
      <c r="O34" s="115">
        <f t="array" ref="O34">IF(
    AND($H34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($H34 / 1000) * O$10 * $BA$4 * 0.25
    ),
    0
)
+
IF(
    $N34 &lt; 0.875,
    MAX(0, MIN(($H34 / 1000) * O$10 * $BA$4, O$11 * 0.876) - (O$11 * $N34)) * 0.25,
    0
)</f>
        <v/>
      </c>
      <c r="P34" s="115">
        <f t="array" ref="P34">IF(
    AND($H34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($H34 / 1000) * P$10 * $BA$4 * 0.25
    ),
    0
)
+
IF(
    $N34 &lt; 0.875,
    MAX(0, MIN(($H34 / 1000) * P$10 * $BA$4, P$11 * 0.876) - (P$11 * $N34)) * 0.25,
    0
)</f>
        <v/>
      </c>
      <c r="Q34" s="115">
        <f t="array" ref="Q34">IF(
    AND($H34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($H34 / 1000) * Q$10 * $BA$4 * 0.25
    ),
    0
)
+
IF(
    $N34 &lt; 0.875,
    MAX(0, MIN(($H34 / 1000) * Q$10 * $BA$4, Q$11 * 0.876) - (Q$11 * $N34)) * 0.25,
    0
)</f>
        <v/>
      </c>
      <c r="R34" s="115">
        <f t="array" ref="R34">IF(
    AND($H34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($H34 / 1000) * R$10 * $BA$4 * 0.25
    ),
    0
)
+
IF(
    $N34 &lt; 0.875,
    MAX(0, MIN(($H34 / 1000) * R$10 * $BA$4, R$11 * 0.876) - (R$11 * $N34)) * 0.25,
    0
)</f>
        <v/>
      </c>
      <c r="S34" s="115">
        <f t="array" ref="S34">IF(
    AND($H34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($H34 / 1000) * S$10 * $BA$4 * 0.25
    ),
    0
)
+
IF(
    $N34 &lt; 0.875,
    MAX(0, MIN(($H34 / 1000) * S$10 * $BA$4, S$11 * 0.876) - (S$11 * $N34)) * 0.25,
    0
)</f>
        <v/>
      </c>
      <c r="T34" s="115">
        <f t="array" ref="T34">IF(
    AND($H34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($H34 / 1000) * T$10 * $BA$4 * 0.25
    ),
    0
)
+
IF(
    $N34 &lt; 0.875,
    MAX(0, MIN(($H34 / 1000) * T$10 * $BA$4, T$11 * 0.876) - (T$11 * $N34)) * 0.25,
    0
)</f>
        <v/>
      </c>
      <c r="U34" s="115">
        <f t="array" ref="U34">IF(
    AND($H34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($H34 / 1000) * U$10 * $BA$4 * 0.25
    ),
    0
)
+
IF(
    $N34 &lt; 0.875,
    MAX(0, MIN(($H34 / 1000) * U$10 * $BA$4, U$11 * 0.876) - (U$11 * $N34)) * 0.25,
    0
)</f>
        <v/>
      </c>
      <c r="V34" s="115">
        <f t="array" ref="V34">IF(
    AND($H34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($H34 / 1000) * V$10 * $BA$4 * 0.25
    ),
    0
)
+
IF(
    $N34 &lt; 0.875,
    MAX(0, MIN(($H34 / 1000) * V$10 * $BA$4, V$11 * 0.876) - (V$11 * $N34)) * 0.25,
    0
)</f>
        <v/>
      </c>
      <c r="W34" s="115">
        <f t="array" ref="W34">IF(
    AND($H34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($H34 / 1000) * W$10 * $BA$4 * 0.25
    ),
    0
)
+
IF(
    $N34 &lt; 0.875,
    MAX(0, MIN(($H34 / 1000) * W$10 * $BA$4, W$11 * 0.876) - (W$11 * $N34)) * 0.25,
    0
)</f>
        <v/>
      </c>
      <c r="X34" s="115">
        <f t="array" ref="X34">IF(
    AND($H34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($H34 / 1000) * X$10 * $BA$4 * 0.25
    ),
    0
)
+
IF(
    $N34 &lt; 0.875,
    MAX(0, MIN(($H34 / 1000) * X$10 * $BA$4, X$11 * 0.876) - (X$11 * $N34)) * 0.25,
    0
)</f>
        <v/>
      </c>
      <c r="Y34" s="115">
        <f t="array" ref="Y34">IF(
    AND($H34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($H34 / 1000) * Y$10 * $BA$4 * 0.25
    ),
    0
)
+
IF(
    $N34 &lt; 0.875,
    MAX(0, MIN(($H34 / 1000) * Y$10 * $BA$4, Y$11 * 0.876) - (Y$11 * $N34)) * 0.25,
    0
)</f>
        <v/>
      </c>
      <c r="Z34" s="115">
        <f t="array" ref="Z34">IF(
    AND($H34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($H34 / 1000) * Z$10 * $BA$4 * 0.25
    ),
    0
)
+
IF(
    $N34 &lt; 0.875,
    MAX(0, MIN(($H34 / 1000) * Z$10 * $BA$4, Z$11 * 0.876) - (Z$11 * $N34)) * 0.25,
    0
)</f>
        <v/>
      </c>
      <c r="AA34" s="116">
        <f>SUM(TabellaMar2026[[#This Row],[Colonna24]:[Colonna20]])</f>
        <v/>
      </c>
      <c r="AB34" s="117">
        <f>IF(
    AND($H34 &gt; $BA$7, Tabella01MarzoInverter[[#This Row],[Active power TX2-INV-1]] &lt;= 0, Tabella01MarzoInverter[[#This Row],[TX2 - Average Power]] &lt;= 0),
    MIN(($H34 / 1000) * AB$10 * $BA$4, AB$11 * 0.876) * 0.25,
    IF(
        AND($H34 &gt; $BA$7, Tabella01MarzoInverter[[#This Row],[Active power TX2-INV-1]] &lt;= 0),
        Tabella01MarzoInverter[[#This Row],[TX2 - Average Power]] * 0.25,
        0
    )
    +
    IF(
        $N34 &lt; 0.875,
        MAX(0, MIN(($H34 / 1000) * AB$10 * $BA$4, AB$11 * 0.876) - (AB$11 * $N34)) * 0.25,
        0
    )
)</f>
        <v/>
      </c>
      <c r="AC34" s="117">
        <f>IF(
    AND($H34 &gt; $BA$7, Tabella01MarzoInverter[[#This Row],[Active power TX2-INV-2]] &lt;= 0, Tabella01MarzoInverter[[#This Row],[TX2 - Max Power]] &lt;= 0),
    MIN(($H34 / 1000) * AC$10 * $BA$4, AC$11 * 0.876) * 0.25,
    IF(
        AND($H34 &gt; $BA$7, Tabella01MarzoInverter[[#This Row],[Active power TX2-INV-2]] &lt;= 0),
        Tabella01MarzoInverter[[#This Row],[TX2 - Max Power]] * 0.25,
        0
    )
    +
    IF(
        $N34 &lt; 0.875,
        MAX(0, MIN(($H34 / 1000) * AC$10 * $BA$4, AC$11 * 0.876) - (AC$11 * $N34)) * 0.25,
        0
    )
)</f>
        <v/>
      </c>
      <c r="AD34" s="117">
        <f>IF(
    AND($H34 &gt; $BA$7, Tabella01MarzoInverter[[#This Row],[Active power TX2-INV-3]] &lt;= 0, Tabella01MarzoInverter[[#This Row],[TX2 - Min Power]] &lt;= 0),
    MIN(($H34 / 1000) * AD$10 * $BA$4, AD$11 * 0.876) * 0.25,
    IF(
        AND($H34 &gt; $BA$7, Tabella01MarzoInverter[[#This Row],[Active power TX2-INV-3]] &lt;= 0),
        Tabella01MarzoInverter[[#This Row],[TX2 - Min Power]] * 0.25,
        0
    )
    +
    IF(
        $N34 &lt; 0.875,
        MAX(0, MIN(($H34 / 1000) * AD$10 * $BA$4, AD$11 * 0.876) - (AD$11 * $N34)) * 0.25,
        0
    )
)</f>
        <v/>
      </c>
      <c r="AE34" s="117">
        <f>IF(
    AND($H34 &gt; $BA$7, Tabella01MarzoInverter[[#This Row],[Active power TX2-INV-4]] &lt;= 0, Tabella01MarzoInverter[[#This Row],[Active power TX3-INV-1]] &lt;= 0),
    MIN(($H34 / 1000) * AE$10 * $BA$4, AE$11 * 0.876) * 0.25,
    IF(
        AND($H34 &gt; $BA$7, Tabella01MarzoInverter[[#This Row],[Active power TX2-INV-4]] &lt;= 0),
        Tabella01MarzoInverter[[#This Row],[Active power TX3-INV-1]] * 0.25,
        0
    )
    +
    IF(
        $N34 &lt; 0.875,
        MAX(0, MIN(($H34 / 1000) * AE$10 * $BA$4, AE$11 * 0.876) - (AE$11 * $N34)) * 0.25,
        0
    )
)</f>
        <v/>
      </c>
      <c r="AF34" s="117">
        <f>IF(
    AND($H34 &gt; $BA$7, Tabella01MarzoInverter[[#This Row],[Active power TX2-INV-5]] &lt;= 0, Tabella01MarzoInverter[[#This Row],[Active power TX3-INV-2]] &lt;= 0),
    MIN(($H34 / 1000) * AF$10 * $BA$4, AF$11 * 0.876) * 0.25,
    IF(
        AND($H34 &gt; $BA$7, Tabella01MarzoInverter[[#This Row],[Active power TX2-INV-5]] &lt;= 0),
        Tabella01MarzoInverter[[#This Row],[Active power TX3-INV-2]] * 0.25,
        0
    )
    +
    IF(
        $N34 &lt; 0.875,
        MAX(0, MIN(($H34 / 1000) * AF$10 * $BA$4, AF$11 * 0.876) - (AF$11 * $N34)) * 0.25,
        0
    )
)</f>
        <v/>
      </c>
      <c r="AG34" s="117">
        <f>IF(
    AND($H34 &gt; $BA$7, Tabella01MarzoInverter[[#This Row],[Active power TX2-INV-6]] &lt;= 0, Tabella01MarzoInverter[[#This Row],[Active power TX3-INV-3]] &lt;= 0),
    MIN(($H34 / 1000) * AG$10 * $BA$4, AG$11 * 0.876) * 0.25,
    IF(
        AND($H34 &gt; $BA$7, Tabella01MarzoInverter[[#This Row],[Active power TX2-INV-6]] &lt;= 0),
        Tabella01MarzoInverter[[#This Row],[Active power TX3-INV-3]] * 0.25,
        0
    )
    +
    IF(
        $N34 &lt; 0.875,
        MAX(0, MIN(($H34 / 1000) * AG$10 * $BA$4, AG$11 * 0.876) - (AG$11 * $N34)) * 0.25,
        0
    )
)</f>
        <v/>
      </c>
      <c r="AH34" s="117">
        <f>IF(
    AND($H34 &gt; $BA$7, Tabella01MarzoInverter[[#This Row],[Active power TX2-INV-7]] &lt;= 0, Tabella01MarzoInverter[[#This Row],[Active power TX3-INV-4]] &lt;= 0),
    MIN(($H34 / 1000) * AH$10 * $BA$4, AH$11 * 0.876) * 0.25,
    IF(
        AND($H34 &gt; $BA$7, Tabella01MarzoInverter[[#This Row],[Active power TX2-INV-7]] &lt;= 0),
        Tabella01MarzoInverter[[#This Row],[Active power TX3-INV-4]] * 0.25,
        0
    )
    +
    IF(
        $N34 &lt; 0.875,
        MAX(0, MIN(($H34 / 1000) * AH$10 * $BA$4, AH$11 * 0.876) - (AH$11 * $N34)) * 0.25,
        0
    )
)</f>
        <v/>
      </c>
      <c r="AI34" s="117">
        <f>IF(
    AND($H34 &gt; $BA$7, Tabella01MarzoInverter[[#This Row],[Active power TX2-INV-8]] &lt;= 0, Tabella01MarzoInverter[[#This Row],[Active power TX3-INV-5]] &lt;= 0),
    MIN(($H34 / 1000) * AI$10 * $BA$4, AI$11 * 0.876) * 0.25,
    IF(
        AND($H34 &gt; $BA$7, Tabella01MarzoInverter[[#This Row],[Active power TX2-INV-8]] &lt;= 0),
        Tabella01MarzoInverter[[#This Row],[Active power TX3-INV-5]] * 0.25,
        0
    )
    +
    IF(
        $N34 &lt; 0.875,
        MAX(0, MIN(($H34 / 1000) * AI$10 * $BA$4, AI$11 * 0.876) - (AI$11 * $N34)) * 0.25,
        0
    )
)</f>
        <v/>
      </c>
      <c r="AJ34" s="117">
        <f>IF(
    AND($H34 &gt; $BA$7, Tabella01MarzoInverter[[#This Row],[Active power TX2-INV-9]] &lt;= 0, Tabella01MarzoInverter[[#This Row],[Active power TX3-INV-6]] &lt;= 0),
    MIN(($H34 / 1000) * AJ$10 * $BA$4, AJ$11 * 0.876) * 0.25,
    IF(
        AND($H34 &gt; $BA$7, Tabella01MarzoInverter[[#This Row],[Active power TX2-INV-9]] &lt;= 0),
        Tabella01MarzoInverter[[#This Row],[Active power TX3-INV-6]] * 0.25,
        0
    )
    +
    IF(
        $N34 &lt; 0.875,
        MAX(0, MIN(($H34 / 1000) * AJ$10 * $BA$4, AJ$11 * 0.876) - (AJ$11 * $N34)) * 0.25,
        0
    )
)</f>
        <v/>
      </c>
      <c r="AK34" s="117">
        <f>IF(
    AND($H34 &gt; $BA$7, Tabella01MarzoInverter[[#This Row],[Active power TX2-INV-10]] &lt;= 0, Tabella01MarzoInverter[[#This Row],[Active power TX3-INV-7]] &lt;= 0),
    MIN(($H34 / 1000) * AK$10 * $BA$4, AK$11 * 0.876) * 0.25,
    IF(
        AND($H34 &gt; $BA$7, Tabella01MarzoInverter[[#This Row],[Active power TX2-INV-10]] &lt;= 0),
        Tabella01MarzoInverter[[#This Row],[Active power TX3-INV-7]] * 0.25,
        0
    )
    +
    IF(
        $N34 &lt; 0.875,
        MAX(0, MIN(($H34 / 1000) * AK$10 * $BA$4, AK$11 * 0.876) - (AK$11 * $N34)) * 0.25,
        0
    )
)</f>
        <v/>
      </c>
      <c r="AL34" s="117">
        <f>IF(
    AND($H34 &gt; $BA$7, Tabella01MarzoInverter[[#This Row],[Active power TX2-INV-11]] &lt;= 0, Tabella01MarzoInverter[[#This Row],[Active power TX3-INV-8]] &lt;= 0),
    MIN(($H34 / 1000) * AL$10 * $BA$4, AL$11 * 0.876) * 0.25,
    IF(
        AND($H34 &gt; $BA$7, Tabella01MarzoInverter[[#This Row],[Active power TX2-INV-11]] &lt;= 0),
        Tabella01MarzoInverter[[#This Row],[Active power TX3-INV-8]] * 0.25,
        0
    )
    +
    IF(
        $N34 &lt; 0.875,
        MAX(0, MIN(($H34 / 1000) * AL$10 * $BA$4, AL$11 * 0.876) - (AL$11 * $N34)) * 0.25,
        0
    )
)</f>
        <v/>
      </c>
      <c r="AM34" s="117">
        <f>IF(
    AND($H34 &gt; $BA$7, Tabella01MarzoInverter[[#This Row],[Active power TX2-INV-12]] &lt;= 0, Tabella01MarzoInverter[[#This Row],[Active power TX3-INV-9]] &lt;= 0),
    MIN(($H34 / 1000) * AM$10 * $BA$4, AM$11 * 0.876) * 0.25,
    IF(
        AND($H34 &gt; $BA$7, Tabella01MarzoInverter[[#This Row],[Active power TX2-INV-12]] &lt;= 0),
        Tabella01MarzoInverter[[#This Row],[Active power TX3-INV-9]] * 0.25,
        0
    )
    +
    IF(
        $N34 &lt; 0.875,
        MAX(0, MIN(($H34 / 1000) * AM$10 * $BA$4, AM$11 * 0.876) - (AM$11 * $N34)) * 0.25,
        0
    )
)</f>
        <v/>
      </c>
      <c r="AN34" s="118">
        <f>SUM(TabellaMar2026[[#This Row],[Colonna39]:[Colonna6]])</f>
        <v/>
      </c>
      <c r="AO34" s="117">
        <f t="array" ref="AO34">IF(
    AND($H34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($H34 / 1000) * AO$10 * $BA$4 * 0.25
    ),
    0
)
+
IF(
    $N34 &lt; 0.875,
    MAX(0, MIN(($H34 / 1000) * AO$10 * $BA$4, AO$11 * 0.876) - (AO$11 * $N34)) * 0.25,
    0
)</f>
        <v/>
      </c>
      <c r="AP34" s="117">
        <f t="array" ref="AP34">IF(
    AND($H34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($H34 / 1000) * AP$10 * $BA$4 * 0.25
    ),
    0
)
+
IF(
    $N34 &lt; 0.875,
    MAX(0, MIN(($H34 / 1000) * AP$10 * $BA$4, AP$11 * 0.876) - (AP$11 * $N34)) * 0.25,
    0
)</f>
        <v/>
      </c>
      <c r="AQ34" s="117">
        <f t="array" ref="AQ34">IF(
    AND($H34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($H34 / 1000) * AQ$10 * $BA$4 * 0.25
    ),
    0
)
+
IF(
    $N34 &lt; 0.875,
    MAX(0, MIN(($H34 / 1000) * AQ$10 * $BA$4, AQ$11 * 0.876) - (AQ$11 * $N34)) * 0.25,
    0
)</f>
        <v/>
      </c>
      <c r="AR34" s="117">
        <f t="array" ref="AR34">IF(
    AND($H34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($H34 / 1000) * AR$10 * $BA$4 * 0.25
    ),
    0
)
+
IF(
    $N34 &lt; 0.875,
    MAX(0, MIN(($H34 / 1000) * AR$10 * $BA$4, AR$11 * 0.876) - (AR$11 * $N34)) * 0.25,
    0
)</f>
        <v/>
      </c>
      <c r="AS34" s="117">
        <f t="array" ref="AS34">IF(
    AND($H34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($H34 / 1000) * AS$10 * $BA$4 * 0.25
    ),
    0
)
+
IF(
    $N34 &lt; 0.875,
    MAX(0, MIN(($H34 / 1000) * AS$10 * $BA$4, AS$11 * 0.876) - (AS$11 * $N34)) * 0.25,
    0
)</f>
        <v/>
      </c>
      <c r="AT34" s="117">
        <f t="array" ref="AT34">IF(
    AND($H34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($H34 / 1000) * AT$10 * $BA$4 * 0.25
    ),
    0
)
+
IF(
    $N34 &lt; 0.875,
    MAX(0, MIN(($H34 / 1000) * AT$10 * $BA$4, AT$11 * 0.876) - (AT$11 * $N34)) * 0.25,
    0
)</f>
        <v/>
      </c>
      <c r="AU34" s="117">
        <f t="array" ref="AU34">IF(
    AND($H34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($H34 / 1000) * AU$10 * $BA$4 * 0.25
    ),
    0
)
+
IF(
    $N34 &lt; 0.875,
    MAX(0, MIN(($H34 / 1000) * AU$10 * $BA$4, AU$11 * 0.876) - (AU$11 * $N34)) * 0.25,
    0
)</f>
        <v/>
      </c>
      <c r="AV34" s="117">
        <f t="array" ref="AV34">IF(
    AND($H34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($H34 / 1000) * AV$10 * $BA$4 * 0.25
    ),
    0
)
+
IF(
    $N34 &lt; 0.875,
    MAX(0, MIN(($H34 / 1000) * AV$10 * $BA$4, AV$11 * 0.876) - (AV$11 * $N34)) * 0.25,
    0
)</f>
        <v/>
      </c>
      <c r="AW34" s="117">
        <f t="array" ref="AW34">IF(
    AND($H34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($H34 / 1000) * AW$10 * $BA$4 * 0.25
    ),
    0
)
+
IF(
    $N34 &lt; 0.875,
    MAX(0, MIN(($H34 / 1000) * AW$10 * $BA$4, AW$11 * 0.876) - (AW$11 * $N34)) * 0.25,
    0
)</f>
        <v/>
      </c>
      <c r="AX34" s="117">
        <f t="array" ref="AX34">IF(
    AND($H34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($H34 / 1000) * AX$10 * $BA$4 * 0.25
    ),
    0
)
+
IF(
    $N34 &lt; 0.875,
    MAX(0, MIN(($H34 / 1000) * AX$10 * $BA$4, AX$11 * 0.876) - (AX$11 * $N34)) * 0.25,
    0
)</f>
        <v/>
      </c>
      <c r="AY34" s="117">
        <f t="array" ref="AY34">IF(
    AND($H34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($H34 / 1000) * AY$10 * $BA$4 * 0.25
    ),
    0
)
+
IF(
    $N34 &lt; 0.875,
    MAX(0, MIN(($H34 / 1000) * AY$10 * $BA$4, AY$11 * 0.876) - (AY$11 * $N34)) * 0.25,
    0
)</f>
        <v/>
      </c>
      <c r="AZ34" s="117">
        <f t="array" ref="AZ34">IF(
    AND($H34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($H34 / 1000) * AZ$10 * $BA$4 * 0.25
    ),
    0
)
+
IF(
    $N34 &lt; 0.875,
    MAX(0, MIN(($H34 / 1000) * AZ$10 * $BA$4, AZ$11 * 0.876) - (AZ$11 * $N34)) * 0.25,
    0
)</f>
        <v/>
      </c>
      <c r="BA34" s="119">
        <f>SUM(TabellaMar2026[[#This Row],[Colonna54]:[Colonna53]])</f>
        <v/>
      </c>
    </row>
    <row r="35">
      <c r="A35" s="112" t="n">
        <v>46143</v>
      </c>
      <c r="B35" t="inlineStr">
        <is>
          <t>05:00:00.000</t>
        </is>
      </c>
      <c r="C35" s="2" t="n">
        <v>-1.2</v>
      </c>
      <c r="D35" s="113" t="n">
        <v>-0.0003</v>
      </c>
      <c r="E35" s="113" t="n">
        <v>-1</v>
      </c>
      <c r="F35" s="113" t="n">
        <v>-0.00025</v>
      </c>
      <c r="G35" s="113">
        <f>IFERROR((D35+F35)/2, 0)</f>
        <v/>
      </c>
      <c r="H35" s="114">
        <f>IFERROR(IF(AVERAGE(C35,E35)&gt;$BA$7,AVERAGE(C35,E35),0), 0)</f>
        <v/>
      </c>
      <c r="I35" s="114">
        <f>IFERROR(IF(AND(D35=0,F35=0),0,IF(H35&gt;$BA$6,MAX(D35,F35),G35)), 0)</f>
        <v/>
      </c>
      <c r="J35" s="113">
        <f>IFERROR(IF(AND(D35&gt;0,F35&gt;0),ABS(D35-F35)/AVERAGE(D35,F35),0), 0)</f>
        <v/>
      </c>
      <c r="K35" s="113" t="n">
        <v>30098.6</v>
      </c>
      <c r="L35" s="113" t="n">
        <v>30098.6</v>
      </c>
      <c r="M35" s="115">
        <f>IFERROR((L35-K35)*1000, 0)</f>
        <v/>
      </c>
      <c r="N35" s="113" t="n">
        <v>0.8759999999999999</v>
      </c>
      <c r="O35" s="115">
        <f t="array" ref="O35">IF(
    AND($H35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($H35 / 1000) * O$10 * $BA$4 * 0.25
    ),
    0
)
+
IF(
    $N35 &lt; 0.875,
    MAX(0, MIN(($H35 / 1000) * O$10 * $BA$4, O$11 * 0.876) - (O$11 * $N35)) * 0.25,
    0
)</f>
        <v/>
      </c>
      <c r="P35" s="115">
        <f t="array" ref="P35">IF(
    AND($H35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($H35 / 1000) * P$10 * $BA$4 * 0.25
    ),
    0
)
+
IF(
    $N35 &lt; 0.875,
    MAX(0, MIN(($H35 / 1000) * P$10 * $BA$4, P$11 * 0.876) - (P$11 * $N35)) * 0.25,
    0
)</f>
        <v/>
      </c>
      <c r="Q35" s="115">
        <f t="array" ref="Q35">IF(
    AND($H35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($H35 / 1000) * Q$10 * $BA$4 * 0.25
    ),
    0
)
+
IF(
    $N35 &lt; 0.875,
    MAX(0, MIN(($H35 / 1000) * Q$10 * $BA$4, Q$11 * 0.876) - (Q$11 * $N35)) * 0.25,
    0
)</f>
        <v/>
      </c>
      <c r="R35" s="115">
        <f t="array" ref="R35">IF(
    AND($H35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($H35 / 1000) * R$10 * $BA$4 * 0.25
    ),
    0
)
+
IF(
    $N35 &lt; 0.875,
    MAX(0, MIN(($H35 / 1000) * R$10 * $BA$4, R$11 * 0.876) - (R$11 * $N35)) * 0.25,
    0
)</f>
        <v/>
      </c>
      <c r="S35" s="115">
        <f t="array" ref="S35">IF(
    AND($H35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($H35 / 1000) * S$10 * $BA$4 * 0.25
    ),
    0
)
+
IF(
    $N35 &lt; 0.875,
    MAX(0, MIN(($H35 / 1000) * S$10 * $BA$4, S$11 * 0.876) - (S$11 * $N35)) * 0.25,
    0
)</f>
        <v/>
      </c>
      <c r="T35" s="115">
        <f t="array" ref="T35">IF(
    AND($H35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($H35 / 1000) * T$10 * $BA$4 * 0.25
    ),
    0
)
+
IF(
    $N35 &lt; 0.875,
    MAX(0, MIN(($H35 / 1000) * T$10 * $BA$4, T$11 * 0.876) - (T$11 * $N35)) * 0.25,
    0
)</f>
        <v/>
      </c>
      <c r="U35" s="115">
        <f t="array" ref="U35">IF(
    AND($H35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($H35 / 1000) * U$10 * $BA$4 * 0.25
    ),
    0
)
+
IF(
    $N35 &lt; 0.875,
    MAX(0, MIN(($H35 / 1000) * U$10 * $BA$4, U$11 * 0.876) - (U$11 * $N35)) * 0.25,
    0
)</f>
        <v/>
      </c>
      <c r="V35" s="115">
        <f t="array" ref="V35">IF(
    AND($H35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($H35 / 1000) * V$10 * $BA$4 * 0.25
    ),
    0
)
+
IF(
    $N35 &lt; 0.875,
    MAX(0, MIN(($H35 / 1000) * V$10 * $BA$4, V$11 * 0.876) - (V$11 * $N35)) * 0.25,
    0
)</f>
        <v/>
      </c>
      <c r="W35" s="115">
        <f t="array" ref="W35">IF(
    AND($H35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($H35 / 1000) * W$10 * $BA$4 * 0.25
    ),
    0
)
+
IF(
    $N35 &lt; 0.875,
    MAX(0, MIN(($H35 / 1000) * W$10 * $BA$4, W$11 * 0.876) - (W$11 * $N35)) * 0.25,
    0
)</f>
        <v/>
      </c>
      <c r="X35" s="115">
        <f t="array" ref="X35">IF(
    AND($H35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($H35 / 1000) * X$10 * $BA$4 * 0.25
    ),
    0
)
+
IF(
    $N35 &lt; 0.875,
    MAX(0, MIN(($H35 / 1000) * X$10 * $BA$4, X$11 * 0.876) - (X$11 * $N35)) * 0.25,
    0
)</f>
        <v/>
      </c>
      <c r="Y35" s="115">
        <f t="array" ref="Y35">IF(
    AND($H35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($H35 / 1000) * Y$10 * $BA$4 * 0.25
    ),
    0
)
+
IF(
    $N35 &lt; 0.875,
    MAX(0, MIN(($H35 / 1000) * Y$10 * $BA$4, Y$11 * 0.876) - (Y$11 * $N35)) * 0.25,
    0
)</f>
        <v/>
      </c>
      <c r="Z35" s="115">
        <f t="array" ref="Z35">IF(
    AND($H35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($H35 / 1000) * Z$10 * $BA$4 * 0.25
    ),
    0
)
+
IF(
    $N35 &lt; 0.875,
    MAX(0, MIN(($H35 / 1000) * Z$10 * $BA$4, Z$11 * 0.876) - (Z$11 * $N35)) * 0.25,
    0
)</f>
        <v/>
      </c>
      <c r="AA35" s="116">
        <f>SUM(TabellaMar2026[[#This Row],[Colonna24]:[Colonna20]])</f>
        <v/>
      </c>
      <c r="AB35" s="117">
        <f>IF(
    AND($H35 &gt; $BA$7, Tabella01MarzoInverter[[#This Row],[Active power TX2-INV-1]] &lt;= 0, Tabella01MarzoInverter[[#This Row],[TX2 - Average Power]] &lt;= 0),
    MIN(($H35 / 1000) * AB$10 * $BA$4, AB$11 * 0.876) * 0.25,
    IF(
        AND($H35 &gt; $BA$7, Tabella01MarzoInverter[[#This Row],[Active power TX2-INV-1]] &lt;= 0),
        Tabella01MarzoInverter[[#This Row],[TX2 - Average Power]] * 0.25,
        0
    )
    +
    IF(
        $N35 &lt; 0.875,
        MAX(0, MIN(($H35 / 1000) * AB$10 * $BA$4, AB$11 * 0.876) - (AB$11 * $N35)) * 0.25,
        0
    )
)</f>
        <v/>
      </c>
      <c r="AC35" s="117">
        <f>IF(
    AND($H35 &gt; $BA$7, Tabella01MarzoInverter[[#This Row],[Active power TX2-INV-2]] &lt;= 0, Tabella01MarzoInverter[[#This Row],[TX2 - Max Power]] &lt;= 0),
    MIN(($H35 / 1000) * AC$10 * $BA$4, AC$11 * 0.876) * 0.25,
    IF(
        AND($H35 &gt; $BA$7, Tabella01MarzoInverter[[#This Row],[Active power TX2-INV-2]] &lt;= 0),
        Tabella01MarzoInverter[[#This Row],[TX2 - Max Power]] * 0.25,
        0
    )
    +
    IF(
        $N35 &lt; 0.875,
        MAX(0, MIN(($H35 / 1000) * AC$10 * $BA$4, AC$11 * 0.876) - (AC$11 * $N35)) * 0.25,
        0
    )
)</f>
        <v/>
      </c>
      <c r="AD35" s="117">
        <f>IF(
    AND($H35 &gt; $BA$7, Tabella01MarzoInverter[[#This Row],[Active power TX2-INV-3]] &lt;= 0, Tabella01MarzoInverter[[#This Row],[TX2 - Min Power]] &lt;= 0),
    MIN(($H35 / 1000) * AD$10 * $BA$4, AD$11 * 0.876) * 0.25,
    IF(
        AND($H35 &gt; $BA$7, Tabella01MarzoInverter[[#This Row],[Active power TX2-INV-3]] &lt;= 0),
        Tabella01MarzoInverter[[#This Row],[TX2 - Min Power]] * 0.25,
        0
    )
    +
    IF(
        $N35 &lt; 0.875,
        MAX(0, MIN(($H35 / 1000) * AD$10 * $BA$4, AD$11 * 0.876) - (AD$11 * $N35)) * 0.25,
        0
    )
)</f>
        <v/>
      </c>
      <c r="AE35" s="117">
        <f>IF(
    AND($H35 &gt; $BA$7, Tabella01MarzoInverter[[#This Row],[Active power TX2-INV-4]] &lt;= 0, Tabella01MarzoInverter[[#This Row],[Active power TX3-INV-1]] &lt;= 0),
    MIN(($H35 / 1000) * AE$10 * $BA$4, AE$11 * 0.876) * 0.25,
    IF(
        AND($H35 &gt; $BA$7, Tabella01MarzoInverter[[#This Row],[Active power TX2-INV-4]] &lt;= 0),
        Tabella01MarzoInverter[[#This Row],[Active power TX3-INV-1]] * 0.25,
        0
    )
    +
    IF(
        $N35 &lt; 0.875,
        MAX(0, MIN(($H35 / 1000) * AE$10 * $BA$4, AE$11 * 0.876) - (AE$11 * $N35)) * 0.25,
        0
    )
)</f>
        <v/>
      </c>
      <c r="AF35" s="117">
        <f>IF(
    AND($H35 &gt; $BA$7, Tabella01MarzoInverter[[#This Row],[Active power TX2-INV-5]] &lt;= 0, Tabella01MarzoInverter[[#This Row],[Active power TX3-INV-2]] &lt;= 0),
    MIN(($H35 / 1000) * AF$10 * $BA$4, AF$11 * 0.876) * 0.25,
    IF(
        AND($H35 &gt; $BA$7, Tabella01MarzoInverter[[#This Row],[Active power TX2-INV-5]] &lt;= 0),
        Tabella01MarzoInverter[[#This Row],[Active power TX3-INV-2]] * 0.25,
        0
    )
    +
    IF(
        $N35 &lt; 0.875,
        MAX(0, MIN(($H35 / 1000) * AF$10 * $BA$4, AF$11 * 0.876) - (AF$11 * $N35)) * 0.25,
        0
    )
)</f>
        <v/>
      </c>
      <c r="AG35" s="117">
        <f>IF(
    AND($H35 &gt; $BA$7, Tabella01MarzoInverter[[#This Row],[Active power TX2-INV-6]] &lt;= 0, Tabella01MarzoInverter[[#This Row],[Active power TX3-INV-3]] &lt;= 0),
    MIN(($H35 / 1000) * AG$10 * $BA$4, AG$11 * 0.876) * 0.25,
    IF(
        AND($H35 &gt; $BA$7, Tabella01MarzoInverter[[#This Row],[Active power TX2-INV-6]] &lt;= 0),
        Tabella01MarzoInverter[[#This Row],[Active power TX3-INV-3]] * 0.25,
        0
    )
    +
    IF(
        $N35 &lt; 0.875,
        MAX(0, MIN(($H35 / 1000) * AG$10 * $BA$4, AG$11 * 0.876) - (AG$11 * $N35)) * 0.25,
        0
    )
)</f>
        <v/>
      </c>
      <c r="AH35" s="117">
        <f>IF(
    AND($H35 &gt; $BA$7, Tabella01MarzoInverter[[#This Row],[Active power TX2-INV-7]] &lt;= 0, Tabella01MarzoInverter[[#This Row],[Active power TX3-INV-4]] &lt;= 0),
    MIN(($H35 / 1000) * AH$10 * $BA$4, AH$11 * 0.876) * 0.25,
    IF(
        AND($H35 &gt; $BA$7, Tabella01MarzoInverter[[#This Row],[Active power TX2-INV-7]] &lt;= 0),
        Tabella01MarzoInverter[[#This Row],[Active power TX3-INV-4]] * 0.25,
        0
    )
    +
    IF(
        $N35 &lt; 0.875,
        MAX(0, MIN(($H35 / 1000) * AH$10 * $BA$4, AH$11 * 0.876) - (AH$11 * $N35)) * 0.25,
        0
    )
)</f>
        <v/>
      </c>
      <c r="AI35" s="117">
        <f>IF(
    AND($H35 &gt; $BA$7, Tabella01MarzoInverter[[#This Row],[Active power TX2-INV-8]] &lt;= 0, Tabella01MarzoInverter[[#This Row],[Active power TX3-INV-5]] &lt;= 0),
    MIN(($H35 / 1000) * AI$10 * $BA$4, AI$11 * 0.876) * 0.25,
    IF(
        AND($H35 &gt; $BA$7, Tabella01MarzoInverter[[#This Row],[Active power TX2-INV-8]] &lt;= 0),
        Tabella01MarzoInverter[[#This Row],[Active power TX3-INV-5]] * 0.25,
        0
    )
    +
    IF(
        $N35 &lt; 0.875,
        MAX(0, MIN(($H35 / 1000) * AI$10 * $BA$4, AI$11 * 0.876) - (AI$11 * $N35)) * 0.25,
        0
    )
)</f>
        <v/>
      </c>
      <c r="AJ35" s="117">
        <f>IF(
    AND($H35 &gt; $BA$7, Tabella01MarzoInverter[[#This Row],[Active power TX2-INV-9]] &lt;= 0, Tabella01MarzoInverter[[#This Row],[Active power TX3-INV-6]] &lt;= 0),
    MIN(($H35 / 1000) * AJ$10 * $BA$4, AJ$11 * 0.876) * 0.25,
    IF(
        AND($H35 &gt; $BA$7, Tabella01MarzoInverter[[#This Row],[Active power TX2-INV-9]] &lt;= 0),
        Tabella01MarzoInverter[[#This Row],[Active power TX3-INV-6]] * 0.25,
        0
    )
    +
    IF(
        $N35 &lt; 0.875,
        MAX(0, MIN(($H35 / 1000) * AJ$10 * $BA$4, AJ$11 * 0.876) - (AJ$11 * $N35)) * 0.25,
        0
    )
)</f>
        <v/>
      </c>
      <c r="AK35" s="117">
        <f>IF(
    AND($H35 &gt; $BA$7, Tabella01MarzoInverter[[#This Row],[Active power TX2-INV-10]] &lt;= 0, Tabella01MarzoInverter[[#This Row],[Active power TX3-INV-7]] &lt;= 0),
    MIN(($H35 / 1000) * AK$10 * $BA$4, AK$11 * 0.876) * 0.25,
    IF(
        AND($H35 &gt; $BA$7, Tabella01MarzoInverter[[#This Row],[Active power TX2-INV-10]] &lt;= 0),
        Tabella01MarzoInverter[[#This Row],[Active power TX3-INV-7]] * 0.25,
        0
    )
    +
    IF(
        $N35 &lt; 0.875,
        MAX(0, MIN(($H35 / 1000) * AK$10 * $BA$4, AK$11 * 0.876) - (AK$11 * $N35)) * 0.25,
        0
    )
)</f>
        <v/>
      </c>
      <c r="AL35" s="117">
        <f>IF(
    AND($H35 &gt; $BA$7, Tabella01MarzoInverter[[#This Row],[Active power TX2-INV-11]] &lt;= 0, Tabella01MarzoInverter[[#This Row],[Active power TX3-INV-8]] &lt;= 0),
    MIN(($H35 / 1000) * AL$10 * $BA$4, AL$11 * 0.876) * 0.25,
    IF(
        AND($H35 &gt; $BA$7, Tabella01MarzoInverter[[#This Row],[Active power TX2-INV-11]] &lt;= 0),
        Tabella01MarzoInverter[[#This Row],[Active power TX3-INV-8]] * 0.25,
        0
    )
    +
    IF(
        $N35 &lt; 0.875,
        MAX(0, MIN(($H35 / 1000) * AL$10 * $BA$4, AL$11 * 0.876) - (AL$11 * $N35)) * 0.25,
        0
    )
)</f>
        <v/>
      </c>
      <c r="AM35" s="117">
        <f>IF(
    AND($H35 &gt; $BA$7, Tabella01MarzoInverter[[#This Row],[Active power TX2-INV-12]] &lt;= 0, Tabella01MarzoInverter[[#This Row],[Active power TX3-INV-9]] &lt;= 0),
    MIN(($H35 / 1000) * AM$10 * $BA$4, AM$11 * 0.876) * 0.25,
    IF(
        AND($H35 &gt; $BA$7, Tabella01MarzoInverter[[#This Row],[Active power TX2-INV-12]] &lt;= 0),
        Tabella01MarzoInverter[[#This Row],[Active power TX3-INV-9]] * 0.25,
        0
    )
    +
    IF(
        $N35 &lt; 0.875,
        MAX(0, MIN(($H35 / 1000) * AM$10 * $BA$4, AM$11 * 0.876) - (AM$11 * $N35)) * 0.25,
        0
    )
)</f>
        <v/>
      </c>
      <c r="AN35" s="118">
        <f>SUM(TabellaMar2026[[#This Row],[Colonna39]:[Colonna6]])</f>
        <v/>
      </c>
      <c r="AO35" s="117">
        <f t="array" ref="AO35">IF(
    AND($H35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($H35 / 1000) * AO$10 * $BA$4 * 0.25
    ),
    0
)
+
IF(
    $N35 &lt; 0.875,
    MAX(0, MIN(($H35 / 1000) * AO$10 * $BA$4, AO$11 * 0.876) - (AO$11 * $N35)) * 0.25,
    0
)</f>
        <v/>
      </c>
      <c r="AP35" s="117">
        <f t="array" ref="AP35">IF(
    AND($H35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($H35 / 1000) * AP$10 * $BA$4 * 0.25
    ),
    0
)
+
IF(
    $N35 &lt; 0.875,
    MAX(0, MIN(($H35 / 1000) * AP$10 * $BA$4, AP$11 * 0.876) - (AP$11 * $N35)) * 0.25,
    0
)</f>
        <v/>
      </c>
      <c r="AQ35" s="117">
        <f t="array" ref="AQ35">IF(
    AND($H35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($H35 / 1000) * AQ$10 * $BA$4 * 0.25
    ),
    0
)
+
IF(
    $N35 &lt; 0.875,
    MAX(0, MIN(($H35 / 1000) * AQ$10 * $BA$4, AQ$11 * 0.876) - (AQ$11 * $N35)) * 0.25,
    0
)</f>
        <v/>
      </c>
      <c r="AR35" s="117">
        <f t="array" ref="AR35">IF(
    AND($H35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($H35 / 1000) * AR$10 * $BA$4 * 0.25
    ),
    0
)
+
IF(
    $N35 &lt; 0.875,
    MAX(0, MIN(($H35 / 1000) * AR$10 * $BA$4, AR$11 * 0.876) - (AR$11 * $N35)) * 0.25,
    0
)</f>
        <v/>
      </c>
      <c r="AS35" s="117">
        <f t="array" ref="AS35">IF(
    AND($H35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($H35 / 1000) * AS$10 * $BA$4 * 0.25
    ),
    0
)
+
IF(
    $N35 &lt; 0.875,
    MAX(0, MIN(($H35 / 1000) * AS$10 * $BA$4, AS$11 * 0.876) - (AS$11 * $N35)) * 0.25,
    0
)</f>
        <v/>
      </c>
      <c r="AT35" s="117">
        <f t="array" ref="AT35">IF(
    AND($H35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($H35 / 1000) * AT$10 * $BA$4 * 0.25
    ),
    0
)
+
IF(
    $N35 &lt; 0.875,
    MAX(0, MIN(($H35 / 1000) * AT$10 * $BA$4, AT$11 * 0.876) - (AT$11 * $N35)) * 0.25,
    0
)</f>
        <v/>
      </c>
      <c r="AU35" s="117">
        <f t="array" ref="AU35">IF(
    AND($H35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($H35 / 1000) * AU$10 * $BA$4 * 0.25
    ),
    0
)
+
IF(
    $N35 &lt; 0.875,
    MAX(0, MIN(($H35 / 1000) * AU$10 * $BA$4, AU$11 * 0.876) - (AU$11 * $N35)) * 0.25,
    0
)</f>
        <v/>
      </c>
      <c r="AV35" s="117">
        <f t="array" ref="AV35">IF(
    AND($H35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($H35 / 1000) * AV$10 * $BA$4 * 0.25
    ),
    0
)
+
IF(
    $N35 &lt; 0.875,
    MAX(0, MIN(($H35 / 1000) * AV$10 * $BA$4, AV$11 * 0.876) - (AV$11 * $N35)) * 0.25,
    0
)</f>
        <v/>
      </c>
      <c r="AW35" s="117">
        <f t="array" ref="AW35">IF(
    AND($H35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($H35 / 1000) * AW$10 * $BA$4 * 0.25
    ),
    0
)
+
IF(
    $N35 &lt; 0.875,
    MAX(0, MIN(($H35 / 1000) * AW$10 * $BA$4, AW$11 * 0.876) - (AW$11 * $N35)) * 0.25,
    0
)</f>
        <v/>
      </c>
      <c r="AX35" s="117">
        <f t="array" ref="AX35">IF(
    AND($H35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($H35 / 1000) * AX$10 * $BA$4 * 0.25
    ),
    0
)
+
IF(
    $N35 &lt; 0.875,
    MAX(0, MIN(($H35 / 1000) * AX$10 * $BA$4, AX$11 * 0.876) - (AX$11 * $N35)) * 0.25,
    0
)</f>
        <v/>
      </c>
      <c r="AY35" s="117">
        <f t="array" ref="AY35">IF(
    AND($H35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($H35 / 1000) * AY$10 * $BA$4 * 0.25
    ),
    0
)
+
IF(
    $N35 &lt; 0.875,
    MAX(0, MIN(($H35 / 1000) * AY$10 * $BA$4, AY$11 * 0.876) - (AY$11 * $N35)) * 0.25,
    0
)</f>
        <v/>
      </c>
      <c r="AZ35" s="117">
        <f t="array" ref="AZ35">IF(
    AND($H35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($H35 / 1000) * AZ$10 * $BA$4 * 0.25
    ),
    0
)
+
IF(
    $N35 &lt; 0.875,
    MAX(0, MIN(($H35 / 1000) * AZ$10 * $BA$4, AZ$11 * 0.876) - (AZ$11 * $N35)) * 0.25,
    0
)</f>
        <v/>
      </c>
      <c r="BA35" s="119">
        <f>SUM(TabellaMar2026[[#This Row],[Colonna54]:[Colonna53]])</f>
        <v/>
      </c>
    </row>
    <row r="36">
      <c r="A36" s="112" t="n">
        <v>46143</v>
      </c>
      <c r="B36" t="inlineStr">
        <is>
          <t>05:15:00.000</t>
        </is>
      </c>
      <c r="C36" s="2" t="n">
        <v>-1.2</v>
      </c>
      <c r="D36" s="113" t="n">
        <v>-0.0003</v>
      </c>
      <c r="E36" s="113" t="n">
        <v>-1</v>
      </c>
      <c r="F36" s="113" t="n">
        <v>-0.00025</v>
      </c>
      <c r="G36" s="113">
        <f>IFERROR((D36+F36)/2, 0)</f>
        <v/>
      </c>
      <c r="H36" s="114">
        <f>IFERROR(IF(AVERAGE(C36,E36)&gt;$BA$7,AVERAGE(C36,E36),0), 0)</f>
        <v/>
      </c>
      <c r="I36" s="114">
        <f>IFERROR(IF(AND(D36=0,F36=0),0,IF(H36&gt;$BA$6,MAX(D36,F36),G36)), 0)</f>
        <v/>
      </c>
      <c r="J36" s="113">
        <f>IFERROR(IF(AND(D36&gt;0,F36&gt;0),ABS(D36-F36)/AVERAGE(D36,F36),0), 0)</f>
        <v/>
      </c>
      <c r="K36" s="113" t="n">
        <v>30098.6</v>
      </c>
      <c r="L36" s="113" t="n">
        <v>30098.6</v>
      </c>
      <c r="M36" s="115">
        <f>IFERROR((L36-K36)*1000, 0)</f>
        <v/>
      </c>
      <c r="N36" s="113" t="n">
        <v>0.8759999999999999</v>
      </c>
      <c r="O36" s="115">
        <f t="array" ref="O36">IF(
    AND($H36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($H36 / 1000) * O$10 * $BA$4 * 0.25
    ),
    0
)
+
IF(
    $N36 &lt; 0.875,
    MAX(0, MIN(($H36 / 1000) * O$10 * $BA$4, O$11 * 0.876) - (O$11 * $N36)) * 0.25,
    0
)</f>
        <v/>
      </c>
      <c r="P36" s="115">
        <f t="array" ref="P36">IF(
    AND($H36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($H36 / 1000) * P$10 * $BA$4 * 0.25
    ),
    0
)
+
IF(
    $N36 &lt; 0.875,
    MAX(0, MIN(($H36 / 1000) * P$10 * $BA$4, P$11 * 0.876) - (P$11 * $N36)) * 0.25,
    0
)</f>
        <v/>
      </c>
      <c r="Q36" s="115">
        <f t="array" ref="Q36">IF(
    AND($H36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($H36 / 1000) * Q$10 * $BA$4 * 0.25
    ),
    0
)
+
IF(
    $N36 &lt; 0.875,
    MAX(0, MIN(($H36 / 1000) * Q$10 * $BA$4, Q$11 * 0.876) - (Q$11 * $N36)) * 0.25,
    0
)</f>
        <v/>
      </c>
      <c r="R36" s="115">
        <f t="array" ref="R36">IF(
    AND($H36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($H36 / 1000) * R$10 * $BA$4 * 0.25
    ),
    0
)
+
IF(
    $N36 &lt; 0.875,
    MAX(0, MIN(($H36 / 1000) * R$10 * $BA$4, R$11 * 0.876) - (R$11 * $N36)) * 0.25,
    0
)</f>
        <v/>
      </c>
      <c r="S36" s="115">
        <f t="array" ref="S36">IF(
    AND($H36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($H36 / 1000) * S$10 * $BA$4 * 0.25
    ),
    0
)
+
IF(
    $N36 &lt; 0.875,
    MAX(0, MIN(($H36 / 1000) * S$10 * $BA$4, S$11 * 0.876) - (S$11 * $N36)) * 0.25,
    0
)</f>
        <v/>
      </c>
      <c r="T36" s="115">
        <f t="array" ref="T36">IF(
    AND($H36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($H36 / 1000) * T$10 * $BA$4 * 0.25
    ),
    0
)
+
IF(
    $N36 &lt; 0.875,
    MAX(0, MIN(($H36 / 1000) * T$10 * $BA$4, T$11 * 0.876) - (T$11 * $N36)) * 0.25,
    0
)</f>
        <v/>
      </c>
      <c r="U36" s="115">
        <f t="array" ref="U36">IF(
    AND($H36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($H36 / 1000) * U$10 * $BA$4 * 0.25
    ),
    0
)
+
IF(
    $N36 &lt; 0.875,
    MAX(0, MIN(($H36 / 1000) * U$10 * $BA$4, U$11 * 0.876) - (U$11 * $N36)) * 0.25,
    0
)</f>
        <v/>
      </c>
      <c r="V36" s="115">
        <f t="array" ref="V36">IF(
    AND($H36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($H36 / 1000) * V$10 * $BA$4 * 0.25
    ),
    0
)
+
IF(
    $N36 &lt; 0.875,
    MAX(0, MIN(($H36 / 1000) * V$10 * $BA$4, V$11 * 0.876) - (V$11 * $N36)) * 0.25,
    0
)</f>
        <v/>
      </c>
      <c r="W36" s="115">
        <f t="array" ref="W36">IF(
    AND($H36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($H36 / 1000) * W$10 * $BA$4 * 0.25
    ),
    0
)
+
IF(
    $N36 &lt; 0.875,
    MAX(0, MIN(($H36 / 1000) * W$10 * $BA$4, W$11 * 0.876) - (W$11 * $N36)) * 0.25,
    0
)</f>
        <v/>
      </c>
      <c r="X36" s="115">
        <f t="array" ref="X36">IF(
    AND($H36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($H36 / 1000) * X$10 * $BA$4 * 0.25
    ),
    0
)
+
IF(
    $N36 &lt; 0.875,
    MAX(0, MIN(($H36 / 1000) * X$10 * $BA$4, X$11 * 0.876) - (X$11 * $N36)) * 0.25,
    0
)</f>
        <v/>
      </c>
      <c r="Y36" s="115">
        <f t="array" ref="Y36">IF(
    AND($H36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($H36 / 1000) * Y$10 * $BA$4 * 0.25
    ),
    0
)
+
IF(
    $N36 &lt; 0.875,
    MAX(0, MIN(($H36 / 1000) * Y$10 * $BA$4, Y$11 * 0.876) - (Y$11 * $N36)) * 0.25,
    0
)</f>
        <v/>
      </c>
      <c r="Z36" s="115">
        <f t="array" ref="Z36">IF(
    AND($H36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($H36 / 1000) * Z$10 * $BA$4 * 0.25
    ),
    0
)
+
IF(
    $N36 &lt; 0.875,
    MAX(0, MIN(($H36 / 1000) * Z$10 * $BA$4, Z$11 * 0.876) - (Z$11 * $N36)) * 0.25,
    0
)</f>
        <v/>
      </c>
      <c r="AA36" s="116">
        <f>SUM(TabellaMar2026[[#This Row],[Colonna24]:[Colonna20]])</f>
        <v/>
      </c>
      <c r="AB36" s="117">
        <f>IF(
    AND($H36 &gt; $BA$7, Tabella01MarzoInverter[[#This Row],[Active power TX2-INV-1]] &lt;= 0, Tabella01MarzoInverter[[#This Row],[TX2 - Average Power]] &lt;= 0),
    MIN(($H36 / 1000) * AB$10 * $BA$4, AB$11 * 0.876) * 0.25,
    IF(
        AND($H36 &gt; $BA$7, Tabella01MarzoInverter[[#This Row],[Active power TX2-INV-1]] &lt;= 0),
        Tabella01MarzoInverter[[#This Row],[TX2 - Average Power]] * 0.25,
        0
    )
    +
    IF(
        $N36 &lt; 0.875,
        MAX(0, MIN(($H36 / 1000) * AB$10 * $BA$4, AB$11 * 0.876) - (AB$11 * $N36)) * 0.25,
        0
    )
)</f>
        <v/>
      </c>
      <c r="AC36" s="117">
        <f>IF(
    AND($H36 &gt; $BA$7, Tabella01MarzoInverter[[#This Row],[Active power TX2-INV-2]] &lt;= 0, Tabella01MarzoInverter[[#This Row],[TX2 - Max Power]] &lt;= 0),
    MIN(($H36 / 1000) * AC$10 * $BA$4, AC$11 * 0.876) * 0.25,
    IF(
        AND($H36 &gt; $BA$7, Tabella01MarzoInverter[[#This Row],[Active power TX2-INV-2]] &lt;= 0),
        Tabella01MarzoInverter[[#This Row],[TX2 - Max Power]] * 0.25,
        0
    )
    +
    IF(
        $N36 &lt; 0.875,
        MAX(0, MIN(($H36 / 1000) * AC$10 * $BA$4, AC$11 * 0.876) - (AC$11 * $N36)) * 0.25,
        0
    )
)</f>
        <v/>
      </c>
      <c r="AD36" s="117">
        <f>IF(
    AND($H36 &gt; $BA$7, Tabella01MarzoInverter[[#This Row],[Active power TX2-INV-3]] &lt;= 0, Tabella01MarzoInverter[[#This Row],[TX2 - Min Power]] &lt;= 0),
    MIN(($H36 / 1000) * AD$10 * $BA$4, AD$11 * 0.876) * 0.25,
    IF(
        AND($H36 &gt; $BA$7, Tabella01MarzoInverter[[#This Row],[Active power TX2-INV-3]] &lt;= 0),
        Tabella01MarzoInverter[[#This Row],[TX2 - Min Power]] * 0.25,
        0
    )
    +
    IF(
        $N36 &lt; 0.875,
        MAX(0, MIN(($H36 / 1000) * AD$10 * $BA$4, AD$11 * 0.876) - (AD$11 * $N36)) * 0.25,
        0
    )
)</f>
        <v/>
      </c>
      <c r="AE36" s="117">
        <f>IF(
    AND($H36 &gt; $BA$7, Tabella01MarzoInverter[[#This Row],[Active power TX2-INV-4]] &lt;= 0, Tabella01MarzoInverter[[#This Row],[Active power TX3-INV-1]] &lt;= 0),
    MIN(($H36 / 1000) * AE$10 * $BA$4, AE$11 * 0.876) * 0.25,
    IF(
        AND($H36 &gt; $BA$7, Tabella01MarzoInverter[[#This Row],[Active power TX2-INV-4]] &lt;= 0),
        Tabella01MarzoInverter[[#This Row],[Active power TX3-INV-1]] * 0.25,
        0
    )
    +
    IF(
        $N36 &lt; 0.875,
        MAX(0, MIN(($H36 / 1000) * AE$10 * $BA$4, AE$11 * 0.876) - (AE$11 * $N36)) * 0.25,
        0
    )
)</f>
        <v/>
      </c>
      <c r="AF36" s="117">
        <f>IF(
    AND($H36 &gt; $BA$7, Tabella01MarzoInverter[[#This Row],[Active power TX2-INV-5]] &lt;= 0, Tabella01MarzoInverter[[#This Row],[Active power TX3-INV-2]] &lt;= 0),
    MIN(($H36 / 1000) * AF$10 * $BA$4, AF$11 * 0.876) * 0.25,
    IF(
        AND($H36 &gt; $BA$7, Tabella01MarzoInverter[[#This Row],[Active power TX2-INV-5]] &lt;= 0),
        Tabella01MarzoInverter[[#This Row],[Active power TX3-INV-2]] * 0.25,
        0
    )
    +
    IF(
        $N36 &lt; 0.875,
        MAX(0, MIN(($H36 / 1000) * AF$10 * $BA$4, AF$11 * 0.876) - (AF$11 * $N36)) * 0.25,
        0
    )
)</f>
        <v/>
      </c>
      <c r="AG36" s="117">
        <f>IF(
    AND($H36 &gt; $BA$7, Tabella01MarzoInverter[[#This Row],[Active power TX2-INV-6]] &lt;= 0, Tabella01MarzoInverter[[#This Row],[Active power TX3-INV-3]] &lt;= 0),
    MIN(($H36 / 1000) * AG$10 * $BA$4, AG$11 * 0.876) * 0.25,
    IF(
        AND($H36 &gt; $BA$7, Tabella01MarzoInverter[[#This Row],[Active power TX2-INV-6]] &lt;= 0),
        Tabella01MarzoInverter[[#This Row],[Active power TX3-INV-3]] * 0.25,
        0
    )
    +
    IF(
        $N36 &lt; 0.875,
        MAX(0, MIN(($H36 / 1000) * AG$10 * $BA$4, AG$11 * 0.876) - (AG$11 * $N36)) * 0.25,
        0
    )
)</f>
        <v/>
      </c>
      <c r="AH36" s="117">
        <f>IF(
    AND($H36 &gt; $BA$7, Tabella01MarzoInverter[[#This Row],[Active power TX2-INV-7]] &lt;= 0, Tabella01MarzoInverter[[#This Row],[Active power TX3-INV-4]] &lt;= 0),
    MIN(($H36 / 1000) * AH$10 * $BA$4, AH$11 * 0.876) * 0.25,
    IF(
        AND($H36 &gt; $BA$7, Tabella01MarzoInverter[[#This Row],[Active power TX2-INV-7]] &lt;= 0),
        Tabella01MarzoInverter[[#This Row],[Active power TX3-INV-4]] * 0.25,
        0
    )
    +
    IF(
        $N36 &lt; 0.875,
        MAX(0, MIN(($H36 / 1000) * AH$10 * $BA$4, AH$11 * 0.876) - (AH$11 * $N36)) * 0.25,
        0
    )
)</f>
        <v/>
      </c>
      <c r="AI36" s="117">
        <f>IF(
    AND($H36 &gt; $BA$7, Tabella01MarzoInverter[[#This Row],[Active power TX2-INV-8]] &lt;= 0, Tabella01MarzoInverter[[#This Row],[Active power TX3-INV-5]] &lt;= 0),
    MIN(($H36 / 1000) * AI$10 * $BA$4, AI$11 * 0.876) * 0.25,
    IF(
        AND($H36 &gt; $BA$7, Tabella01MarzoInverter[[#This Row],[Active power TX2-INV-8]] &lt;= 0),
        Tabella01MarzoInverter[[#This Row],[Active power TX3-INV-5]] * 0.25,
        0
    )
    +
    IF(
        $N36 &lt; 0.875,
        MAX(0, MIN(($H36 / 1000) * AI$10 * $BA$4, AI$11 * 0.876) - (AI$11 * $N36)) * 0.25,
        0
    )
)</f>
        <v/>
      </c>
      <c r="AJ36" s="117">
        <f>IF(
    AND($H36 &gt; $BA$7, Tabella01MarzoInverter[[#This Row],[Active power TX2-INV-9]] &lt;= 0, Tabella01MarzoInverter[[#This Row],[Active power TX3-INV-6]] &lt;= 0),
    MIN(($H36 / 1000) * AJ$10 * $BA$4, AJ$11 * 0.876) * 0.25,
    IF(
        AND($H36 &gt; $BA$7, Tabella01MarzoInverter[[#This Row],[Active power TX2-INV-9]] &lt;= 0),
        Tabella01MarzoInverter[[#This Row],[Active power TX3-INV-6]] * 0.25,
        0
    )
    +
    IF(
        $N36 &lt; 0.875,
        MAX(0, MIN(($H36 / 1000) * AJ$10 * $BA$4, AJ$11 * 0.876) - (AJ$11 * $N36)) * 0.25,
        0
    )
)</f>
        <v/>
      </c>
      <c r="AK36" s="117">
        <f>IF(
    AND($H36 &gt; $BA$7, Tabella01MarzoInverter[[#This Row],[Active power TX2-INV-10]] &lt;= 0, Tabella01MarzoInverter[[#This Row],[Active power TX3-INV-7]] &lt;= 0),
    MIN(($H36 / 1000) * AK$10 * $BA$4, AK$11 * 0.876) * 0.25,
    IF(
        AND($H36 &gt; $BA$7, Tabella01MarzoInverter[[#This Row],[Active power TX2-INV-10]] &lt;= 0),
        Tabella01MarzoInverter[[#This Row],[Active power TX3-INV-7]] * 0.25,
        0
    )
    +
    IF(
        $N36 &lt; 0.875,
        MAX(0, MIN(($H36 / 1000) * AK$10 * $BA$4, AK$11 * 0.876) - (AK$11 * $N36)) * 0.25,
        0
    )
)</f>
        <v/>
      </c>
      <c r="AL36" s="117">
        <f>IF(
    AND($H36 &gt; $BA$7, Tabella01MarzoInverter[[#This Row],[Active power TX2-INV-11]] &lt;= 0, Tabella01MarzoInverter[[#This Row],[Active power TX3-INV-8]] &lt;= 0),
    MIN(($H36 / 1000) * AL$10 * $BA$4, AL$11 * 0.876) * 0.25,
    IF(
        AND($H36 &gt; $BA$7, Tabella01MarzoInverter[[#This Row],[Active power TX2-INV-11]] &lt;= 0),
        Tabella01MarzoInverter[[#This Row],[Active power TX3-INV-8]] * 0.25,
        0
    )
    +
    IF(
        $N36 &lt; 0.875,
        MAX(0, MIN(($H36 / 1000) * AL$10 * $BA$4, AL$11 * 0.876) - (AL$11 * $N36)) * 0.25,
        0
    )
)</f>
        <v/>
      </c>
      <c r="AM36" s="117">
        <f>IF(
    AND($H36 &gt; $BA$7, Tabella01MarzoInverter[[#This Row],[Active power TX2-INV-12]] &lt;= 0, Tabella01MarzoInverter[[#This Row],[Active power TX3-INV-9]] &lt;= 0),
    MIN(($H36 / 1000) * AM$10 * $BA$4, AM$11 * 0.876) * 0.25,
    IF(
        AND($H36 &gt; $BA$7, Tabella01MarzoInverter[[#This Row],[Active power TX2-INV-12]] &lt;= 0),
        Tabella01MarzoInverter[[#This Row],[Active power TX3-INV-9]] * 0.25,
        0
    )
    +
    IF(
        $N36 &lt; 0.875,
        MAX(0, MIN(($H36 / 1000) * AM$10 * $BA$4, AM$11 * 0.876) - (AM$11 * $N36)) * 0.25,
        0
    )
)</f>
        <v/>
      </c>
      <c r="AN36" s="118">
        <f>SUM(TabellaMar2026[[#This Row],[Colonna39]:[Colonna6]])</f>
        <v/>
      </c>
      <c r="AO36" s="117">
        <f t="array" ref="AO36">IF(
    AND($H36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($H36 / 1000) * AO$10 * $BA$4 * 0.25
    ),
    0
)
+
IF(
    $N36 &lt; 0.875,
    MAX(0, MIN(($H36 / 1000) * AO$10 * $BA$4, AO$11 * 0.876) - (AO$11 * $N36)) * 0.25,
    0
)</f>
        <v/>
      </c>
      <c r="AP36" s="117">
        <f t="array" ref="AP36">IF(
    AND($H36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($H36 / 1000) * AP$10 * $BA$4 * 0.25
    ),
    0
)
+
IF(
    $N36 &lt; 0.875,
    MAX(0, MIN(($H36 / 1000) * AP$10 * $BA$4, AP$11 * 0.876) - (AP$11 * $N36)) * 0.25,
    0
)</f>
        <v/>
      </c>
      <c r="AQ36" s="117">
        <f t="array" ref="AQ36">IF(
    AND($H36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($H36 / 1000) * AQ$10 * $BA$4 * 0.25
    ),
    0
)
+
IF(
    $N36 &lt; 0.875,
    MAX(0, MIN(($H36 / 1000) * AQ$10 * $BA$4, AQ$11 * 0.876) - (AQ$11 * $N36)) * 0.25,
    0
)</f>
        <v/>
      </c>
      <c r="AR36" s="117">
        <f t="array" ref="AR36">IF(
    AND($H36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($H36 / 1000) * AR$10 * $BA$4 * 0.25
    ),
    0
)
+
IF(
    $N36 &lt; 0.875,
    MAX(0, MIN(($H36 / 1000) * AR$10 * $BA$4, AR$11 * 0.876) - (AR$11 * $N36)) * 0.25,
    0
)</f>
        <v/>
      </c>
      <c r="AS36" s="117">
        <f t="array" ref="AS36">IF(
    AND($H36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($H36 / 1000) * AS$10 * $BA$4 * 0.25
    ),
    0
)
+
IF(
    $N36 &lt; 0.875,
    MAX(0, MIN(($H36 / 1000) * AS$10 * $BA$4, AS$11 * 0.876) - (AS$11 * $N36)) * 0.25,
    0
)</f>
        <v/>
      </c>
      <c r="AT36" s="117">
        <f t="array" ref="AT36">IF(
    AND($H36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($H36 / 1000) * AT$10 * $BA$4 * 0.25
    ),
    0
)
+
IF(
    $N36 &lt; 0.875,
    MAX(0, MIN(($H36 / 1000) * AT$10 * $BA$4, AT$11 * 0.876) - (AT$11 * $N36)) * 0.25,
    0
)</f>
        <v/>
      </c>
      <c r="AU36" s="117">
        <f t="array" ref="AU36">IF(
    AND($H36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($H36 / 1000) * AU$10 * $BA$4 * 0.25
    ),
    0
)
+
IF(
    $N36 &lt; 0.875,
    MAX(0, MIN(($H36 / 1000) * AU$10 * $BA$4, AU$11 * 0.876) - (AU$11 * $N36)) * 0.25,
    0
)</f>
        <v/>
      </c>
      <c r="AV36" s="117">
        <f t="array" ref="AV36">IF(
    AND($H36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($H36 / 1000) * AV$10 * $BA$4 * 0.25
    ),
    0
)
+
IF(
    $N36 &lt; 0.875,
    MAX(0, MIN(($H36 / 1000) * AV$10 * $BA$4, AV$11 * 0.876) - (AV$11 * $N36)) * 0.25,
    0
)</f>
        <v/>
      </c>
      <c r="AW36" s="117">
        <f t="array" ref="AW36">IF(
    AND($H36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($H36 / 1000) * AW$10 * $BA$4 * 0.25
    ),
    0
)
+
IF(
    $N36 &lt; 0.875,
    MAX(0, MIN(($H36 / 1000) * AW$10 * $BA$4, AW$11 * 0.876) - (AW$11 * $N36)) * 0.25,
    0
)</f>
        <v/>
      </c>
      <c r="AX36" s="117">
        <f t="array" ref="AX36">IF(
    AND($H36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($H36 / 1000) * AX$10 * $BA$4 * 0.25
    ),
    0
)
+
IF(
    $N36 &lt; 0.875,
    MAX(0, MIN(($H36 / 1000) * AX$10 * $BA$4, AX$11 * 0.876) - (AX$11 * $N36)) * 0.25,
    0
)</f>
        <v/>
      </c>
      <c r="AY36" s="117">
        <f t="array" ref="AY36">IF(
    AND($H36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($H36 / 1000) * AY$10 * $BA$4 * 0.25
    ),
    0
)
+
IF(
    $N36 &lt; 0.875,
    MAX(0, MIN(($H36 / 1000) * AY$10 * $BA$4, AY$11 * 0.876) - (AY$11 * $N36)) * 0.25,
    0
)</f>
        <v/>
      </c>
      <c r="AZ36" s="117">
        <f t="array" ref="AZ36">IF(
    AND($H36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($H36 / 1000) * AZ$10 * $BA$4 * 0.25
    ),
    0
)
+
IF(
    $N36 &lt; 0.875,
    MAX(0, MIN(($H36 / 1000) * AZ$10 * $BA$4, AZ$11 * 0.876) - (AZ$11 * $N36)) * 0.25,
    0
)</f>
        <v/>
      </c>
      <c r="BA36" s="119">
        <f>SUM(TabellaMar2026[[#This Row],[Colonna54]:[Colonna53]])</f>
        <v/>
      </c>
    </row>
    <row r="37">
      <c r="A37" s="112" t="n">
        <v>46143</v>
      </c>
      <c r="B37" t="inlineStr">
        <is>
          <t>05:30:00.000</t>
        </is>
      </c>
      <c r="C37" s="2" t="n">
        <v>-1</v>
      </c>
      <c r="D37" s="113" t="n">
        <v>-0.00025</v>
      </c>
      <c r="E37" s="113" t="n">
        <v>-1</v>
      </c>
      <c r="F37" s="113" t="n">
        <v>-0.00025</v>
      </c>
      <c r="G37" s="113">
        <f>IFERROR((D37+F37)/2, 0)</f>
        <v/>
      </c>
      <c r="H37" s="114">
        <f>IFERROR(IF(AVERAGE(C37,E37)&gt;$BA$7,AVERAGE(C37,E37),0), 0)</f>
        <v/>
      </c>
      <c r="I37" s="114">
        <f>IFERROR(IF(AND(D37=0,F37=0),0,IF(H37&gt;$BA$6,MAX(D37,F37),G37)), 0)</f>
        <v/>
      </c>
      <c r="J37" s="113">
        <f>IFERROR(IF(AND(D37&gt;0,F37&gt;0),ABS(D37-F37)/AVERAGE(D37,F37),0), 0)</f>
        <v/>
      </c>
      <c r="K37" s="113" t="n">
        <v>30098.6</v>
      </c>
      <c r="L37" s="113" t="n">
        <v>30098.6</v>
      </c>
      <c r="M37" s="115">
        <f>IFERROR((L37-K37)*1000, 0)</f>
        <v/>
      </c>
      <c r="N37" s="113" t="n">
        <v>0.8759999999999999</v>
      </c>
      <c r="O37" s="115">
        <f t="array" ref="O37">IF(
    AND($H37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($H37 / 1000) * O$10 * $BA$4 * 0.25
    ),
    0
)
+
IF(
    $N37 &lt; 0.875,
    MAX(0, MIN(($H37 / 1000) * O$10 * $BA$4, O$11 * 0.876) - (O$11 * $N37)) * 0.25,
    0
)</f>
        <v/>
      </c>
      <c r="P37" s="115">
        <f t="array" ref="P37">IF(
    AND($H37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($H37 / 1000) * P$10 * $BA$4 * 0.25
    ),
    0
)
+
IF(
    $N37 &lt; 0.875,
    MAX(0, MIN(($H37 / 1000) * P$10 * $BA$4, P$11 * 0.876) - (P$11 * $N37)) * 0.25,
    0
)</f>
        <v/>
      </c>
      <c r="Q37" s="115">
        <f t="array" ref="Q37">IF(
    AND($H37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($H37 / 1000) * Q$10 * $BA$4 * 0.25
    ),
    0
)
+
IF(
    $N37 &lt; 0.875,
    MAX(0, MIN(($H37 / 1000) * Q$10 * $BA$4, Q$11 * 0.876) - (Q$11 * $N37)) * 0.25,
    0
)</f>
        <v/>
      </c>
      <c r="R37" s="115">
        <f t="array" ref="R37">IF(
    AND($H37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($H37 / 1000) * R$10 * $BA$4 * 0.25
    ),
    0
)
+
IF(
    $N37 &lt; 0.875,
    MAX(0, MIN(($H37 / 1000) * R$10 * $BA$4, R$11 * 0.876) - (R$11 * $N37)) * 0.25,
    0
)</f>
        <v/>
      </c>
      <c r="S37" s="115">
        <f t="array" ref="S37">IF(
    AND($H37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($H37 / 1000) * S$10 * $BA$4 * 0.25
    ),
    0
)
+
IF(
    $N37 &lt; 0.875,
    MAX(0, MIN(($H37 / 1000) * S$10 * $BA$4, S$11 * 0.876) - (S$11 * $N37)) * 0.25,
    0
)</f>
        <v/>
      </c>
      <c r="T37" s="115">
        <f t="array" ref="T37">IF(
    AND($H37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($H37 / 1000) * T$10 * $BA$4 * 0.25
    ),
    0
)
+
IF(
    $N37 &lt; 0.875,
    MAX(0, MIN(($H37 / 1000) * T$10 * $BA$4, T$11 * 0.876) - (T$11 * $N37)) * 0.25,
    0
)</f>
        <v/>
      </c>
      <c r="U37" s="115">
        <f t="array" ref="U37">IF(
    AND($H37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($H37 / 1000) * U$10 * $BA$4 * 0.25
    ),
    0
)
+
IF(
    $N37 &lt; 0.875,
    MAX(0, MIN(($H37 / 1000) * U$10 * $BA$4, U$11 * 0.876) - (U$11 * $N37)) * 0.25,
    0
)</f>
        <v/>
      </c>
      <c r="V37" s="115">
        <f t="array" ref="V37">IF(
    AND($H37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($H37 / 1000) * V$10 * $BA$4 * 0.25
    ),
    0
)
+
IF(
    $N37 &lt; 0.875,
    MAX(0, MIN(($H37 / 1000) * V$10 * $BA$4, V$11 * 0.876) - (V$11 * $N37)) * 0.25,
    0
)</f>
        <v/>
      </c>
      <c r="W37" s="115">
        <f t="array" ref="W37">IF(
    AND($H37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($H37 / 1000) * W$10 * $BA$4 * 0.25
    ),
    0
)
+
IF(
    $N37 &lt; 0.875,
    MAX(0, MIN(($H37 / 1000) * W$10 * $BA$4, W$11 * 0.876) - (W$11 * $N37)) * 0.25,
    0
)</f>
        <v/>
      </c>
      <c r="X37" s="115">
        <f t="array" ref="X37">IF(
    AND($H37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($H37 / 1000) * X$10 * $BA$4 * 0.25
    ),
    0
)
+
IF(
    $N37 &lt; 0.875,
    MAX(0, MIN(($H37 / 1000) * X$10 * $BA$4, X$11 * 0.876) - (X$11 * $N37)) * 0.25,
    0
)</f>
        <v/>
      </c>
      <c r="Y37" s="115">
        <f t="array" ref="Y37">IF(
    AND($H37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($H37 / 1000) * Y$10 * $BA$4 * 0.25
    ),
    0
)
+
IF(
    $N37 &lt; 0.875,
    MAX(0, MIN(($H37 / 1000) * Y$10 * $BA$4, Y$11 * 0.876) - (Y$11 * $N37)) * 0.25,
    0
)</f>
        <v/>
      </c>
      <c r="Z37" s="115">
        <f t="array" ref="Z37">IF(
    AND($H37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($H37 / 1000) * Z$10 * $BA$4 * 0.25
    ),
    0
)
+
IF(
    $N37 &lt; 0.875,
    MAX(0, MIN(($H37 / 1000) * Z$10 * $BA$4, Z$11 * 0.876) - (Z$11 * $N37)) * 0.25,
    0
)</f>
        <v/>
      </c>
      <c r="AA37" s="116">
        <f>SUM(TabellaMar2026[[#This Row],[Colonna24]:[Colonna20]])</f>
        <v/>
      </c>
      <c r="AB37" s="117">
        <f>IF(
    AND($H37 &gt; $BA$7, Tabella01MarzoInverter[[#This Row],[Active power TX2-INV-1]] &lt;= 0, Tabella01MarzoInverter[[#This Row],[TX2 - Average Power]] &lt;= 0),
    MIN(($H37 / 1000) * AB$10 * $BA$4, AB$11 * 0.876) * 0.25,
    IF(
        AND($H37 &gt; $BA$7, Tabella01MarzoInverter[[#This Row],[Active power TX2-INV-1]] &lt;= 0),
        Tabella01MarzoInverter[[#This Row],[TX2 - Average Power]] * 0.25,
        0
    )
    +
    IF(
        $N37 &lt; 0.875,
        MAX(0, MIN(($H37 / 1000) * AB$10 * $BA$4, AB$11 * 0.876) - (AB$11 * $N37)) * 0.25,
        0
    )
)</f>
        <v/>
      </c>
      <c r="AC37" s="117">
        <f>IF(
    AND($H37 &gt; $BA$7, Tabella01MarzoInverter[[#This Row],[Active power TX2-INV-2]] &lt;= 0, Tabella01MarzoInverter[[#This Row],[TX2 - Max Power]] &lt;= 0),
    MIN(($H37 / 1000) * AC$10 * $BA$4, AC$11 * 0.876) * 0.25,
    IF(
        AND($H37 &gt; $BA$7, Tabella01MarzoInverter[[#This Row],[Active power TX2-INV-2]] &lt;= 0),
        Tabella01MarzoInverter[[#This Row],[TX2 - Max Power]] * 0.25,
        0
    )
    +
    IF(
        $N37 &lt; 0.875,
        MAX(0, MIN(($H37 / 1000) * AC$10 * $BA$4, AC$11 * 0.876) - (AC$11 * $N37)) * 0.25,
        0
    )
)</f>
        <v/>
      </c>
      <c r="AD37" s="117">
        <f>IF(
    AND($H37 &gt; $BA$7, Tabella01MarzoInverter[[#This Row],[Active power TX2-INV-3]] &lt;= 0, Tabella01MarzoInverter[[#This Row],[TX2 - Min Power]] &lt;= 0),
    MIN(($H37 / 1000) * AD$10 * $BA$4, AD$11 * 0.876) * 0.25,
    IF(
        AND($H37 &gt; $BA$7, Tabella01MarzoInverter[[#This Row],[Active power TX2-INV-3]] &lt;= 0),
        Tabella01MarzoInverter[[#This Row],[TX2 - Min Power]] * 0.25,
        0
    )
    +
    IF(
        $N37 &lt; 0.875,
        MAX(0, MIN(($H37 / 1000) * AD$10 * $BA$4, AD$11 * 0.876) - (AD$11 * $N37)) * 0.25,
        0
    )
)</f>
        <v/>
      </c>
      <c r="AE37" s="117">
        <f>IF(
    AND($H37 &gt; $BA$7, Tabella01MarzoInverter[[#This Row],[Active power TX2-INV-4]] &lt;= 0, Tabella01MarzoInverter[[#This Row],[Active power TX3-INV-1]] &lt;= 0),
    MIN(($H37 / 1000) * AE$10 * $BA$4, AE$11 * 0.876) * 0.25,
    IF(
        AND($H37 &gt; $BA$7, Tabella01MarzoInverter[[#This Row],[Active power TX2-INV-4]] &lt;= 0),
        Tabella01MarzoInverter[[#This Row],[Active power TX3-INV-1]] * 0.25,
        0
    )
    +
    IF(
        $N37 &lt; 0.875,
        MAX(0, MIN(($H37 / 1000) * AE$10 * $BA$4, AE$11 * 0.876) - (AE$11 * $N37)) * 0.25,
        0
    )
)</f>
        <v/>
      </c>
      <c r="AF37" s="117">
        <f>IF(
    AND($H37 &gt; $BA$7, Tabella01MarzoInverter[[#This Row],[Active power TX2-INV-5]] &lt;= 0, Tabella01MarzoInverter[[#This Row],[Active power TX3-INV-2]] &lt;= 0),
    MIN(($H37 / 1000) * AF$10 * $BA$4, AF$11 * 0.876) * 0.25,
    IF(
        AND($H37 &gt; $BA$7, Tabella01MarzoInverter[[#This Row],[Active power TX2-INV-5]] &lt;= 0),
        Tabella01MarzoInverter[[#This Row],[Active power TX3-INV-2]] * 0.25,
        0
    )
    +
    IF(
        $N37 &lt; 0.875,
        MAX(0, MIN(($H37 / 1000) * AF$10 * $BA$4, AF$11 * 0.876) - (AF$11 * $N37)) * 0.25,
        0
    )
)</f>
        <v/>
      </c>
      <c r="AG37" s="117">
        <f>IF(
    AND($H37 &gt; $BA$7, Tabella01MarzoInverter[[#This Row],[Active power TX2-INV-6]] &lt;= 0, Tabella01MarzoInverter[[#This Row],[Active power TX3-INV-3]] &lt;= 0),
    MIN(($H37 / 1000) * AG$10 * $BA$4, AG$11 * 0.876) * 0.25,
    IF(
        AND($H37 &gt; $BA$7, Tabella01MarzoInverter[[#This Row],[Active power TX2-INV-6]] &lt;= 0),
        Tabella01MarzoInverter[[#This Row],[Active power TX3-INV-3]] * 0.25,
        0
    )
    +
    IF(
        $N37 &lt; 0.875,
        MAX(0, MIN(($H37 / 1000) * AG$10 * $BA$4, AG$11 * 0.876) - (AG$11 * $N37)) * 0.25,
        0
    )
)</f>
        <v/>
      </c>
      <c r="AH37" s="117">
        <f>IF(
    AND($H37 &gt; $BA$7, Tabella01MarzoInverter[[#This Row],[Active power TX2-INV-7]] &lt;= 0, Tabella01MarzoInverter[[#This Row],[Active power TX3-INV-4]] &lt;= 0),
    MIN(($H37 / 1000) * AH$10 * $BA$4, AH$11 * 0.876) * 0.25,
    IF(
        AND($H37 &gt; $BA$7, Tabella01MarzoInverter[[#This Row],[Active power TX2-INV-7]] &lt;= 0),
        Tabella01MarzoInverter[[#This Row],[Active power TX3-INV-4]] * 0.25,
        0
    )
    +
    IF(
        $N37 &lt; 0.875,
        MAX(0, MIN(($H37 / 1000) * AH$10 * $BA$4, AH$11 * 0.876) - (AH$11 * $N37)) * 0.25,
        0
    )
)</f>
        <v/>
      </c>
      <c r="AI37" s="117">
        <f>IF(
    AND($H37 &gt; $BA$7, Tabella01MarzoInverter[[#This Row],[Active power TX2-INV-8]] &lt;= 0, Tabella01MarzoInverter[[#This Row],[Active power TX3-INV-5]] &lt;= 0),
    MIN(($H37 / 1000) * AI$10 * $BA$4, AI$11 * 0.876) * 0.25,
    IF(
        AND($H37 &gt; $BA$7, Tabella01MarzoInverter[[#This Row],[Active power TX2-INV-8]] &lt;= 0),
        Tabella01MarzoInverter[[#This Row],[Active power TX3-INV-5]] * 0.25,
        0
    )
    +
    IF(
        $N37 &lt; 0.875,
        MAX(0, MIN(($H37 / 1000) * AI$10 * $BA$4, AI$11 * 0.876) - (AI$11 * $N37)) * 0.25,
        0
    )
)</f>
        <v/>
      </c>
      <c r="AJ37" s="117">
        <f>IF(
    AND($H37 &gt; $BA$7, Tabella01MarzoInverter[[#This Row],[Active power TX2-INV-9]] &lt;= 0, Tabella01MarzoInverter[[#This Row],[Active power TX3-INV-6]] &lt;= 0),
    MIN(($H37 / 1000) * AJ$10 * $BA$4, AJ$11 * 0.876) * 0.25,
    IF(
        AND($H37 &gt; $BA$7, Tabella01MarzoInverter[[#This Row],[Active power TX2-INV-9]] &lt;= 0),
        Tabella01MarzoInverter[[#This Row],[Active power TX3-INV-6]] * 0.25,
        0
    )
    +
    IF(
        $N37 &lt; 0.875,
        MAX(0, MIN(($H37 / 1000) * AJ$10 * $BA$4, AJ$11 * 0.876) - (AJ$11 * $N37)) * 0.25,
        0
    )
)</f>
        <v/>
      </c>
      <c r="AK37" s="117">
        <f>IF(
    AND($H37 &gt; $BA$7, Tabella01MarzoInverter[[#This Row],[Active power TX2-INV-10]] &lt;= 0, Tabella01MarzoInverter[[#This Row],[Active power TX3-INV-7]] &lt;= 0),
    MIN(($H37 / 1000) * AK$10 * $BA$4, AK$11 * 0.876) * 0.25,
    IF(
        AND($H37 &gt; $BA$7, Tabella01MarzoInverter[[#This Row],[Active power TX2-INV-10]] &lt;= 0),
        Tabella01MarzoInverter[[#This Row],[Active power TX3-INV-7]] * 0.25,
        0
    )
    +
    IF(
        $N37 &lt; 0.875,
        MAX(0, MIN(($H37 / 1000) * AK$10 * $BA$4, AK$11 * 0.876) - (AK$11 * $N37)) * 0.25,
        0
    )
)</f>
        <v/>
      </c>
      <c r="AL37" s="117">
        <f>IF(
    AND($H37 &gt; $BA$7, Tabella01MarzoInverter[[#This Row],[Active power TX2-INV-11]] &lt;= 0, Tabella01MarzoInverter[[#This Row],[Active power TX3-INV-8]] &lt;= 0),
    MIN(($H37 / 1000) * AL$10 * $BA$4, AL$11 * 0.876) * 0.25,
    IF(
        AND($H37 &gt; $BA$7, Tabella01MarzoInverter[[#This Row],[Active power TX2-INV-11]] &lt;= 0),
        Tabella01MarzoInverter[[#This Row],[Active power TX3-INV-8]] * 0.25,
        0
    )
    +
    IF(
        $N37 &lt; 0.875,
        MAX(0, MIN(($H37 / 1000) * AL$10 * $BA$4, AL$11 * 0.876) - (AL$11 * $N37)) * 0.25,
        0
    )
)</f>
        <v/>
      </c>
      <c r="AM37" s="117">
        <f>IF(
    AND($H37 &gt; $BA$7, Tabella01MarzoInverter[[#This Row],[Active power TX2-INV-12]] &lt;= 0, Tabella01MarzoInverter[[#This Row],[Active power TX3-INV-9]] &lt;= 0),
    MIN(($H37 / 1000) * AM$10 * $BA$4, AM$11 * 0.876) * 0.25,
    IF(
        AND($H37 &gt; $BA$7, Tabella01MarzoInverter[[#This Row],[Active power TX2-INV-12]] &lt;= 0),
        Tabella01MarzoInverter[[#This Row],[Active power TX3-INV-9]] * 0.25,
        0
    )
    +
    IF(
        $N37 &lt; 0.875,
        MAX(0, MIN(($H37 / 1000) * AM$10 * $BA$4, AM$11 * 0.876) - (AM$11 * $N37)) * 0.25,
        0
    )
)</f>
        <v/>
      </c>
      <c r="AN37" s="118">
        <f>SUM(TabellaMar2026[[#This Row],[Colonna39]:[Colonna6]])</f>
        <v/>
      </c>
      <c r="AO37" s="117">
        <f t="array" ref="AO37">IF(
    AND($H37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($H37 / 1000) * AO$10 * $BA$4 * 0.25
    ),
    0
)
+
IF(
    $N37 &lt; 0.875,
    MAX(0, MIN(($H37 / 1000) * AO$10 * $BA$4, AO$11 * 0.876) - (AO$11 * $N37)) * 0.25,
    0
)</f>
        <v/>
      </c>
      <c r="AP37" s="117">
        <f t="array" ref="AP37">IF(
    AND($H37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($H37 / 1000) * AP$10 * $BA$4 * 0.25
    ),
    0
)
+
IF(
    $N37 &lt; 0.875,
    MAX(0, MIN(($H37 / 1000) * AP$10 * $BA$4, AP$11 * 0.876) - (AP$11 * $N37)) * 0.25,
    0
)</f>
        <v/>
      </c>
      <c r="AQ37" s="117">
        <f t="array" ref="AQ37">IF(
    AND($H37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($H37 / 1000) * AQ$10 * $BA$4 * 0.25
    ),
    0
)
+
IF(
    $N37 &lt; 0.875,
    MAX(0, MIN(($H37 / 1000) * AQ$10 * $BA$4, AQ$11 * 0.876) - (AQ$11 * $N37)) * 0.25,
    0
)</f>
        <v/>
      </c>
      <c r="AR37" s="117">
        <f t="array" ref="AR37">IF(
    AND($H37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($H37 / 1000) * AR$10 * $BA$4 * 0.25
    ),
    0
)
+
IF(
    $N37 &lt; 0.875,
    MAX(0, MIN(($H37 / 1000) * AR$10 * $BA$4, AR$11 * 0.876) - (AR$11 * $N37)) * 0.25,
    0
)</f>
        <v/>
      </c>
      <c r="AS37" s="117">
        <f t="array" ref="AS37">IF(
    AND($H37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($H37 / 1000) * AS$10 * $BA$4 * 0.25
    ),
    0
)
+
IF(
    $N37 &lt; 0.875,
    MAX(0, MIN(($H37 / 1000) * AS$10 * $BA$4, AS$11 * 0.876) - (AS$11 * $N37)) * 0.25,
    0
)</f>
        <v/>
      </c>
      <c r="AT37" s="117">
        <f t="array" ref="AT37">IF(
    AND($H37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($H37 / 1000) * AT$10 * $BA$4 * 0.25
    ),
    0
)
+
IF(
    $N37 &lt; 0.875,
    MAX(0, MIN(($H37 / 1000) * AT$10 * $BA$4, AT$11 * 0.876) - (AT$11 * $N37)) * 0.25,
    0
)</f>
        <v/>
      </c>
      <c r="AU37" s="117">
        <f t="array" ref="AU37">IF(
    AND($H37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($H37 / 1000) * AU$10 * $BA$4 * 0.25
    ),
    0
)
+
IF(
    $N37 &lt; 0.875,
    MAX(0, MIN(($H37 / 1000) * AU$10 * $BA$4, AU$11 * 0.876) - (AU$11 * $N37)) * 0.25,
    0
)</f>
        <v/>
      </c>
      <c r="AV37" s="117">
        <f t="array" ref="AV37">IF(
    AND($H37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($H37 / 1000) * AV$10 * $BA$4 * 0.25
    ),
    0
)
+
IF(
    $N37 &lt; 0.875,
    MAX(0, MIN(($H37 / 1000) * AV$10 * $BA$4, AV$11 * 0.876) - (AV$11 * $N37)) * 0.25,
    0
)</f>
        <v/>
      </c>
      <c r="AW37" s="117">
        <f t="array" ref="AW37">IF(
    AND($H37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($H37 / 1000) * AW$10 * $BA$4 * 0.25
    ),
    0
)
+
IF(
    $N37 &lt; 0.875,
    MAX(0, MIN(($H37 / 1000) * AW$10 * $BA$4, AW$11 * 0.876) - (AW$11 * $N37)) * 0.25,
    0
)</f>
        <v/>
      </c>
      <c r="AX37" s="117">
        <f t="array" ref="AX37">IF(
    AND($H37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($H37 / 1000) * AX$10 * $BA$4 * 0.25
    ),
    0
)
+
IF(
    $N37 &lt; 0.875,
    MAX(0, MIN(($H37 / 1000) * AX$10 * $BA$4, AX$11 * 0.876) - (AX$11 * $N37)) * 0.25,
    0
)</f>
        <v/>
      </c>
      <c r="AY37" s="117">
        <f t="array" ref="AY37">IF(
    AND($H37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($H37 / 1000) * AY$10 * $BA$4 * 0.25
    ),
    0
)
+
IF(
    $N37 &lt; 0.875,
    MAX(0, MIN(($H37 / 1000) * AY$10 * $BA$4, AY$11 * 0.876) - (AY$11 * $N37)) * 0.25,
    0
)</f>
        <v/>
      </c>
      <c r="AZ37" s="117">
        <f t="array" ref="AZ37">IF(
    AND($H37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($H37 / 1000) * AZ$10 * $BA$4 * 0.25
    ),
    0
)
+
IF(
    $N37 &lt; 0.875,
    MAX(0, MIN(($H37 / 1000) * AZ$10 * $BA$4, AZ$11 * 0.876) - (AZ$11 * $N37)) * 0.25,
    0
)</f>
        <v/>
      </c>
      <c r="BA37" s="119">
        <f>SUM(TabellaMar2026[[#This Row],[Colonna54]:[Colonna53]])</f>
        <v/>
      </c>
    </row>
    <row r="38">
      <c r="A38" s="112" t="n">
        <v>46143</v>
      </c>
      <c r="B38" t="inlineStr">
        <is>
          <t>05:45:00.000</t>
        </is>
      </c>
      <c r="C38" s="2" t="n">
        <v>-1</v>
      </c>
      <c r="D38" s="113" t="n">
        <v>-0.00025</v>
      </c>
      <c r="E38" s="113" t="n">
        <v>-1</v>
      </c>
      <c r="F38" s="113" t="n">
        <v>-0.00025</v>
      </c>
      <c r="G38" s="113">
        <f>IFERROR((D38+F38)/2, 0)</f>
        <v/>
      </c>
      <c r="H38" s="114">
        <f>IFERROR(IF(AVERAGE(C38,E38)&gt;$BA$7,AVERAGE(C38,E38),0), 0)</f>
        <v/>
      </c>
      <c r="I38" s="114">
        <f>IFERROR(IF(AND(D38=0,F38=0),0,IF(H38&gt;$BA$6,MAX(D38,F38),G38)), 0)</f>
        <v/>
      </c>
      <c r="J38" s="113">
        <f>IFERROR(IF(AND(D38&gt;0,F38&gt;0),ABS(D38-F38)/AVERAGE(D38,F38),0), 0)</f>
        <v/>
      </c>
      <c r="K38" s="113" t="n">
        <v>30098.6</v>
      </c>
      <c r="L38" s="113" t="n">
        <v>30098.6</v>
      </c>
      <c r="M38" s="115">
        <f>IFERROR((L38-K38)*1000, 0)</f>
        <v/>
      </c>
      <c r="N38" s="113" t="n">
        <v>0.8759999999999999</v>
      </c>
      <c r="O38" s="115">
        <f t="array" ref="O38">IF(
    AND($H38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($H38 / 1000) * O$10 * $BA$4 * 0.25
    ),
    0
)
+
IF(
    $N38 &lt; 0.875,
    MAX(0, MIN(($H38 / 1000) * O$10 * $BA$4, O$11 * 0.876) - (O$11 * $N38)) * 0.25,
    0
)</f>
        <v/>
      </c>
      <c r="P38" s="115">
        <f t="array" ref="P38">IF(
    AND($H38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($H38 / 1000) * P$10 * $BA$4 * 0.25
    ),
    0
)
+
IF(
    $N38 &lt; 0.875,
    MAX(0, MIN(($H38 / 1000) * P$10 * $BA$4, P$11 * 0.876) - (P$11 * $N38)) * 0.25,
    0
)</f>
        <v/>
      </c>
      <c r="Q38" s="115">
        <f t="array" ref="Q38">IF(
    AND($H38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($H38 / 1000) * Q$10 * $BA$4 * 0.25
    ),
    0
)
+
IF(
    $N38 &lt; 0.875,
    MAX(0, MIN(($H38 / 1000) * Q$10 * $BA$4, Q$11 * 0.876) - (Q$11 * $N38)) * 0.25,
    0
)</f>
        <v/>
      </c>
      <c r="R38" s="115">
        <f t="array" ref="R38">IF(
    AND($H38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($H38 / 1000) * R$10 * $BA$4 * 0.25
    ),
    0
)
+
IF(
    $N38 &lt; 0.875,
    MAX(0, MIN(($H38 / 1000) * R$10 * $BA$4, R$11 * 0.876) - (R$11 * $N38)) * 0.25,
    0
)</f>
        <v/>
      </c>
      <c r="S38" s="115">
        <f t="array" ref="S38">IF(
    AND($H38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($H38 / 1000) * S$10 * $BA$4 * 0.25
    ),
    0
)
+
IF(
    $N38 &lt; 0.875,
    MAX(0, MIN(($H38 / 1000) * S$10 * $BA$4, S$11 * 0.876) - (S$11 * $N38)) * 0.25,
    0
)</f>
        <v/>
      </c>
      <c r="T38" s="115">
        <f t="array" ref="T38">IF(
    AND($H38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($H38 / 1000) * T$10 * $BA$4 * 0.25
    ),
    0
)
+
IF(
    $N38 &lt; 0.875,
    MAX(0, MIN(($H38 / 1000) * T$10 * $BA$4, T$11 * 0.876) - (T$11 * $N38)) * 0.25,
    0
)</f>
        <v/>
      </c>
      <c r="U38" s="115">
        <f t="array" ref="U38">IF(
    AND($H38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($H38 / 1000) * U$10 * $BA$4 * 0.25
    ),
    0
)
+
IF(
    $N38 &lt; 0.875,
    MAX(0, MIN(($H38 / 1000) * U$10 * $BA$4, U$11 * 0.876) - (U$11 * $N38)) * 0.25,
    0
)</f>
        <v/>
      </c>
      <c r="V38" s="115">
        <f t="array" ref="V38">IF(
    AND($H38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($H38 / 1000) * V$10 * $BA$4 * 0.25
    ),
    0
)
+
IF(
    $N38 &lt; 0.875,
    MAX(0, MIN(($H38 / 1000) * V$10 * $BA$4, V$11 * 0.876) - (V$11 * $N38)) * 0.25,
    0
)</f>
        <v/>
      </c>
      <c r="W38" s="115">
        <f t="array" ref="W38">IF(
    AND($H38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($H38 / 1000) * W$10 * $BA$4 * 0.25
    ),
    0
)
+
IF(
    $N38 &lt; 0.875,
    MAX(0, MIN(($H38 / 1000) * W$10 * $BA$4, W$11 * 0.876) - (W$11 * $N38)) * 0.25,
    0
)</f>
        <v/>
      </c>
      <c r="X38" s="115">
        <f t="array" ref="X38">IF(
    AND($H38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($H38 / 1000) * X$10 * $BA$4 * 0.25
    ),
    0
)
+
IF(
    $N38 &lt; 0.875,
    MAX(0, MIN(($H38 / 1000) * X$10 * $BA$4, X$11 * 0.876) - (X$11 * $N38)) * 0.25,
    0
)</f>
        <v/>
      </c>
      <c r="Y38" s="115">
        <f t="array" ref="Y38">IF(
    AND($H38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($H38 / 1000) * Y$10 * $BA$4 * 0.25
    ),
    0
)
+
IF(
    $N38 &lt; 0.875,
    MAX(0, MIN(($H38 / 1000) * Y$10 * $BA$4, Y$11 * 0.876) - (Y$11 * $N38)) * 0.25,
    0
)</f>
        <v/>
      </c>
      <c r="Z38" s="115">
        <f t="array" ref="Z38">IF(
    AND($H38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($H38 / 1000) * Z$10 * $BA$4 * 0.25
    ),
    0
)
+
IF(
    $N38 &lt; 0.875,
    MAX(0, MIN(($H38 / 1000) * Z$10 * $BA$4, Z$11 * 0.876) - (Z$11 * $N38)) * 0.25,
    0
)</f>
        <v/>
      </c>
      <c r="AA38" s="116">
        <f>SUM(TabellaMar2026[[#This Row],[Colonna24]:[Colonna20]])</f>
        <v/>
      </c>
      <c r="AB38" s="117">
        <f>IF(
    AND($H38 &gt; $BA$7, Tabella01MarzoInverter[[#This Row],[Active power TX2-INV-1]] &lt;= 0, Tabella01MarzoInverter[[#This Row],[TX2 - Average Power]] &lt;= 0),
    MIN(($H38 / 1000) * AB$10 * $BA$4, AB$11 * 0.876) * 0.25,
    IF(
        AND($H38 &gt; $BA$7, Tabella01MarzoInverter[[#This Row],[Active power TX2-INV-1]] &lt;= 0),
        Tabella01MarzoInverter[[#This Row],[TX2 - Average Power]] * 0.25,
        0
    )
    +
    IF(
        $N38 &lt; 0.875,
        MAX(0, MIN(($H38 / 1000) * AB$10 * $BA$4, AB$11 * 0.876) - (AB$11 * $N38)) * 0.25,
        0
    )
)</f>
        <v/>
      </c>
      <c r="AC38" s="117">
        <f>IF(
    AND($H38 &gt; $BA$7, Tabella01MarzoInverter[[#This Row],[Active power TX2-INV-2]] &lt;= 0, Tabella01MarzoInverter[[#This Row],[TX2 - Max Power]] &lt;= 0),
    MIN(($H38 / 1000) * AC$10 * $BA$4, AC$11 * 0.876) * 0.25,
    IF(
        AND($H38 &gt; $BA$7, Tabella01MarzoInverter[[#This Row],[Active power TX2-INV-2]] &lt;= 0),
        Tabella01MarzoInverter[[#This Row],[TX2 - Max Power]] * 0.25,
        0
    )
    +
    IF(
        $N38 &lt; 0.875,
        MAX(0, MIN(($H38 / 1000) * AC$10 * $BA$4, AC$11 * 0.876) - (AC$11 * $N38)) * 0.25,
        0
    )
)</f>
        <v/>
      </c>
      <c r="AD38" s="117">
        <f>IF(
    AND($H38 &gt; $BA$7, Tabella01MarzoInverter[[#This Row],[Active power TX2-INV-3]] &lt;= 0, Tabella01MarzoInverter[[#This Row],[TX2 - Min Power]] &lt;= 0),
    MIN(($H38 / 1000) * AD$10 * $BA$4, AD$11 * 0.876) * 0.25,
    IF(
        AND($H38 &gt; $BA$7, Tabella01MarzoInverter[[#This Row],[Active power TX2-INV-3]] &lt;= 0),
        Tabella01MarzoInverter[[#This Row],[TX2 - Min Power]] * 0.25,
        0
    )
    +
    IF(
        $N38 &lt; 0.875,
        MAX(0, MIN(($H38 / 1000) * AD$10 * $BA$4, AD$11 * 0.876) - (AD$11 * $N38)) * 0.25,
        0
    )
)</f>
        <v/>
      </c>
      <c r="AE38" s="117">
        <f>IF(
    AND($H38 &gt; $BA$7, Tabella01MarzoInverter[[#This Row],[Active power TX2-INV-4]] &lt;= 0, Tabella01MarzoInverter[[#This Row],[Active power TX3-INV-1]] &lt;= 0),
    MIN(($H38 / 1000) * AE$10 * $BA$4, AE$11 * 0.876) * 0.25,
    IF(
        AND($H38 &gt; $BA$7, Tabella01MarzoInverter[[#This Row],[Active power TX2-INV-4]] &lt;= 0),
        Tabella01MarzoInverter[[#This Row],[Active power TX3-INV-1]] * 0.25,
        0
    )
    +
    IF(
        $N38 &lt; 0.875,
        MAX(0, MIN(($H38 / 1000) * AE$10 * $BA$4, AE$11 * 0.876) - (AE$11 * $N38)) * 0.25,
        0
    )
)</f>
        <v/>
      </c>
      <c r="AF38" s="117">
        <f>IF(
    AND($H38 &gt; $BA$7, Tabella01MarzoInverter[[#This Row],[Active power TX2-INV-5]] &lt;= 0, Tabella01MarzoInverter[[#This Row],[Active power TX3-INV-2]] &lt;= 0),
    MIN(($H38 / 1000) * AF$10 * $BA$4, AF$11 * 0.876) * 0.25,
    IF(
        AND($H38 &gt; $BA$7, Tabella01MarzoInverter[[#This Row],[Active power TX2-INV-5]] &lt;= 0),
        Tabella01MarzoInverter[[#This Row],[Active power TX3-INV-2]] * 0.25,
        0
    )
    +
    IF(
        $N38 &lt; 0.875,
        MAX(0, MIN(($H38 / 1000) * AF$10 * $BA$4, AF$11 * 0.876) - (AF$11 * $N38)) * 0.25,
        0
    )
)</f>
        <v/>
      </c>
      <c r="AG38" s="117">
        <f>IF(
    AND($H38 &gt; $BA$7, Tabella01MarzoInverter[[#This Row],[Active power TX2-INV-6]] &lt;= 0, Tabella01MarzoInverter[[#This Row],[Active power TX3-INV-3]] &lt;= 0),
    MIN(($H38 / 1000) * AG$10 * $BA$4, AG$11 * 0.876) * 0.25,
    IF(
        AND($H38 &gt; $BA$7, Tabella01MarzoInverter[[#This Row],[Active power TX2-INV-6]] &lt;= 0),
        Tabella01MarzoInverter[[#This Row],[Active power TX3-INV-3]] * 0.25,
        0
    )
    +
    IF(
        $N38 &lt; 0.875,
        MAX(0, MIN(($H38 / 1000) * AG$10 * $BA$4, AG$11 * 0.876) - (AG$11 * $N38)) * 0.25,
        0
    )
)</f>
        <v/>
      </c>
      <c r="AH38" s="117">
        <f>IF(
    AND($H38 &gt; $BA$7, Tabella01MarzoInverter[[#This Row],[Active power TX2-INV-7]] &lt;= 0, Tabella01MarzoInverter[[#This Row],[Active power TX3-INV-4]] &lt;= 0),
    MIN(($H38 / 1000) * AH$10 * $BA$4, AH$11 * 0.876) * 0.25,
    IF(
        AND($H38 &gt; $BA$7, Tabella01MarzoInverter[[#This Row],[Active power TX2-INV-7]] &lt;= 0),
        Tabella01MarzoInverter[[#This Row],[Active power TX3-INV-4]] * 0.25,
        0
    )
    +
    IF(
        $N38 &lt; 0.875,
        MAX(0, MIN(($H38 / 1000) * AH$10 * $BA$4, AH$11 * 0.876) - (AH$11 * $N38)) * 0.25,
        0
    )
)</f>
        <v/>
      </c>
      <c r="AI38" s="117">
        <f>IF(
    AND($H38 &gt; $BA$7, Tabella01MarzoInverter[[#This Row],[Active power TX2-INV-8]] &lt;= 0, Tabella01MarzoInverter[[#This Row],[Active power TX3-INV-5]] &lt;= 0),
    MIN(($H38 / 1000) * AI$10 * $BA$4, AI$11 * 0.876) * 0.25,
    IF(
        AND($H38 &gt; $BA$7, Tabella01MarzoInverter[[#This Row],[Active power TX2-INV-8]] &lt;= 0),
        Tabella01MarzoInverter[[#This Row],[Active power TX3-INV-5]] * 0.25,
        0
    )
    +
    IF(
        $N38 &lt; 0.875,
        MAX(0, MIN(($H38 / 1000) * AI$10 * $BA$4, AI$11 * 0.876) - (AI$11 * $N38)) * 0.25,
        0
    )
)</f>
        <v/>
      </c>
      <c r="AJ38" s="117">
        <f>IF(
    AND($H38 &gt; $BA$7, Tabella01MarzoInverter[[#This Row],[Active power TX2-INV-9]] &lt;= 0, Tabella01MarzoInverter[[#This Row],[Active power TX3-INV-6]] &lt;= 0),
    MIN(($H38 / 1000) * AJ$10 * $BA$4, AJ$11 * 0.876) * 0.25,
    IF(
        AND($H38 &gt; $BA$7, Tabella01MarzoInverter[[#This Row],[Active power TX2-INV-9]] &lt;= 0),
        Tabella01MarzoInverter[[#This Row],[Active power TX3-INV-6]] * 0.25,
        0
    )
    +
    IF(
        $N38 &lt; 0.875,
        MAX(0, MIN(($H38 / 1000) * AJ$10 * $BA$4, AJ$11 * 0.876) - (AJ$11 * $N38)) * 0.25,
        0
    )
)</f>
        <v/>
      </c>
      <c r="AK38" s="117">
        <f>IF(
    AND($H38 &gt; $BA$7, Tabella01MarzoInverter[[#This Row],[Active power TX2-INV-10]] &lt;= 0, Tabella01MarzoInverter[[#This Row],[Active power TX3-INV-7]] &lt;= 0),
    MIN(($H38 / 1000) * AK$10 * $BA$4, AK$11 * 0.876) * 0.25,
    IF(
        AND($H38 &gt; $BA$7, Tabella01MarzoInverter[[#This Row],[Active power TX2-INV-10]] &lt;= 0),
        Tabella01MarzoInverter[[#This Row],[Active power TX3-INV-7]] * 0.25,
        0
    )
    +
    IF(
        $N38 &lt; 0.875,
        MAX(0, MIN(($H38 / 1000) * AK$10 * $BA$4, AK$11 * 0.876) - (AK$11 * $N38)) * 0.25,
        0
    )
)</f>
        <v/>
      </c>
      <c r="AL38" s="117">
        <f>IF(
    AND($H38 &gt; $BA$7, Tabella01MarzoInverter[[#This Row],[Active power TX2-INV-11]] &lt;= 0, Tabella01MarzoInverter[[#This Row],[Active power TX3-INV-8]] &lt;= 0),
    MIN(($H38 / 1000) * AL$10 * $BA$4, AL$11 * 0.876) * 0.25,
    IF(
        AND($H38 &gt; $BA$7, Tabella01MarzoInverter[[#This Row],[Active power TX2-INV-11]] &lt;= 0),
        Tabella01MarzoInverter[[#This Row],[Active power TX3-INV-8]] * 0.25,
        0
    )
    +
    IF(
        $N38 &lt; 0.875,
        MAX(0, MIN(($H38 / 1000) * AL$10 * $BA$4, AL$11 * 0.876) - (AL$11 * $N38)) * 0.25,
        0
    )
)</f>
        <v/>
      </c>
      <c r="AM38" s="117">
        <f>IF(
    AND($H38 &gt; $BA$7, Tabella01MarzoInverter[[#This Row],[Active power TX2-INV-12]] &lt;= 0, Tabella01MarzoInverter[[#This Row],[Active power TX3-INV-9]] &lt;= 0),
    MIN(($H38 / 1000) * AM$10 * $BA$4, AM$11 * 0.876) * 0.25,
    IF(
        AND($H38 &gt; $BA$7, Tabella01MarzoInverter[[#This Row],[Active power TX2-INV-12]] &lt;= 0),
        Tabella01MarzoInverter[[#This Row],[Active power TX3-INV-9]] * 0.25,
        0
    )
    +
    IF(
        $N38 &lt; 0.875,
        MAX(0, MIN(($H38 / 1000) * AM$10 * $BA$4, AM$11 * 0.876) - (AM$11 * $N38)) * 0.25,
        0
    )
)</f>
        <v/>
      </c>
      <c r="AN38" s="118">
        <f>SUM(TabellaMar2026[[#This Row],[Colonna39]:[Colonna6]])</f>
        <v/>
      </c>
      <c r="AO38" s="117">
        <f t="array" ref="AO38">IF(
    AND($H38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($H38 / 1000) * AO$10 * $BA$4 * 0.25
    ),
    0
)
+
IF(
    $N38 &lt; 0.875,
    MAX(0, MIN(($H38 / 1000) * AO$10 * $BA$4, AO$11 * 0.876) - (AO$11 * $N38)) * 0.25,
    0
)</f>
        <v/>
      </c>
      <c r="AP38" s="117">
        <f t="array" ref="AP38">IF(
    AND($H38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($H38 / 1000) * AP$10 * $BA$4 * 0.25
    ),
    0
)
+
IF(
    $N38 &lt; 0.875,
    MAX(0, MIN(($H38 / 1000) * AP$10 * $BA$4, AP$11 * 0.876) - (AP$11 * $N38)) * 0.25,
    0
)</f>
        <v/>
      </c>
      <c r="AQ38" s="117">
        <f t="array" ref="AQ38">IF(
    AND($H38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($H38 / 1000) * AQ$10 * $BA$4 * 0.25
    ),
    0
)
+
IF(
    $N38 &lt; 0.875,
    MAX(0, MIN(($H38 / 1000) * AQ$10 * $BA$4, AQ$11 * 0.876) - (AQ$11 * $N38)) * 0.25,
    0
)</f>
        <v/>
      </c>
      <c r="AR38" s="117">
        <f t="array" ref="AR38">IF(
    AND($H38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($H38 / 1000) * AR$10 * $BA$4 * 0.25
    ),
    0
)
+
IF(
    $N38 &lt; 0.875,
    MAX(0, MIN(($H38 / 1000) * AR$10 * $BA$4, AR$11 * 0.876) - (AR$11 * $N38)) * 0.25,
    0
)</f>
        <v/>
      </c>
      <c r="AS38" s="117">
        <f t="array" ref="AS38">IF(
    AND($H38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($H38 / 1000) * AS$10 * $BA$4 * 0.25
    ),
    0
)
+
IF(
    $N38 &lt; 0.875,
    MAX(0, MIN(($H38 / 1000) * AS$10 * $BA$4, AS$11 * 0.876) - (AS$11 * $N38)) * 0.25,
    0
)</f>
        <v/>
      </c>
      <c r="AT38" s="117">
        <f t="array" ref="AT38">IF(
    AND($H38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($H38 / 1000) * AT$10 * $BA$4 * 0.25
    ),
    0
)
+
IF(
    $N38 &lt; 0.875,
    MAX(0, MIN(($H38 / 1000) * AT$10 * $BA$4, AT$11 * 0.876) - (AT$11 * $N38)) * 0.25,
    0
)</f>
        <v/>
      </c>
      <c r="AU38" s="117">
        <f t="array" ref="AU38">IF(
    AND($H38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($H38 / 1000) * AU$10 * $BA$4 * 0.25
    ),
    0
)
+
IF(
    $N38 &lt; 0.875,
    MAX(0, MIN(($H38 / 1000) * AU$10 * $BA$4, AU$11 * 0.876) - (AU$11 * $N38)) * 0.25,
    0
)</f>
        <v/>
      </c>
      <c r="AV38" s="117">
        <f t="array" ref="AV38">IF(
    AND($H38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($H38 / 1000) * AV$10 * $BA$4 * 0.25
    ),
    0
)
+
IF(
    $N38 &lt; 0.875,
    MAX(0, MIN(($H38 / 1000) * AV$10 * $BA$4, AV$11 * 0.876) - (AV$11 * $N38)) * 0.25,
    0
)</f>
        <v/>
      </c>
      <c r="AW38" s="117">
        <f t="array" ref="AW38">IF(
    AND($H38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($H38 / 1000) * AW$10 * $BA$4 * 0.25
    ),
    0
)
+
IF(
    $N38 &lt; 0.875,
    MAX(0, MIN(($H38 / 1000) * AW$10 * $BA$4, AW$11 * 0.876) - (AW$11 * $N38)) * 0.25,
    0
)</f>
        <v/>
      </c>
      <c r="AX38" s="117">
        <f t="array" ref="AX38">IF(
    AND($H38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($H38 / 1000) * AX$10 * $BA$4 * 0.25
    ),
    0
)
+
IF(
    $N38 &lt; 0.875,
    MAX(0, MIN(($H38 / 1000) * AX$10 * $BA$4, AX$11 * 0.876) - (AX$11 * $N38)) * 0.25,
    0
)</f>
        <v/>
      </c>
      <c r="AY38" s="117">
        <f t="array" ref="AY38">IF(
    AND($H38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($H38 / 1000) * AY$10 * $BA$4 * 0.25
    ),
    0
)
+
IF(
    $N38 &lt; 0.875,
    MAX(0, MIN(($H38 / 1000) * AY$10 * $BA$4, AY$11 * 0.876) - (AY$11 * $N38)) * 0.25,
    0
)</f>
        <v/>
      </c>
      <c r="AZ38" s="117">
        <f t="array" ref="AZ38">IF(
    AND($H38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($H38 / 1000) * AZ$10 * $BA$4 * 0.25
    ),
    0
)
+
IF(
    $N38 &lt; 0.875,
    MAX(0, MIN(($H38 / 1000) * AZ$10 * $BA$4, AZ$11 * 0.876) - (AZ$11 * $N38)) * 0.25,
    0
)</f>
        <v/>
      </c>
      <c r="BA38" s="119">
        <f>SUM(TabellaMar2026[[#This Row],[Colonna54]:[Colonna53]])</f>
        <v/>
      </c>
    </row>
    <row r="39">
      <c r="A39" s="112" t="n">
        <v>46143</v>
      </c>
      <c r="B39" t="inlineStr">
        <is>
          <t>06:00:00.000</t>
        </is>
      </c>
      <c r="C39" s="2" t="n">
        <v>-0.6</v>
      </c>
      <c r="D39" s="113" t="n">
        <v>-0.00015</v>
      </c>
      <c r="E39" s="113" t="n">
        <v>-0.7</v>
      </c>
      <c r="F39" s="113" t="n">
        <v>-0.000175</v>
      </c>
      <c r="G39" s="113">
        <f>IFERROR((D39+F39)/2, 0)</f>
        <v/>
      </c>
      <c r="H39" s="114">
        <f>IFERROR(IF(AVERAGE(C39,E39)&gt;$BA$7,AVERAGE(C39,E39),0), 0)</f>
        <v/>
      </c>
      <c r="I39" s="114">
        <f>IFERROR(IF(AND(D39=0,F39=0),0,IF(H39&gt;$BA$6,MAX(D39,F39),G39)), 0)</f>
        <v/>
      </c>
      <c r="J39" s="113">
        <f>IFERROR(IF(AND(D39&gt;0,F39&gt;0),ABS(D39-F39)/AVERAGE(D39,F39),0), 0)</f>
        <v/>
      </c>
      <c r="K39" s="113" t="n">
        <v>30098.6</v>
      </c>
      <c r="L39" s="113" t="n">
        <v>30098.6</v>
      </c>
      <c r="M39" s="115">
        <f>IFERROR((L39-K39)*1000, 0)</f>
        <v/>
      </c>
      <c r="N39" s="113" t="n">
        <v>0.8759999999999999</v>
      </c>
      <c r="O39" s="115">
        <f t="array" ref="O39">IF(
    AND($H39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($H39 / 1000) * O$10 * $BA$4 * 0.25
    ),
    0
)
+
IF(
    $N39 &lt; 0.875,
    MAX(0, MIN(($H39 / 1000) * O$10 * $BA$4, O$11 * 0.876) - (O$11 * $N39)) * 0.25,
    0
)</f>
        <v/>
      </c>
      <c r="P39" s="115">
        <f t="array" ref="P39">IF(
    AND($H39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($H39 / 1000) * P$10 * $BA$4 * 0.25
    ),
    0
)
+
IF(
    $N39 &lt; 0.875,
    MAX(0, MIN(($H39 / 1000) * P$10 * $BA$4, P$11 * 0.876) - (P$11 * $N39)) * 0.25,
    0
)</f>
        <v/>
      </c>
      <c r="Q39" s="115">
        <f t="array" ref="Q39">IF(
    AND($H39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($H39 / 1000) * Q$10 * $BA$4 * 0.25
    ),
    0
)
+
IF(
    $N39 &lt; 0.875,
    MAX(0, MIN(($H39 / 1000) * Q$10 * $BA$4, Q$11 * 0.876) - (Q$11 * $N39)) * 0.25,
    0
)</f>
        <v/>
      </c>
      <c r="R39" s="115">
        <f t="array" ref="R39">IF(
    AND($H39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($H39 / 1000) * R$10 * $BA$4 * 0.25
    ),
    0
)
+
IF(
    $N39 &lt; 0.875,
    MAX(0, MIN(($H39 / 1000) * R$10 * $BA$4, R$11 * 0.876) - (R$11 * $N39)) * 0.25,
    0
)</f>
        <v/>
      </c>
      <c r="S39" s="115">
        <f t="array" ref="S39">IF(
    AND($H39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($H39 / 1000) * S$10 * $BA$4 * 0.25
    ),
    0
)
+
IF(
    $N39 &lt; 0.875,
    MAX(0, MIN(($H39 / 1000) * S$10 * $BA$4, S$11 * 0.876) - (S$11 * $N39)) * 0.25,
    0
)</f>
        <v/>
      </c>
      <c r="T39" s="115">
        <f t="array" ref="T39">IF(
    AND($H39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($H39 / 1000) * T$10 * $BA$4 * 0.25
    ),
    0
)
+
IF(
    $N39 &lt; 0.875,
    MAX(0, MIN(($H39 / 1000) * T$10 * $BA$4, T$11 * 0.876) - (T$11 * $N39)) * 0.25,
    0
)</f>
        <v/>
      </c>
      <c r="U39" s="115">
        <f t="array" ref="U39">IF(
    AND($H39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($H39 / 1000) * U$10 * $BA$4 * 0.25
    ),
    0
)
+
IF(
    $N39 &lt; 0.875,
    MAX(0, MIN(($H39 / 1000) * U$10 * $BA$4, U$11 * 0.876) - (U$11 * $N39)) * 0.25,
    0
)</f>
        <v/>
      </c>
      <c r="V39" s="115">
        <f t="array" ref="V39">IF(
    AND($H39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($H39 / 1000) * V$10 * $BA$4 * 0.25
    ),
    0
)
+
IF(
    $N39 &lt; 0.875,
    MAX(0, MIN(($H39 / 1000) * V$10 * $BA$4, V$11 * 0.876) - (V$11 * $N39)) * 0.25,
    0
)</f>
        <v/>
      </c>
      <c r="W39" s="115">
        <f t="array" ref="W39">IF(
    AND($H39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($H39 / 1000) * W$10 * $BA$4 * 0.25
    ),
    0
)
+
IF(
    $N39 &lt; 0.875,
    MAX(0, MIN(($H39 / 1000) * W$10 * $BA$4, W$11 * 0.876) - (W$11 * $N39)) * 0.25,
    0
)</f>
        <v/>
      </c>
      <c r="X39" s="115">
        <f t="array" ref="X39">IF(
    AND($H39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($H39 / 1000) * X$10 * $BA$4 * 0.25
    ),
    0
)
+
IF(
    $N39 &lt; 0.875,
    MAX(0, MIN(($H39 / 1000) * X$10 * $BA$4, X$11 * 0.876) - (X$11 * $N39)) * 0.25,
    0
)</f>
        <v/>
      </c>
      <c r="Y39" s="115">
        <f t="array" ref="Y39">IF(
    AND($H39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($H39 / 1000) * Y$10 * $BA$4 * 0.25
    ),
    0
)
+
IF(
    $N39 &lt; 0.875,
    MAX(0, MIN(($H39 / 1000) * Y$10 * $BA$4, Y$11 * 0.876) - (Y$11 * $N39)) * 0.25,
    0
)</f>
        <v/>
      </c>
      <c r="Z39" s="115">
        <f t="array" ref="Z39">IF(
    AND($H39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($H39 / 1000) * Z$10 * $BA$4 * 0.25
    ),
    0
)
+
IF(
    $N39 &lt; 0.875,
    MAX(0, MIN(($H39 / 1000) * Z$10 * $BA$4, Z$11 * 0.876) - (Z$11 * $N39)) * 0.25,
    0
)</f>
        <v/>
      </c>
      <c r="AA39" s="116">
        <f>SUM(TabellaMar2026[[#This Row],[Colonna24]:[Colonna20]])</f>
        <v/>
      </c>
      <c r="AB39" s="117">
        <f>IF(
    AND($H39 &gt; $BA$7, Tabella01MarzoInverter[[#This Row],[Active power TX2-INV-1]] &lt;= 0, Tabella01MarzoInverter[[#This Row],[TX2 - Average Power]] &lt;= 0),
    MIN(($H39 / 1000) * AB$10 * $BA$4, AB$11 * 0.876) * 0.25,
    IF(
        AND($H39 &gt; $BA$7, Tabella01MarzoInverter[[#This Row],[Active power TX2-INV-1]] &lt;= 0),
        Tabella01MarzoInverter[[#This Row],[TX2 - Average Power]] * 0.25,
        0
    )
    +
    IF(
        $N39 &lt; 0.875,
        MAX(0, MIN(($H39 / 1000) * AB$10 * $BA$4, AB$11 * 0.876) - (AB$11 * $N39)) * 0.25,
        0
    )
)</f>
        <v/>
      </c>
      <c r="AC39" s="117">
        <f>IF(
    AND($H39 &gt; $BA$7, Tabella01MarzoInverter[[#This Row],[Active power TX2-INV-2]] &lt;= 0, Tabella01MarzoInverter[[#This Row],[TX2 - Max Power]] &lt;= 0),
    MIN(($H39 / 1000) * AC$10 * $BA$4, AC$11 * 0.876) * 0.25,
    IF(
        AND($H39 &gt; $BA$7, Tabella01MarzoInverter[[#This Row],[Active power TX2-INV-2]] &lt;= 0),
        Tabella01MarzoInverter[[#This Row],[TX2 - Max Power]] * 0.25,
        0
    )
    +
    IF(
        $N39 &lt; 0.875,
        MAX(0, MIN(($H39 / 1000) * AC$10 * $BA$4, AC$11 * 0.876) - (AC$11 * $N39)) * 0.25,
        0
    )
)</f>
        <v/>
      </c>
      <c r="AD39" s="117">
        <f>IF(
    AND($H39 &gt; $BA$7, Tabella01MarzoInverter[[#This Row],[Active power TX2-INV-3]] &lt;= 0, Tabella01MarzoInverter[[#This Row],[TX2 - Min Power]] &lt;= 0),
    MIN(($H39 / 1000) * AD$10 * $BA$4, AD$11 * 0.876) * 0.25,
    IF(
        AND($H39 &gt; $BA$7, Tabella01MarzoInverter[[#This Row],[Active power TX2-INV-3]] &lt;= 0),
        Tabella01MarzoInverter[[#This Row],[TX2 - Min Power]] * 0.25,
        0
    )
    +
    IF(
        $N39 &lt; 0.875,
        MAX(0, MIN(($H39 / 1000) * AD$10 * $BA$4, AD$11 * 0.876) - (AD$11 * $N39)) * 0.25,
        0
    )
)</f>
        <v/>
      </c>
      <c r="AE39" s="117">
        <f>IF(
    AND($H39 &gt; $BA$7, Tabella01MarzoInverter[[#This Row],[Active power TX2-INV-4]] &lt;= 0, Tabella01MarzoInverter[[#This Row],[Active power TX3-INV-1]] &lt;= 0),
    MIN(($H39 / 1000) * AE$10 * $BA$4, AE$11 * 0.876) * 0.25,
    IF(
        AND($H39 &gt; $BA$7, Tabella01MarzoInverter[[#This Row],[Active power TX2-INV-4]] &lt;= 0),
        Tabella01MarzoInverter[[#This Row],[Active power TX3-INV-1]] * 0.25,
        0
    )
    +
    IF(
        $N39 &lt; 0.875,
        MAX(0, MIN(($H39 / 1000) * AE$10 * $BA$4, AE$11 * 0.876) - (AE$11 * $N39)) * 0.25,
        0
    )
)</f>
        <v/>
      </c>
      <c r="AF39" s="117">
        <f>IF(
    AND($H39 &gt; $BA$7, Tabella01MarzoInverter[[#This Row],[Active power TX2-INV-5]] &lt;= 0, Tabella01MarzoInverter[[#This Row],[Active power TX3-INV-2]] &lt;= 0),
    MIN(($H39 / 1000) * AF$10 * $BA$4, AF$11 * 0.876) * 0.25,
    IF(
        AND($H39 &gt; $BA$7, Tabella01MarzoInverter[[#This Row],[Active power TX2-INV-5]] &lt;= 0),
        Tabella01MarzoInverter[[#This Row],[Active power TX3-INV-2]] * 0.25,
        0
    )
    +
    IF(
        $N39 &lt; 0.875,
        MAX(0, MIN(($H39 / 1000) * AF$10 * $BA$4, AF$11 * 0.876) - (AF$11 * $N39)) * 0.25,
        0
    )
)</f>
        <v/>
      </c>
      <c r="AG39" s="117">
        <f>IF(
    AND($H39 &gt; $BA$7, Tabella01MarzoInverter[[#This Row],[Active power TX2-INV-6]] &lt;= 0, Tabella01MarzoInverter[[#This Row],[Active power TX3-INV-3]] &lt;= 0),
    MIN(($H39 / 1000) * AG$10 * $BA$4, AG$11 * 0.876) * 0.25,
    IF(
        AND($H39 &gt; $BA$7, Tabella01MarzoInverter[[#This Row],[Active power TX2-INV-6]] &lt;= 0),
        Tabella01MarzoInverter[[#This Row],[Active power TX3-INV-3]] * 0.25,
        0
    )
    +
    IF(
        $N39 &lt; 0.875,
        MAX(0, MIN(($H39 / 1000) * AG$10 * $BA$4, AG$11 * 0.876) - (AG$11 * $N39)) * 0.25,
        0
    )
)</f>
        <v/>
      </c>
      <c r="AH39" s="117">
        <f>IF(
    AND($H39 &gt; $BA$7, Tabella01MarzoInverter[[#This Row],[Active power TX2-INV-7]] &lt;= 0, Tabella01MarzoInverter[[#This Row],[Active power TX3-INV-4]] &lt;= 0),
    MIN(($H39 / 1000) * AH$10 * $BA$4, AH$11 * 0.876) * 0.25,
    IF(
        AND($H39 &gt; $BA$7, Tabella01MarzoInverter[[#This Row],[Active power TX2-INV-7]] &lt;= 0),
        Tabella01MarzoInverter[[#This Row],[Active power TX3-INV-4]] * 0.25,
        0
    )
    +
    IF(
        $N39 &lt; 0.875,
        MAX(0, MIN(($H39 / 1000) * AH$10 * $BA$4, AH$11 * 0.876) - (AH$11 * $N39)) * 0.25,
        0
    )
)</f>
        <v/>
      </c>
      <c r="AI39" s="117">
        <f>IF(
    AND($H39 &gt; $BA$7, Tabella01MarzoInverter[[#This Row],[Active power TX2-INV-8]] &lt;= 0, Tabella01MarzoInverter[[#This Row],[Active power TX3-INV-5]] &lt;= 0),
    MIN(($H39 / 1000) * AI$10 * $BA$4, AI$11 * 0.876) * 0.25,
    IF(
        AND($H39 &gt; $BA$7, Tabella01MarzoInverter[[#This Row],[Active power TX2-INV-8]] &lt;= 0),
        Tabella01MarzoInverter[[#This Row],[Active power TX3-INV-5]] * 0.25,
        0
    )
    +
    IF(
        $N39 &lt; 0.875,
        MAX(0, MIN(($H39 / 1000) * AI$10 * $BA$4, AI$11 * 0.876) - (AI$11 * $N39)) * 0.25,
        0
    )
)</f>
        <v/>
      </c>
      <c r="AJ39" s="117">
        <f>IF(
    AND($H39 &gt; $BA$7, Tabella01MarzoInverter[[#This Row],[Active power TX2-INV-9]] &lt;= 0, Tabella01MarzoInverter[[#This Row],[Active power TX3-INV-6]] &lt;= 0),
    MIN(($H39 / 1000) * AJ$10 * $BA$4, AJ$11 * 0.876) * 0.25,
    IF(
        AND($H39 &gt; $BA$7, Tabella01MarzoInverter[[#This Row],[Active power TX2-INV-9]] &lt;= 0),
        Tabella01MarzoInverter[[#This Row],[Active power TX3-INV-6]] * 0.25,
        0
    )
    +
    IF(
        $N39 &lt; 0.875,
        MAX(0, MIN(($H39 / 1000) * AJ$10 * $BA$4, AJ$11 * 0.876) - (AJ$11 * $N39)) * 0.25,
        0
    )
)</f>
        <v/>
      </c>
      <c r="AK39" s="117">
        <f>IF(
    AND($H39 &gt; $BA$7, Tabella01MarzoInverter[[#This Row],[Active power TX2-INV-10]] &lt;= 0, Tabella01MarzoInverter[[#This Row],[Active power TX3-INV-7]] &lt;= 0),
    MIN(($H39 / 1000) * AK$10 * $BA$4, AK$11 * 0.876) * 0.25,
    IF(
        AND($H39 &gt; $BA$7, Tabella01MarzoInverter[[#This Row],[Active power TX2-INV-10]] &lt;= 0),
        Tabella01MarzoInverter[[#This Row],[Active power TX3-INV-7]] * 0.25,
        0
    )
    +
    IF(
        $N39 &lt; 0.875,
        MAX(0, MIN(($H39 / 1000) * AK$10 * $BA$4, AK$11 * 0.876) - (AK$11 * $N39)) * 0.25,
        0
    )
)</f>
        <v/>
      </c>
      <c r="AL39" s="117">
        <f>IF(
    AND($H39 &gt; $BA$7, Tabella01MarzoInverter[[#This Row],[Active power TX2-INV-11]] &lt;= 0, Tabella01MarzoInverter[[#This Row],[Active power TX3-INV-8]] &lt;= 0),
    MIN(($H39 / 1000) * AL$10 * $BA$4, AL$11 * 0.876) * 0.25,
    IF(
        AND($H39 &gt; $BA$7, Tabella01MarzoInverter[[#This Row],[Active power TX2-INV-11]] &lt;= 0),
        Tabella01MarzoInverter[[#This Row],[Active power TX3-INV-8]] * 0.25,
        0
    )
    +
    IF(
        $N39 &lt; 0.875,
        MAX(0, MIN(($H39 / 1000) * AL$10 * $BA$4, AL$11 * 0.876) - (AL$11 * $N39)) * 0.25,
        0
    )
)</f>
        <v/>
      </c>
      <c r="AM39" s="117">
        <f>IF(
    AND($H39 &gt; $BA$7, Tabella01MarzoInverter[[#This Row],[Active power TX2-INV-12]] &lt;= 0, Tabella01MarzoInverter[[#This Row],[Active power TX3-INV-9]] &lt;= 0),
    MIN(($H39 / 1000) * AM$10 * $BA$4, AM$11 * 0.876) * 0.25,
    IF(
        AND($H39 &gt; $BA$7, Tabella01MarzoInverter[[#This Row],[Active power TX2-INV-12]] &lt;= 0),
        Tabella01MarzoInverter[[#This Row],[Active power TX3-INV-9]] * 0.25,
        0
    )
    +
    IF(
        $N39 &lt; 0.875,
        MAX(0, MIN(($H39 / 1000) * AM$10 * $BA$4, AM$11 * 0.876) - (AM$11 * $N39)) * 0.25,
        0
    )
)</f>
        <v/>
      </c>
      <c r="AN39" s="118">
        <f>SUM(TabellaMar2026[[#This Row],[Colonna39]:[Colonna6]])</f>
        <v/>
      </c>
      <c r="AO39" s="117">
        <f t="array" ref="AO39">IF(
    AND($H39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($H39 / 1000) * AO$10 * $BA$4 * 0.25
    ),
    0
)
+
IF(
    $N39 &lt; 0.875,
    MAX(0, MIN(($H39 / 1000) * AO$10 * $BA$4, AO$11 * 0.876) - (AO$11 * $N39)) * 0.25,
    0
)</f>
        <v/>
      </c>
      <c r="AP39" s="117">
        <f t="array" ref="AP39">IF(
    AND($H39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($H39 / 1000) * AP$10 * $BA$4 * 0.25
    ),
    0
)
+
IF(
    $N39 &lt; 0.875,
    MAX(0, MIN(($H39 / 1000) * AP$10 * $BA$4, AP$11 * 0.876) - (AP$11 * $N39)) * 0.25,
    0
)</f>
        <v/>
      </c>
      <c r="AQ39" s="117">
        <f t="array" ref="AQ39">IF(
    AND($H39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($H39 / 1000) * AQ$10 * $BA$4 * 0.25
    ),
    0
)
+
IF(
    $N39 &lt; 0.875,
    MAX(0, MIN(($H39 / 1000) * AQ$10 * $BA$4, AQ$11 * 0.876) - (AQ$11 * $N39)) * 0.25,
    0
)</f>
        <v/>
      </c>
      <c r="AR39" s="117">
        <f t="array" ref="AR39">IF(
    AND($H39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($H39 / 1000) * AR$10 * $BA$4 * 0.25
    ),
    0
)
+
IF(
    $N39 &lt; 0.875,
    MAX(0, MIN(($H39 / 1000) * AR$10 * $BA$4, AR$11 * 0.876) - (AR$11 * $N39)) * 0.25,
    0
)</f>
        <v/>
      </c>
      <c r="AS39" s="117">
        <f t="array" ref="AS39">IF(
    AND($H39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($H39 / 1000) * AS$10 * $BA$4 * 0.25
    ),
    0
)
+
IF(
    $N39 &lt; 0.875,
    MAX(0, MIN(($H39 / 1000) * AS$10 * $BA$4, AS$11 * 0.876) - (AS$11 * $N39)) * 0.25,
    0
)</f>
        <v/>
      </c>
      <c r="AT39" s="117">
        <f t="array" ref="AT39">IF(
    AND($H39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($H39 / 1000) * AT$10 * $BA$4 * 0.25
    ),
    0
)
+
IF(
    $N39 &lt; 0.875,
    MAX(0, MIN(($H39 / 1000) * AT$10 * $BA$4, AT$11 * 0.876) - (AT$11 * $N39)) * 0.25,
    0
)</f>
        <v/>
      </c>
      <c r="AU39" s="117">
        <f t="array" ref="AU39">IF(
    AND($H39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($H39 / 1000) * AU$10 * $BA$4 * 0.25
    ),
    0
)
+
IF(
    $N39 &lt; 0.875,
    MAX(0, MIN(($H39 / 1000) * AU$10 * $BA$4, AU$11 * 0.876) - (AU$11 * $N39)) * 0.25,
    0
)</f>
        <v/>
      </c>
      <c r="AV39" s="117">
        <f t="array" ref="AV39">IF(
    AND($H39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($H39 / 1000) * AV$10 * $BA$4 * 0.25
    ),
    0
)
+
IF(
    $N39 &lt; 0.875,
    MAX(0, MIN(($H39 / 1000) * AV$10 * $BA$4, AV$11 * 0.876) - (AV$11 * $N39)) * 0.25,
    0
)</f>
        <v/>
      </c>
      <c r="AW39" s="117">
        <f t="array" ref="AW39">IF(
    AND($H39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($H39 / 1000) * AW$10 * $BA$4 * 0.25
    ),
    0
)
+
IF(
    $N39 &lt; 0.875,
    MAX(0, MIN(($H39 / 1000) * AW$10 * $BA$4, AW$11 * 0.876) - (AW$11 * $N39)) * 0.25,
    0
)</f>
        <v/>
      </c>
      <c r="AX39" s="117">
        <f t="array" ref="AX39">IF(
    AND($H39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($H39 / 1000) * AX$10 * $BA$4 * 0.25
    ),
    0
)
+
IF(
    $N39 &lt; 0.875,
    MAX(0, MIN(($H39 / 1000) * AX$10 * $BA$4, AX$11 * 0.876) - (AX$11 * $N39)) * 0.25,
    0
)</f>
        <v/>
      </c>
      <c r="AY39" s="117">
        <f t="array" ref="AY39">IF(
    AND($H39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($H39 / 1000) * AY$10 * $BA$4 * 0.25
    ),
    0
)
+
IF(
    $N39 &lt; 0.875,
    MAX(0, MIN(($H39 / 1000) * AY$10 * $BA$4, AY$11 * 0.876) - (AY$11 * $N39)) * 0.25,
    0
)</f>
        <v/>
      </c>
      <c r="AZ39" s="117">
        <f t="array" ref="AZ39">IF(
    AND($H39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($H39 / 1000) * AZ$10 * $BA$4 * 0.25
    ),
    0
)
+
IF(
    $N39 &lt; 0.875,
    MAX(0, MIN(($H39 / 1000) * AZ$10 * $BA$4, AZ$11 * 0.876) - (AZ$11 * $N39)) * 0.25,
    0
)</f>
        <v/>
      </c>
      <c r="BA39" s="119">
        <f>SUM(TabellaMar2026[[#This Row],[Colonna54]:[Colonna53]])</f>
        <v/>
      </c>
    </row>
    <row r="40">
      <c r="A40" s="112" t="n">
        <v>46143</v>
      </c>
      <c r="B40" t="inlineStr">
        <is>
          <t>06:15:00.000</t>
        </is>
      </c>
      <c r="C40" s="2" t="n">
        <v>3</v>
      </c>
      <c r="D40" s="113" t="n">
        <v>0.00075</v>
      </c>
      <c r="E40" s="113" t="n">
        <v>3.1</v>
      </c>
      <c r="F40" s="113" t="n">
        <v>0.000775</v>
      </c>
      <c r="G40" s="113">
        <f>IFERROR((D40+F40)/2, 0)</f>
        <v/>
      </c>
      <c r="H40" s="114">
        <f>IFERROR(IF(AVERAGE(C40,E40)&gt;$BA$7,AVERAGE(C40,E40),0), 0)</f>
        <v/>
      </c>
      <c r="I40" s="114">
        <f>IFERROR(IF(AND(D40=0,F40=0),0,IF(H40&gt;$BA$6,MAX(D40,F40),G40)), 0)</f>
        <v/>
      </c>
      <c r="J40" s="113">
        <f>IFERROR(IF(AND(D40&gt;0,F40&gt;0),ABS(D40-F40)/AVERAGE(D40,F40),0), 0)</f>
        <v/>
      </c>
      <c r="K40" s="113" t="n">
        <v>30098.6</v>
      </c>
      <c r="L40" s="113" t="n">
        <v>30098.6</v>
      </c>
      <c r="M40" s="115">
        <f>IFERROR((L40-K40)*1000, 0)</f>
        <v/>
      </c>
      <c r="N40" s="113" t="n">
        <v>0.8759999999999999</v>
      </c>
      <c r="O40" s="115">
        <f t="array" ref="O40">IF(
    AND($H40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($H40 / 1000) * O$10 * $BA$4 * 0.25
    ),
    0
)
+
IF(
    $N40 &lt; 0.875,
    MAX(0, MIN(($H40 / 1000) * O$10 * $BA$4, O$11 * 0.876) - (O$11 * $N40)) * 0.25,
    0
)</f>
        <v/>
      </c>
      <c r="P40" s="115">
        <f t="array" ref="P40">IF(
    AND($H40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($H40 / 1000) * P$10 * $BA$4 * 0.25
    ),
    0
)
+
IF(
    $N40 &lt; 0.875,
    MAX(0, MIN(($H40 / 1000) * P$10 * $BA$4, P$11 * 0.876) - (P$11 * $N40)) * 0.25,
    0
)</f>
        <v/>
      </c>
      <c r="Q40" s="115">
        <f t="array" ref="Q40">IF(
    AND($H40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($H40 / 1000) * Q$10 * $BA$4 * 0.25
    ),
    0
)
+
IF(
    $N40 &lt; 0.875,
    MAX(0, MIN(($H40 / 1000) * Q$10 * $BA$4, Q$11 * 0.876) - (Q$11 * $N40)) * 0.25,
    0
)</f>
        <v/>
      </c>
      <c r="R40" s="115">
        <f t="array" ref="R40">IF(
    AND($H40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($H40 / 1000) * R$10 * $BA$4 * 0.25
    ),
    0
)
+
IF(
    $N40 &lt; 0.875,
    MAX(0, MIN(($H40 / 1000) * R$10 * $BA$4, R$11 * 0.876) - (R$11 * $N40)) * 0.25,
    0
)</f>
        <v/>
      </c>
      <c r="S40" s="115">
        <f t="array" ref="S40">IF(
    AND($H40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($H40 / 1000) * S$10 * $BA$4 * 0.25
    ),
    0
)
+
IF(
    $N40 &lt; 0.875,
    MAX(0, MIN(($H40 / 1000) * S$10 * $BA$4, S$11 * 0.876) - (S$11 * $N40)) * 0.25,
    0
)</f>
        <v/>
      </c>
      <c r="T40" s="115">
        <f t="array" ref="T40">IF(
    AND($H40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($H40 / 1000) * T$10 * $BA$4 * 0.25
    ),
    0
)
+
IF(
    $N40 &lt; 0.875,
    MAX(0, MIN(($H40 / 1000) * T$10 * $BA$4, T$11 * 0.876) - (T$11 * $N40)) * 0.25,
    0
)</f>
        <v/>
      </c>
      <c r="U40" s="115">
        <f t="array" ref="U40">IF(
    AND($H40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($H40 / 1000) * U$10 * $BA$4 * 0.25
    ),
    0
)
+
IF(
    $N40 &lt; 0.875,
    MAX(0, MIN(($H40 / 1000) * U$10 * $BA$4, U$11 * 0.876) - (U$11 * $N40)) * 0.25,
    0
)</f>
        <v/>
      </c>
      <c r="V40" s="115">
        <f t="array" ref="V40">IF(
    AND($H40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($H40 / 1000) * V$10 * $BA$4 * 0.25
    ),
    0
)
+
IF(
    $N40 &lt; 0.875,
    MAX(0, MIN(($H40 / 1000) * V$10 * $BA$4, V$11 * 0.876) - (V$11 * $N40)) * 0.25,
    0
)</f>
        <v/>
      </c>
      <c r="W40" s="115">
        <f t="array" ref="W40">IF(
    AND($H40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($H40 / 1000) * W$10 * $BA$4 * 0.25
    ),
    0
)
+
IF(
    $N40 &lt; 0.875,
    MAX(0, MIN(($H40 / 1000) * W$10 * $BA$4, W$11 * 0.876) - (W$11 * $N40)) * 0.25,
    0
)</f>
        <v/>
      </c>
      <c r="X40" s="115">
        <f t="array" ref="X40">IF(
    AND($H40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($H40 / 1000) * X$10 * $BA$4 * 0.25
    ),
    0
)
+
IF(
    $N40 &lt; 0.875,
    MAX(0, MIN(($H40 / 1000) * X$10 * $BA$4, X$11 * 0.876) - (X$11 * $N40)) * 0.25,
    0
)</f>
        <v/>
      </c>
      <c r="Y40" s="115">
        <f t="array" ref="Y40">IF(
    AND($H40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($H40 / 1000) * Y$10 * $BA$4 * 0.25
    ),
    0
)
+
IF(
    $N40 &lt; 0.875,
    MAX(0, MIN(($H40 / 1000) * Y$10 * $BA$4, Y$11 * 0.876) - (Y$11 * $N40)) * 0.25,
    0
)</f>
        <v/>
      </c>
      <c r="Z40" s="115">
        <f t="array" ref="Z40">IF(
    AND($H40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($H40 / 1000) * Z$10 * $BA$4 * 0.25
    ),
    0
)
+
IF(
    $N40 &lt; 0.875,
    MAX(0, MIN(($H40 / 1000) * Z$10 * $BA$4, Z$11 * 0.876) - (Z$11 * $N40)) * 0.25,
    0
)</f>
        <v/>
      </c>
      <c r="AA40" s="116">
        <f>SUM(TabellaMar2026[[#This Row],[Colonna24]:[Colonna20]])</f>
        <v/>
      </c>
      <c r="AB40" s="117">
        <f>IF(
    AND($H40 &gt; $BA$7, Tabella01MarzoInverter[[#This Row],[Active power TX2-INV-1]] &lt;= 0, Tabella01MarzoInverter[[#This Row],[TX2 - Average Power]] &lt;= 0),
    MIN(($H40 / 1000) * AB$10 * $BA$4, AB$11 * 0.876) * 0.25,
    IF(
        AND($H40 &gt; $BA$7, Tabella01MarzoInverter[[#This Row],[Active power TX2-INV-1]] &lt;= 0),
        Tabella01MarzoInverter[[#This Row],[TX2 - Average Power]] * 0.25,
        0
    )
    +
    IF(
        $N40 &lt; 0.875,
        MAX(0, MIN(($H40 / 1000) * AB$10 * $BA$4, AB$11 * 0.876) - (AB$11 * $N40)) * 0.25,
        0
    )
)</f>
        <v/>
      </c>
      <c r="AC40" s="117">
        <f>IF(
    AND($H40 &gt; $BA$7, Tabella01MarzoInverter[[#This Row],[Active power TX2-INV-2]] &lt;= 0, Tabella01MarzoInverter[[#This Row],[TX2 - Max Power]] &lt;= 0),
    MIN(($H40 / 1000) * AC$10 * $BA$4, AC$11 * 0.876) * 0.25,
    IF(
        AND($H40 &gt; $BA$7, Tabella01MarzoInverter[[#This Row],[Active power TX2-INV-2]] &lt;= 0),
        Tabella01MarzoInverter[[#This Row],[TX2 - Max Power]] * 0.25,
        0
    )
    +
    IF(
        $N40 &lt; 0.875,
        MAX(0, MIN(($H40 / 1000) * AC$10 * $BA$4, AC$11 * 0.876) - (AC$11 * $N40)) * 0.25,
        0
    )
)</f>
        <v/>
      </c>
      <c r="AD40" s="117">
        <f>IF(
    AND($H40 &gt; $BA$7, Tabella01MarzoInverter[[#This Row],[Active power TX2-INV-3]] &lt;= 0, Tabella01MarzoInverter[[#This Row],[TX2 - Min Power]] &lt;= 0),
    MIN(($H40 / 1000) * AD$10 * $BA$4, AD$11 * 0.876) * 0.25,
    IF(
        AND($H40 &gt; $BA$7, Tabella01MarzoInverter[[#This Row],[Active power TX2-INV-3]] &lt;= 0),
        Tabella01MarzoInverter[[#This Row],[TX2 - Min Power]] * 0.25,
        0
    )
    +
    IF(
        $N40 &lt; 0.875,
        MAX(0, MIN(($H40 / 1000) * AD$10 * $BA$4, AD$11 * 0.876) - (AD$11 * $N40)) * 0.25,
        0
    )
)</f>
        <v/>
      </c>
      <c r="AE40" s="117">
        <f>IF(
    AND($H40 &gt; $BA$7, Tabella01MarzoInverter[[#This Row],[Active power TX2-INV-4]] &lt;= 0, Tabella01MarzoInverter[[#This Row],[Active power TX3-INV-1]] &lt;= 0),
    MIN(($H40 / 1000) * AE$10 * $BA$4, AE$11 * 0.876) * 0.25,
    IF(
        AND($H40 &gt; $BA$7, Tabella01MarzoInverter[[#This Row],[Active power TX2-INV-4]] &lt;= 0),
        Tabella01MarzoInverter[[#This Row],[Active power TX3-INV-1]] * 0.25,
        0
    )
    +
    IF(
        $N40 &lt; 0.875,
        MAX(0, MIN(($H40 / 1000) * AE$10 * $BA$4, AE$11 * 0.876) - (AE$11 * $N40)) * 0.25,
        0
    )
)</f>
        <v/>
      </c>
      <c r="AF40" s="117">
        <f>IF(
    AND($H40 &gt; $BA$7, Tabella01MarzoInverter[[#This Row],[Active power TX2-INV-5]] &lt;= 0, Tabella01MarzoInverter[[#This Row],[Active power TX3-INV-2]] &lt;= 0),
    MIN(($H40 / 1000) * AF$10 * $BA$4, AF$11 * 0.876) * 0.25,
    IF(
        AND($H40 &gt; $BA$7, Tabella01MarzoInverter[[#This Row],[Active power TX2-INV-5]] &lt;= 0),
        Tabella01MarzoInverter[[#This Row],[Active power TX3-INV-2]] * 0.25,
        0
    )
    +
    IF(
        $N40 &lt; 0.875,
        MAX(0, MIN(($H40 / 1000) * AF$10 * $BA$4, AF$11 * 0.876) - (AF$11 * $N40)) * 0.25,
        0
    )
)</f>
        <v/>
      </c>
      <c r="AG40" s="117">
        <f>IF(
    AND($H40 &gt; $BA$7, Tabella01MarzoInverter[[#This Row],[Active power TX2-INV-6]] &lt;= 0, Tabella01MarzoInverter[[#This Row],[Active power TX3-INV-3]] &lt;= 0),
    MIN(($H40 / 1000) * AG$10 * $BA$4, AG$11 * 0.876) * 0.25,
    IF(
        AND($H40 &gt; $BA$7, Tabella01MarzoInverter[[#This Row],[Active power TX2-INV-6]] &lt;= 0),
        Tabella01MarzoInverter[[#This Row],[Active power TX3-INV-3]] * 0.25,
        0
    )
    +
    IF(
        $N40 &lt; 0.875,
        MAX(0, MIN(($H40 / 1000) * AG$10 * $BA$4, AG$11 * 0.876) - (AG$11 * $N40)) * 0.25,
        0
    )
)</f>
        <v/>
      </c>
      <c r="AH40" s="117">
        <f>IF(
    AND($H40 &gt; $BA$7, Tabella01MarzoInverter[[#This Row],[Active power TX2-INV-7]] &lt;= 0, Tabella01MarzoInverter[[#This Row],[Active power TX3-INV-4]] &lt;= 0),
    MIN(($H40 / 1000) * AH$10 * $BA$4, AH$11 * 0.876) * 0.25,
    IF(
        AND($H40 &gt; $BA$7, Tabella01MarzoInverter[[#This Row],[Active power TX2-INV-7]] &lt;= 0),
        Tabella01MarzoInverter[[#This Row],[Active power TX3-INV-4]] * 0.25,
        0
    )
    +
    IF(
        $N40 &lt; 0.875,
        MAX(0, MIN(($H40 / 1000) * AH$10 * $BA$4, AH$11 * 0.876) - (AH$11 * $N40)) * 0.25,
        0
    )
)</f>
        <v/>
      </c>
      <c r="AI40" s="117">
        <f>IF(
    AND($H40 &gt; $BA$7, Tabella01MarzoInverter[[#This Row],[Active power TX2-INV-8]] &lt;= 0, Tabella01MarzoInverter[[#This Row],[Active power TX3-INV-5]] &lt;= 0),
    MIN(($H40 / 1000) * AI$10 * $BA$4, AI$11 * 0.876) * 0.25,
    IF(
        AND($H40 &gt; $BA$7, Tabella01MarzoInverter[[#This Row],[Active power TX2-INV-8]] &lt;= 0),
        Tabella01MarzoInverter[[#This Row],[Active power TX3-INV-5]] * 0.25,
        0
    )
    +
    IF(
        $N40 &lt; 0.875,
        MAX(0, MIN(($H40 / 1000) * AI$10 * $BA$4, AI$11 * 0.876) - (AI$11 * $N40)) * 0.25,
        0
    )
)</f>
        <v/>
      </c>
      <c r="AJ40" s="117">
        <f>IF(
    AND($H40 &gt; $BA$7, Tabella01MarzoInverter[[#This Row],[Active power TX2-INV-9]] &lt;= 0, Tabella01MarzoInverter[[#This Row],[Active power TX3-INV-6]] &lt;= 0),
    MIN(($H40 / 1000) * AJ$10 * $BA$4, AJ$11 * 0.876) * 0.25,
    IF(
        AND($H40 &gt; $BA$7, Tabella01MarzoInverter[[#This Row],[Active power TX2-INV-9]] &lt;= 0),
        Tabella01MarzoInverter[[#This Row],[Active power TX3-INV-6]] * 0.25,
        0
    )
    +
    IF(
        $N40 &lt; 0.875,
        MAX(0, MIN(($H40 / 1000) * AJ$10 * $BA$4, AJ$11 * 0.876) - (AJ$11 * $N40)) * 0.25,
        0
    )
)</f>
        <v/>
      </c>
      <c r="AK40" s="117">
        <f>IF(
    AND($H40 &gt; $BA$7, Tabella01MarzoInverter[[#This Row],[Active power TX2-INV-10]] &lt;= 0, Tabella01MarzoInverter[[#This Row],[Active power TX3-INV-7]] &lt;= 0),
    MIN(($H40 / 1000) * AK$10 * $BA$4, AK$11 * 0.876) * 0.25,
    IF(
        AND($H40 &gt; $BA$7, Tabella01MarzoInverter[[#This Row],[Active power TX2-INV-10]] &lt;= 0),
        Tabella01MarzoInverter[[#This Row],[Active power TX3-INV-7]] * 0.25,
        0
    )
    +
    IF(
        $N40 &lt; 0.875,
        MAX(0, MIN(($H40 / 1000) * AK$10 * $BA$4, AK$11 * 0.876) - (AK$11 * $N40)) * 0.25,
        0
    )
)</f>
        <v/>
      </c>
      <c r="AL40" s="117">
        <f>IF(
    AND($H40 &gt; $BA$7, Tabella01MarzoInverter[[#This Row],[Active power TX2-INV-11]] &lt;= 0, Tabella01MarzoInverter[[#This Row],[Active power TX3-INV-8]] &lt;= 0),
    MIN(($H40 / 1000) * AL$10 * $BA$4, AL$11 * 0.876) * 0.25,
    IF(
        AND($H40 &gt; $BA$7, Tabella01MarzoInverter[[#This Row],[Active power TX2-INV-11]] &lt;= 0),
        Tabella01MarzoInverter[[#This Row],[Active power TX3-INV-8]] * 0.25,
        0
    )
    +
    IF(
        $N40 &lt; 0.875,
        MAX(0, MIN(($H40 / 1000) * AL$10 * $BA$4, AL$11 * 0.876) - (AL$11 * $N40)) * 0.25,
        0
    )
)</f>
        <v/>
      </c>
      <c r="AM40" s="117">
        <f>IF(
    AND($H40 &gt; $BA$7, Tabella01MarzoInverter[[#This Row],[Active power TX2-INV-12]] &lt;= 0, Tabella01MarzoInverter[[#This Row],[Active power TX3-INV-9]] &lt;= 0),
    MIN(($H40 / 1000) * AM$10 * $BA$4, AM$11 * 0.876) * 0.25,
    IF(
        AND($H40 &gt; $BA$7, Tabella01MarzoInverter[[#This Row],[Active power TX2-INV-12]] &lt;= 0),
        Tabella01MarzoInverter[[#This Row],[Active power TX3-INV-9]] * 0.25,
        0
    )
    +
    IF(
        $N40 &lt; 0.875,
        MAX(0, MIN(($H40 / 1000) * AM$10 * $BA$4, AM$11 * 0.876) - (AM$11 * $N40)) * 0.25,
        0
    )
)</f>
        <v/>
      </c>
      <c r="AN40" s="118">
        <f>SUM(TabellaMar2026[[#This Row],[Colonna39]:[Colonna6]])</f>
        <v/>
      </c>
      <c r="AO40" s="117">
        <f t="array" ref="AO40">IF(
    AND($H40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($H40 / 1000) * AO$10 * $BA$4 * 0.25
    ),
    0
)
+
IF(
    $N40 &lt; 0.875,
    MAX(0, MIN(($H40 / 1000) * AO$10 * $BA$4, AO$11 * 0.876) - (AO$11 * $N40)) * 0.25,
    0
)</f>
        <v/>
      </c>
      <c r="AP40" s="117">
        <f t="array" ref="AP40">IF(
    AND($H40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($H40 / 1000) * AP$10 * $BA$4 * 0.25
    ),
    0
)
+
IF(
    $N40 &lt; 0.875,
    MAX(0, MIN(($H40 / 1000) * AP$10 * $BA$4, AP$11 * 0.876) - (AP$11 * $N40)) * 0.25,
    0
)</f>
        <v/>
      </c>
      <c r="AQ40" s="117">
        <f t="array" ref="AQ40">IF(
    AND($H40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($H40 / 1000) * AQ$10 * $BA$4 * 0.25
    ),
    0
)
+
IF(
    $N40 &lt; 0.875,
    MAX(0, MIN(($H40 / 1000) * AQ$10 * $BA$4, AQ$11 * 0.876) - (AQ$11 * $N40)) * 0.25,
    0
)</f>
        <v/>
      </c>
      <c r="AR40" s="117">
        <f t="array" ref="AR40">IF(
    AND($H40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($H40 / 1000) * AR$10 * $BA$4 * 0.25
    ),
    0
)
+
IF(
    $N40 &lt; 0.875,
    MAX(0, MIN(($H40 / 1000) * AR$10 * $BA$4, AR$11 * 0.876) - (AR$11 * $N40)) * 0.25,
    0
)</f>
        <v/>
      </c>
      <c r="AS40" s="117">
        <f t="array" ref="AS40">IF(
    AND($H40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($H40 / 1000) * AS$10 * $BA$4 * 0.25
    ),
    0
)
+
IF(
    $N40 &lt; 0.875,
    MAX(0, MIN(($H40 / 1000) * AS$10 * $BA$4, AS$11 * 0.876) - (AS$11 * $N40)) * 0.25,
    0
)</f>
        <v/>
      </c>
      <c r="AT40" s="117">
        <f t="array" ref="AT40">IF(
    AND($H40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($H40 / 1000) * AT$10 * $BA$4 * 0.25
    ),
    0
)
+
IF(
    $N40 &lt; 0.875,
    MAX(0, MIN(($H40 / 1000) * AT$10 * $BA$4, AT$11 * 0.876) - (AT$11 * $N40)) * 0.25,
    0
)</f>
        <v/>
      </c>
      <c r="AU40" s="117">
        <f t="array" ref="AU40">IF(
    AND($H40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($H40 / 1000) * AU$10 * $BA$4 * 0.25
    ),
    0
)
+
IF(
    $N40 &lt; 0.875,
    MAX(0, MIN(($H40 / 1000) * AU$10 * $BA$4, AU$11 * 0.876) - (AU$11 * $N40)) * 0.25,
    0
)</f>
        <v/>
      </c>
      <c r="AV40" s="117">
        <f t="array" ref="AV40">IF(
    AND($H40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($H40 / 1000) * AV$10 * $BA$4 * 0.25
    ),
    0
)
+
IF(
    $N40 &lt; 0.875,
    MAX(0, MIN(($H40 / 1000) * AV$10 * $BA$4, AV$11 * 0.876) - (AV$11 * $N40)) * 0.25,
    0
)</f>
        <v/>
      </c>
      <c r="AW40" s="117">
        <f t="array" ref="AW40">IF(
    AND($H40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($H40 / 1000) * AW$10 * $BA$4 * 0.25
    ),
    0
)
+
IF(
    $N40 &lt; 0.875,
    MAX(0, MIN(($H40 / 1000) * AW$10 * $BA$4, AW$11 * 0.876) - (AW$11 * $N40)) * 0.25,
    0
)</f>
        <v/>
      </c>
      <c r="AX40" s="117">
        <f t="array" ref="AX40">IF(
    AND($H40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($H40 / 1000) * AX$10 * $BA$4 * 0.25
    ),
    0
)
+
IF(
    $N40 &lt; 0.875,
    MAX(0, MIN(($H40 / 1000) * AX$10 * $BA$4, AX$11 * 0.876) - (AX$11 * $N40)) * 0.25,
    0
)</f>
        <v/>
      </c>
      <c r="AY40" s="117">
        <f t="array" ref="AY40">IF(
    AND($H40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($H40 / 1000) * AY$10 * $BA$4 * 0.25
    ),
    0
)
+
IF(
    $N40 &lt; 0.875,
    MAX(0, MIN(($H40 / 1000) * AY$10 * $BA$4, AY$11 * 0.876) - (AY$11 * $N40)) * 0.25,
    0
)</f>
        <v/>
      </c>
      <c r="AZ40" s="117">
        <f t="array" ref="AZ40">IF(
    AND($H40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($H40 / 1000) * AZ$10 * $BA$4 * 0.25
    ),
    0
)
+
IF(
    $N40 &lt; 0.875,
    MAX(0, MIN(($H40 / 1000) * AZ$10 * $BA$4, AZ$11 * 0.876) - (AZ$11 * $N40)) * 0.25,
    0
)</f>
        <v/>
      </c>
      <c r="BA40" s="119">
        <f>SUM(TabellaMar2026[[#This Row],[Colonna54]:[Colonna53]])</f>
        <v/>
      </c>
    </row>
    <row r="41">
      <c r="A41" s="112" t="n">
        <v>46143</v>
      </c>
      <c r="B41" t="inlineStr">
        <is>
          <t>06:30:00.000</t>
        </is>
      </c>
      <c r="C41" s="2" t="n">
        <v>13.7</v>
      </c>
      <c r="D41" s="113" t="n">
        <v>0.003425</v>
      </c>
      <c r="E41" s="113" t="n">
        <v>13.5</v>
      </c>
      <c r="F41" s="113" t="n">
        <v>0.003375</v>
      </c>
      <c r="G41" s="113">
        <f>IFERROR((D41+F41)/2, 0)</f>
        <v/>
      </c>
      <c r="H41" s="114">
        <f>IFERROR(IF(AVERAGE(C41,E41)&gt;$BA$7,AVERAGE(C41,E41),0), 0)</f>
        <v/>
      </c>
      <c r="I41" s="114">
        <f>IFERROR(IF(AND(D41=0,F41=0),0,IF(H41&gt;$BA$6,MAX(D41,F41),G41)), 0)</f>
        <v/>
      </c>
      <c r="J41" s="113">
        <f>IFERROR(IF(AND(D41&gt;0,F41&gt;0),ABS(D41-F41)/AVERAGE(D41,F41),0), 0)</f>
        <v/>
      </c>
      <c r="K41" s="113" t="n">
        <v>30098.6</v>
      </c>
      <c r="L41" s="113" t="n">
        <v>30098.6</v>
      </c>
      <c r="M41" s="115">
        <f>IFERROR((L41-K41)*1000, 0)</f>
        <v/>
      </c>
      <c r="N41" s="113" t="n">
        <v>0.8759999999999999</v>
      </c>
      <c r="O41" s="115">
        <f t="array" ref="O41">IF(
    AND($H41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($H41 / 1000) * O$10 * $BA$4 * 0.25
    ),
    0
)
+
IF(
    $N41 &lt; 0.875,
    MAX(0, MIN(($H41 / 1000) * O$10 * $BA$4, O$11 * 0.876) - (O$11 * $N41)) * 0.25,
    0
)</f>
        <v/>
      </c>
      <c r="P41" s="115">
        <f t="array" ref="P41">IF(
    AND($H41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($H41 / 1000) * P$10 * $BA$4 * 0.25
    ),
    0
)
+
IF(
    $N41 &lt; 0.875,
    MAX(0, MIN(($H41 / 1000) * P$10 * $BA$4, P$11 * 0.876) - (P$11 * $N41)) * 0.25,
    0
)</f>
        <v/>
      </c>
      <c r="Q41" s="115">
        <f t="array" ref="Q41">IF(
    AND($H41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($H41 / 1000) * Q$10 * $BA$4 * 0.25
    ),
    0
)
+
IF(
    $N41 &lt; 0.875,
    MAX(0, MIN(($H41 / 1000) * Q$10 * $BA$4, Q$11 * 0.876) - (Q$11 * $N41)) * 0.25,
    0
)</f>
        <v/>
      </c>
      <c r="R41" s="115">
        <f t="array" ref="R41">IF(
    AND($H41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($H41 / 1000) * R$10 * $BA$4 * 0.25
    ),
    0
)
+
IF(
    $N41 &lt; 0.875,
    MAX(0, MIN(($H41 / 1000) * R$10 * $BA$4, R$11 * 0.876) - (R$11 * $N41)) * 0.25,
    0
)</f>
        <v/>
      </c>
      <c r="S41" s="115">
        <f t="array" ref="S41">IF(
    AND($H41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($H41 / 1000) * S$10 * $BA$4 * 0.25
    ),
    0
)
+
IF(
    $N41 &lt; 0.875,
    MAX(0, MIN(($H41 / 1000) * S$10 * $BA$4, S$11 * 0.876) - (S$11 * $N41)) * 0.25,
    0
)</f>
        <v/>
      </c>
      <c r="T41" s="115">
        <f t="array" ref="T41">IF(
    AND($H41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($H41 / 1000) * T$10 * $BA$4 * 0.25
    ),
    0
)
+
IF(
    $N41 &lt; 0.875,
    MAX(0, MIN(($H41 / 1000) * T$10 * $BA$4, T$11 * 0.876) - (T$11 * $N41)) * 0.25,
    0
)</f>
        <v/>
      </c>
      <c r="U41" s="115">
        <f t="array" ref="U41">IF(
    AND($H41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($H41 / 1000) * U$10 * $BA$4 * 0.25
    ),
    0
)
+
IF(
    $N41 &lt; 0.875,
    MAX(0, MIN(($H41 / 1000) * U$10 * $BA$4, U$11 * 0.876) - (U$11 * $N41)) * 0.25,
    0
)</f>
        <v/>
      </c>
      <c r="V41" s="115">
        <f t="array" ref="V41">IF(
    AND($H41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($H41 / 1000) * V$10 * $BA$4 * 0.25
    ),
    0
)
+
IF(
    $N41 &lt; 0.875,
    MAX(0, MIN(($H41 / 1000) * V$10 * $BA$4, V$11 * 0.876) - (V$11 * $N41)) * 0.25,
    0
)</f>
        <v/>
      </c>
      <c r="W41" s="115">
        <f t="array" ref="W41">IF(
    AND($H41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($H41 / 1000) * W$10 * $BA$4 * 0.25
    ),
    0
)
+
IF(
    $N41 &lt; 0.875,
    MAX(0, MIN(($H41 / 1000) * W$10 * $BA$4, W$11 * 0.876) - (W$11 * $N41)) * 0.25,
    0
)</f>
        <v/>
      </c>
      <c r="X41" s="115">
        <f t="array" ref="X41">IF(
    AND($H41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($H41 / 1000) * X$10 * $BA$4 * 0.25
    ),
    0
)
+
IF(
    $N41 &lt; 0.875,
    MAX(0, MIN(($H41 / 1000) * X$10 * $BA$4, X$11 * 0.876) - (X$11 * $N41)) * 0.25,
    0
)</f>
        <v/>
      </c>
      <c r="Y41" s="115">
        <f t="array" ref="Y41">IF(
    AND($H41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($H41 / 1000) * Y$10 * $BA$4 * 0.25
    ),
    0
)
+
IF(
    $N41 &lt; 0.875,
    MAX(0, MIN(($H41 / 1000) * Y$10 * $BA$4, Y$11 * 0.876) - (Y$11 * $N41)) * 0.25,
    0
)</f>
        <v/>
      </c>
      <c r="Z41" s="115">
        <f t="array" ref="Z41">IF(
    AND($H41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($H41 / 1000) * Z$10 * $BA$4 * 0.25
    ),
    0
)
+
IF(
    $N41 &lt; 0.875,
    MAX(0, MIN(($H41 / 1000) * Z$10 * $BA$4, Z$11 * 0.876) - (Z$11 * $N41)) * 0.25,
    0
)</f>
        <v/>
      </c>
      <c r="AA41" s="116">
        <f>SUM(TabellaMar2026[[#This Row],[Colonna24]:[Colonna20]])</f>
        <v/>
      </c>
      <c r="AB41" s="117">
        <f>IF(
    AND($H41 &gt; $BA$7, Tabella01MarzoInverter[[#This Row],[Active power TX2-INV-1]] &lt;= 0, Tabella01MarzoInverter[[#This Row],[TX2 - Average Power]] &lt;= 0),
    MIN(($H41 / 1000) * AB$10 * $BA$4, AB$11 * 0.876) * 0.25,
    IF(
        AND($H41 &gt; $BA$7, Tabella01MarzoInverter[[#This Row],[Active power TX2-INV-1]] &lt;= 0),
        Tabella01MarzoInverter[[#This Row],[TX2 - Average Power]] * 0.25,
        0
    )
    +
    IF(
        $N41 &lt; 0.875,
        MAX(0, MIN(($H41 / 1000) * AB$10 * $BA$4, AB$11 * 0.876) - (AB$11 * $N41)) * 0.25,
        0
    )
)</f>
        <v/>
      </c>
      <c r="AC41" s="117">
        <f>IF(
    AND($H41 &gt; $BA$7, Tabella01MarzoInverter[[#This Row],[Active power TX2-INV-2]] &lt;= 0, Tabella01MarzoInverter[[#This Row],[TX2 - Max Power]] &lt;= 0),
    MIN(($H41 / 1000) * AC$10 * $BA$4, AC$11 * 0.876) * 0.25,
    IF(
        AND($H41 &gt; $BA$7, Tabella01MarzoInverter[[#This Row],[Active power TX2-INV-2]] &lt;= 0),
        Tabella01MarzoInverter[[#This Row],[TX2 - Max Power]] * 0.25,
        0
    )
    +
    IF(
        $N41 &lt; 0.875,
        MAX(0, MIN(($H41 / 1000) * AC$10 * $BA$4, AC$11 * 0.876) - (AC$11 * $N41)) * 0.25,
        0
    )
)</f>
        <v/>
      </c>
      <c r="AD41" s="117">
        <f>IF(
    AND($H41 &gt; $BA$7, Tabella01MarzoInverter[[#This Row],[Active power TX2-INV-3]] &lt;= 0, Tabella01MarzoInverter[[#This Row],[TX2 - Min Power]] &lt;= 0),
    MIN(($H41 / 1000) * AD$10 * $BA$4, AD$11 * 0.876) * 0.25,
    IF(
        AND($H41 &gt; $BA$7, Tabella01MarzoInverter[[#This Row],[Active power TX2-INV-3]] &lt;= 0),
        Tabella01MarzoInverter[[#This Row],[TX2 - Min Power]] * 0.25,
        0
    )
    +
    IF(
        $N41 &lt; 0.875,
        MAX(0, MIN(($H41 / 1000) * AD$10 * $BA$4, AD$11 * 0.876) - (AD$11 * $N41)) * 0.25,
        0
    )
)</f>
        <v/>
      </c>
      <c r="AE41" s="117">
        <f>IF(
    AND($H41 &gt; $BA$7, Tabella01MarzoInverter[[#This Row],[Active power TX2-INV-4]] &lt;= 0, Tabella01MarzoInverter[[#This Row],[Active power TX3-INV-1]] &lt;= 0),
    MIN(($H41 / 1000) * AE$10 * $BA$4, AE$11 * 0.876) * 0.25,
    IF(
        AND($H41 &gt; $BA$7, Tabella01MarzoInverter[[#This Row],[Active power TX2-INV-4]] &lt;= 0),
        Tabella01MarzoInverter[[#This Row],[Active power TX3-INV-1]] * 0.25,
        0
    )
    +
    IF(
        $N41 &lt; 0.875,
        MAX(0, MIN(($H41 / 1000) * AE$10 * $BA$4, AE$11 * 0.876) - (AE$11 * $N41)) * 0.25,
        0
    )
)</f>
        <v/>
      </c>
      <c r="AF41" s="117">
        <f>IF(
    AND($H41 &gt; $BA$7, Tabella01MarzoInverter[[#This Row],[Active power TX2-INV-5]] &lt;= 0, Tabella01MarzoInverter[[#This Row],[Active power TX3-INV-2]] &lt;= 0),
    MIN(($H41 / 1000) * AF$10 * $BA$4, AF$11 * 0.876) * 0.25,
    IF(
        AND($H41 &gt; $BA$7, Tabella01MarzoInverter[[#This Row],[Active power TX2-INV-5]] &lt;= 0),
        Tabella01MarzoInverter[[#This Row],[Active power TX3-INV-2]] * 0.25,
        0
    )
    +
    IF(
        $N41 &lt; 0.875,
        MAX(0, MIN(($H41 / 1000) * AF$10 * $BA$4, AF$11 * 0.876) - (AF$11 * $N41)) * 0.25,
        0
    )
)</f>
        <v/>
      </c>
      <c r="AG41" s="117">
        <f>IF(
    AND($H41 &gt; $BA$7, Tabella01MarzoInverter[[#This Row],[Active power TX2-INV-6]] &lt;= 0, Tabella01MarzoInverter[[#This Row],[Active power TX3-INV-3]] &lt;= 0),
    MIN(($H41 / 1000) * AG$10 * $BA$4, AG$11 * 0.876) * 0.25,
    IF(
        AND($H41 &gt; $BA$7, Tabella01MarzoInverter[[#This Row],[Active power TX2-INV-6]] &lt;= 0),
        Tabella01MarzoInverter[[#This Row],[Active power TX3-INV-3]] * 0.25,
        0
    )
    +
    IF(
        $N41 &lt; 0.875,
        MAX(0, MIN(($H41 / 1000) * AG$10 * $BA$4, AG$11 * 0.876) - (AG$11 * $N41)) * 0.25,
        0
    )
)</f>
        <v/>
      </c>
      <c r="AH41" s="117">
        <f>IF(
    AND($H41 &gt; $BA$7, Tabella01MarzoInverter[[#This Row],[Active power TX2-INV-7]] &lt;= 0, Tabella01MarzoInverter[[#This Row],[Active power TX3-INV-4]] &lt;= 0),
    MIN(($H41 / 1000) * AH$10 * $BA$4, AH$11 * 0.876) * 0.25,
    IF(
        AND($H41 &gt; $BA$7, Tabella01MarzoInverter[[#This Row],[Active power TX2-INV-7]] &lt;= 0),
        Tabella01MarzoInverter[[#This Row],[Active power TX3-INV-4]] * 0.25,
        0
    )
    +
    IF(
        $N41 &lt; 0.875,
        MAX(0, MIN(($H41 / 1000) * AH$10 * $BA$4, AH$11 * 0.876) - (AH$11 * $N41)) * 0.25,
        0
    )
)</f>
        <v/>
      </c>
      <c r="AI41" s="117">
        <f>IF(
    AND($H41 &gt; $BA$7, Tabella01MarzoInverter[[#This Row],[Active power TX2-INV-8]] &lt;= 0, Tabella01MarzoInverter[[#This Row],[Active power TX3-INV-5]] &lt;= 0),
    MIN(($H41 / 1000) * AI$10 * $BA$4, AI$11 * 0.876) * 0.25,
    IF(
        AND($H41 &gt; $BA$7, Tabella01MarzoInverter[[#This Row],[Active power TX2-INV-8]] &lt;= 0),
        Tabella01MarzoInverter[[#This Row],[Active power TX3-INV-5]] * 0.25,
        0
    )
    +
    IF(
        $N41 &lt; 0.875,
        MAX(0, MIN(($H41 / 1000) * AI$10 * $BA$4, AI$11 * 0.876) - (AI$11 * $N41)) * 0.25,
        0
    )
)</f>
        <v/>
      </c>
      <c r="AJ41" s="117">
        <f>IF(
    AND($H41 &gt; $BA$7, Tabella01MarzoInverter[[#This Row],[Active power TX2-INV-9]] &lt;= 0, Tabella01MarzoInverter[[#This Row],[Active power TX3-INV-6]] &lt;= 0),
    MIN(($H41 / 1000) * AJ$10 * $BA$4, AJ$11 * 0.876) * 0.25,
    IF(
        AND($H41 &gt; $BA$7, Tabella01MarzoInverter[[#This Row],[Active power TX2-INV-9]] &lt;= 0),
        Tabella01MarzoInverter[[#This Row],[Active power TX3-INV-6]] * 0.25,
        0
    )
    +
    IF(
        $N41 &lt; 0.875,
        MAX(0, MIN(($H41 / 1000) * AJ$10 * $BA$4, AJ$11 * 0.876) - (AJ$11 * $N41)) * 0.25,
        0
    )
)</f>
        <v/>
      </c>
      <c r="AK41" s="117">
        <f>IF(
    AND($H41 &gt; $BA$7, Tabella01MarzoInverter[[#This Row],[Active power TX2-INV-10]] &lt;= 0, Tabella01MarzoInverter[[#This Row],[Active power TX3-INV-7]] &lt;= 0),
    MIN(($H41 / 1000) * AK$10 * $BA$4, AK$11 * 0.876) * 0.25,
    IF(
        AND($H41 &gt; $BA$7, Tabella01MarzoInverter[[#This Row],[Active power TX2-INV-10]] &lt;= 0),
        Tabella01MarzoInverter[[#This Row],[Active power TX3-INV-7]] * 0.25,
        0
    )
    +
    IF(
        $N41 &lt; 0.875,
        MAX(0, MIN(($H41 / 1000) * AK$10 * $BA$4, AK$11 * 0.876) - (AK$11 * $N41)) * 0.25,
        0
    )
)</f>
        <v/>
      </c>
      <c r="AL41" s="117">
        <f>IF(
    AND($H41 &gt; $BA$7, Tabella01MarzoInverter[[#This Row],[Active power TX2-INV-11]] &lt;= 0, Tabella01MarzoInverter[[#This Row],[Active power TX3-INV-8]] &lt;= 0),
    MIN(($H41 / 1000) * AL$10 * $BA$4, AL$11 * 0.876) * 0.25,
    IF(
        AND($H41 &gt; $BA$7, Tabella01MarzoInverter[[#This Row],[Active power TX2-INV-11]] &lt;= 0),
        Tabella01MarzoInverter[[#This Row],[Active power TX3-INV-8]] * 0.25,
        0
    )
    +
    IF(
        $N41 &lt; 0.875,
        MAX(0, MIN(($H41 / 1000) * AL$10 * $BA$4, AL$11 * 0.876) - (AL$11 * $N41)) * 0.25,
        0
    )
)</f>
        <v/>
      </c>
      <c r="AM41" s="117">
        <f>IF(
    AND($H41 &gt; $BA$7, Tabella01MarzoInverter[[#This Row],[Active power TX2-INV-12]] &lt;= 0, Tabella01MarzoInverter[[#This Row],[Active power TX3-INV-9]] &lt;= 0),
    MIN(($H41 / 1000) * AM$10 * $BA$4, AM$11 * 0.876) * 0.25,
    IF(
        AND($H41 &gt; $BA$7, Tabella01MarzoInverter[[#This Row],[Active power TX2-INV-12]] &lt;= 0),
        Tabella01MarzoInverter[[#This Row],[Active power TX3-INV-9]] * 0.25,
        0
    )
    +
    IF(
        $N41 &lt; 0.875,
        MAX(0, MIN(($H41 / 1000) * AM$10 * $BA$4, AM$11 * 0.876) - (AM$11 * $N41)) * 0.25,
        0
    )
)</f>
        <v/>
      </c>
      <c r="AN41" s="118">
        <f>SUM(TabellaMar2026[[#This Row],[Colonna39]:[Colonna6]])</f>
        <v/>
      </c>
      <c r="AO41" s="117">
        <f t="array" ref="AO41">IF(
    AND($H41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($H41 / 1000) * AO$10 * $BA$4 * 0.25
    ),
    0
)
+
IF(
    $N41 &lt; 0.875,
    MAX(0, MIN(($H41 / 1000) * AO$10 * $BA$4, AO$11 * 0.876) - (AO$11 * $N41)) * 0.25,
    0
)</f>
        <v/>
      </c>
      <c r="AP41" s="117">
        <f t="array" ref="AP41">IF(
    AND($H41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($H41 / 1000) * AP$10 * $BA$4 * 0.25
    ),
    0
)
+
IF(
    $N41 &lt; 0.875,
    MAX(0, MIN(($H41 / 1000) * AP$10 * $BA$4, AP$11 * 0.876) - (AP$11 * $N41)) * 0.25,
    0
)</f>
        <v/>
      </c>
      <c r="AQ41" s="117">
        <f t="array" ref="AQ41">IF(
    AND($H41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($H41 / 1000) * AQ$10 * $BA$4 * 0.25
    ),
    0
)
+
IF(
    $N41 &lt; 0.875,
    MAX(0, MIN(($H41 / 1000) * AQ$10 * $BA$4, AQ$11 * 0.876) - (AQ$11 * $N41)) * 0.25,
    0
)</f>
        <v/>
      </c>
      <c r="AR41" s="117">
        <f t="array" ref="AR41">IF(
    AND($H41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($H41 / 1000) * AR$10 * $BA$4 * 0.25
    ),
    0
)
+
IF(
    $N41 &lt; 0.875,
    MAX(0, MIN(($H41 / 1000) * AR$10 * $BA$4, AR$11 * 0.876) - (AR$11 * $N41)) * 0.25,
    0
)</f>
        <v/>
      </c>
      <c r="AS41" s="117">
        <f t="array" ref="AS41">IF(
    AND($H41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($H41 / 1000) * AS$10 * $BA$4 * 0.25
    ),
    0
)
+
IF(
    $N41 &lt; 0.875,
    MAX(0, MIN(($H41 / 1000) * AS$10 * $BA$4, AS$11 * 0.876) - (AS$11 * $N41)) * 0.25,
    0
)</f>
        <v/>
      </c>
      <c r="AT41" s="117">
        <f t="array" ref="AT41">IF(
    AND($H41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($H41 / 1000) * AT$10 * $BA$4 * 0.25
    ),
    0
)
+
IF(
    $N41 &lt; 0.875,
    MAX(0, MIN(($H41 / 1000) * AT$10 * $BA$4, AT$11 * 0.876) - (AT$11 * $N41)) * 0.25,
    0
)</f>
        <v/>
      </c>
      <c r="AU41" s="117">
        <f t="array" ref="AU41">IF(
    AND($H41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($H41 / 1000) * AU$10 * $BA$4 * 0.25
    ),
    0
)
+
IF(
    $N41 &lt; 0.875,
    MAX(0, MIN(($H41 / 1000) * AU$10 * $BA$4, AU$11 * 0.876) - (AU$11 * $N41)) * 0.25,
    0
)</f>
        <v/>
      </c>
      <c r="AV41" s="117">
        <f t="array" ref="AV41">IF(
    AND($H41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($H41 / 1000) * AV$10 * $BA$4 * 0.25
    ),
    0
)
+
IF(
    $N41 &lt; 0.875,
    MAX(0, MIN(($H41 / 1000) * AV$10 * $BA$4, AV$11 * 0.876) - (AV$11 * $N41)) * 0.25,
    0
)</f>
        <v/>
      </c>
      <c r="AW41" s="117">
        <f t="array" ref="AW41">IF(
    AND($H41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($H41 / 1000) * AW$10 * $BA$4 * 0.25
    ),
    0
)
+
IF(
    $N41 &lt; 0.875,
    MAX(0, MIN(($H41 / 1000) * AW$10 * $BA$4, AW$11 * 0.876) - (AW$11 * $N41)) * 0.25,
    0
)</f>
        <v/>
      </c>
      <c r="AX41" s="117">
        <f t="array" ref="AX41">IF(
    AND($H41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($H41 / 1000) * AX$10 * $BA$4 * 0.25
    ),
    0
)
+
IF(
    $N41 &lt; 0.875,
    MAX(0, MIN(($H41 / 1000) * AX$10 * $BA$4, AX$11 * 0.876) - (AX$11 * $N41)) * 0.25,
    0
)</f>
        <v/>
      </c>
      <c r="AY41" s="117">
        <f t="array" ref="AY41">IF(
    AND($H41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($H41 / 1000) * AY$10 * $BA$4 * 0.25
    ),
    0
)
+
IF(
    $N41 &lt; 0.875,
    MAX(0, MIN(($H41 / 1000) * AY$10 * $BA$4, AY$11 * 0.876) - (AY$11 * $N41)) * 0.25,
    0
)</f>
        <v/>
      </c>
      <c r="AZ41" s="117">
        <f t="array" ref="AZ41">IF(
    AND($H41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($H41 / 1000) * AZ$10 * $BA$4 * 0.25
    ),
    0
)
+
IF(
    $N41 &lt; 0.875,
    MAX(0, MIN(($H41 / 1000) * AZ$10 * $BA$4, AZ$11 * 0.876) - (AZ$11 * $N41)) * 0.25,
    0
)</f>
        <v/>
      </c>
      <c r="BA41" s="119">
        <f>SUM(TabellaMar2026[[#This Row],[Colonna54]:[Colonna53]])</f>
        <v/>
      </c>
    </row>
    <row r="42">
      <c r="A42" s="112" t="n">
        <v>46143</v>
      </c>
      <c r="B42" t="inlineStr">
        <is>
          <t>06:45:00.000</t>
        </is>
      </c>
      <c r="C42" s="2" t="n">
        <v>41.9</v>
      </c>
      <c r="D42" s="113" t="n">
        <v>0.010475</v>
      </c>
      <c r="E42" s="113" t="n">
        <v>41.9</v>
      </c>
      <c r="F42" s="113" t="n">
        <v>0.010475</v>
      </c>
      <c r="G42" s="113">
        <f>IFERROR((D42+F42)/2, 0)</f>
        <v/>
      </c>
      <c r="H42" s="114">
        <f>IFERROR(IF(AVERAGE(C42,E42)&gt;$BA$7,AVERAGE(C42,E42),0), 0)</f>
        <v/>
      </c>
      <c r="I42" s="114">
        <f>IFERROR(IF(AND(D42=0,F42=0),0,IF(H42&gt;$BA$6,MAX(D42,F42),G42)), 0)</f>
        <v/>
      </c>
      <c r="J42" s="113">
        <f>IFERROR(IF(AND(D42&gt;0,F42&gt;0),ABS(D42-F42)/AVERAGE(D42,F42),0), 0)</f>
        <v/>
      </c>
      <c r="K42" s="113" t="n">
        <v>30098.6</v>
      </c>
      <c r="L42" s="113" t="n">
        <v>30098.7</v>
      </c>
      <c r="M42" s="115">
        <f>IFERROR((L42-K42)*1000, 0)</f>
        <v/>
      </c>
      <c r="N42" s="113" t="n">
        <v>0.8759999999999999</v>
      </c>
      <c r="O42" s="115">
        <f t="array" ref="O42">IF(
    AND($H42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($H42 / 1000) * O$10 * $BA$4 * 0.25
    ),
    0
)
+
IF(
    $N42 &lt; 0.875,
    MAX(0, MIN(($H42 / 1000) * O$10 * $BA$4, O$11 * 0.876) - (O$11 * $N42)) * 0.25,
    0
)</f>
        <v/>
      </c>
      <c r="P42" s="115">
        <f t="array" ref="P42">IF(
    AND($H42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($H42 / 1000) * P$10 * $BA$4 * 0.25
    ),
    0
)
+
IF(
    $N42 &lt; 0.875,
    MAX(0, MIN(($H42 / 1000) * P$10 * $BA$4, P$11 * 0.876) - (P$11 * $N42)) * 0.25,
    0
)</f>
        <v/>
      </c>
      <c r="Q42" s="115">
        <f t="array" ref="Q42">IF(
    AND($H42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($H42 / 1000) * Q$10 * $BA$4 * 0.25
    ),
    0
)
+
IF(
    $N42 &lt; 0.875,
    MAX(0, MIN(($H42 / 1000) * Q$10 * $BA$4, Q$11 * 0.876) - (Q$11 * $N42)) * 0.25,
    0
)</f>
        <v/>
      </c>
      <c r="R42" s="115">
        <f t="array" ref="R42">IF(
    AND($H42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($H42 / 1000) * R$10 * $BA$4 * 0.25
    ),
    0
)
+
IF(
    $N42 &lt; 0.875,
    MAX(0, MIN(($H42 / 1000) * R$10 * $BA$4, R$11 * 0.876) - (R$11 * $N42)) * 0.25,
    0
)</f>
        <v/>
      </c>
      <c r="S42" s="115">
        <f t="array" ref="S42">IF(
    AND($H42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($H42 / 1000) * S$10 * $BA$4 * 0.25
    ),
    0
)
+
IF(
    $N42 &lt; 0.875,
    MAX(0, MIN(($H42 / 1000) * S$10 * $BA$4, S$11 * 0.876) - (S$11 * $N42)) * 0.25,
    0
)</f>
        <v/>
      </c>
      <c r="T42" s="115">
        <f t="array" ref="T42">IF(
    AND($H42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($H42 / 1000) * T$10 * $BA$4 * 0.25
    ),
    0
)
+
IF(
    $N42 &lt; 0.875,
    MAX(0, MIN(($H42 / 1000) * T$10 * $BA$4, T$11 * 0.876) - (T$11 * $N42)) * 0.25,
    0
)</f>
        <v/>
      </c>
      <c r="U42" s="115">
        <f t="array" ref="U42">IF(
    AND($H42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($H42 / 1000) * U$10 * $BA$4 * 0.25
    ),
    0
)
+
IF(
    $N42 &lt; 0.875,
    MAX(0, MIN(($H42 / 1000) * U$10 * $BA$4, U$11 * 0.876) - (U$11 * $N42)) * 0.25,
    0
)</f>
        <v/>
      </c>
      <c r="V42" s="115">
        <f t="array" ref="V42">IF(
    AND($H42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($H42 / 1000) * V$10 * $BA$4 * 0.25
    ),
    0
)
+
IF(
    $N42 &lt; 0.875,
    MAX(0, MIN(($H42 / 1000) * V$10 * $BA$4, V$11 * 0.876) - (V$11 * $N42)) * 0.25,
    0
)</f>
        <v/>
      </c>
      <c r="W42" s="115">
        <f t="array" ref="W42">IF(
    AND($H42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($H42 / 1000) * W$10 * $BA$4 * 0.25
    ),
    0
)
+
IF(
    $N42 &lt; 0.875,
    MAX(0, MIN(($H42 / 1000) * W$10 * $BA$4, W$11 * 0.876) - (W$11 * $N42)) * 0.25,
    0
)</f>
        <v/>
      </c>
      <c r="X42" s="115">
        <f t="array" ref="X42">IF(
    AND($H42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($H42 / 1000) * X$10 * $BA$4 * 0.25
    ),
    0
)
+
IF(
    $N42 &lt; 0.875,
    MAX(0, MIN(($H42 / 1000) * X$10 * $BA$4, X$11 * 0.876) - (X$11 * $N42)) * 0.25,
    0
)</f>
        <v/>
      </c>
      <c r="Y42" s="115">
        <f t="array" ref="Y42">IF(
    AND($H42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($H42 / 1000) * Y$10 * $BA$4 * 0.25
    ),
    0
)
+
IF(
    $N42 &lt; 0.875,
    MAX(0, MIN(($H42 / 1000) * Y$10 * $BA$4, Y$11 * 0.876) - (Y$11 * $N42)) * 0.25,
    0
)</f>
        <v/>
      </c>
      <c r="Z42" s="115">
        <f t="array" ref="Z42">IF(
    AND($H42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($H42 / 1000) * Z$10 * $BA$4 * 0.25
    ),
    0
)
+
IF(
    $N42 &lt; 0.875,
    MAX(0, MIN(($H42 / 1000) * Z$10 * $BA$4, Z$11 * 0.876) - (Z$11 * $N42)) * 0.25,
    0
)</f>
        <v/>
      </c>
      <c r="AA42" s="116">
        <f>SUM(TabellaMar2026[[#This Row],[Colonna24]:[Colonna20]])</f>
        <v/>
      </c>
      <c r="AB42" s="117">
        <f>IF(
    AND($H42 &gt; $BA$7, Tabella01MarzoInverter[[#This Row],[Active power TX2-INV-1]] &lt;= 0, Tabella01MarzoInverter[[#This Row],[TX2 - Average Power]] &lt;= 0),
    MIN(($H42 / 1000) * AB$10 * $BA$4, AB$11 * 0.876) * 0.25,
    IF(
        AND($H42 &gt; $BA$7, Tabella01MarzoInverter[[#This Row],[Active power TX2-INV-1]] &lt;= 0),
        Tabella01MarzoInverter[[#This Row],[TX2 - Average Power]] * 0.25,
        0
    )
    +
    IF(
        $N42 &lt; 0.875,
        MAX(0, MIN(($H42 / 1000) * AB$10 * $BA$4, AB$11 * 0.876) - (AB$11 * $N42)) * 0.25,
        0
    )
)</f>
        <v/>
      </c>
      <c r="AC42" s="117">
        <f>IF(
    AND($H42 &gt; $BA$7, Tabella01MarzoInverter[[#This Row],[Active power TX2-INV-2]] &lt;= 0, Tabella01MarzoInverter[[#This Row],[TX2 - Max Power]] &lt;= 0),
    MIN(($H42 / 1000) * AC$10 * $BA$4, AC$11 * 0.876) * 0.25,
    IF(
        AND($H42 &gt; $BA$7, Tabella01MarzoInverter[[#This Row],[Active power TX2-INV-2]] &lt;= 0),
        Tabella01MarzoInverter[[#This Row],[TX2 - Max Power]] * 0.25,
        0
    )
    +
    IF(
        $N42 &lt; 0.875,
        MAX(0, MIN(($H42 / 1000) * AC$10 * $BA$4, AC$11 * 0.876) - (AC$11 * $N42)) * 0.25,
        0
    )
)</f>
        <v/>
      </c>
      <c r="AD42" s="117">
        <f>IF(
    AND($H42 &gt; $BA$7, Tabella01MarzoInverter[[#This Row],[Active power TX2-INV-3]] &lt;= 0, Tabella01MarzoInverter[[#This Row],[TX2 - Min Power]] &lt;= 0),
    MIN(($H42 / 1000) * AD$10 * $BA$4, AD$11 * 0.876) * 0.25,
    IF(
        AND($H42 &gt; $BA$7, Tabella01MarzoInverter[[#This Row],[Active power TX2-INV-3]] &lt;= 0),
        Tabella01MarzoInverter[[#This Row],[TX2 - Min Power]] * 0.25,
        0
    )
    +
    IF(
        $N42 &lt; 0.875,
        MAX(0, MIN(($H42 / 1000) * AD$10 * $BA$4, AD$11 * 0.876) - (AD$11 * $N42)) * 0.25,
        0
    )
)</f>
        <v/>
      </c>
      <c r="AE42" s="117">
        <f>IF(
    AND($H42 &gt; $BA$7, Tabella01MarzoInverter[[#This Row],[Active power TX2-INV-4]] &lt;= 0, Tabella01MarzoInverter[[#This Row],[Active power TX3-INV-1]] &lt;= 0),
    MIN(($H42 / 1000) * AE$10 * $BA$4, AE$11 * 0.876) * 0.25,
    IF(
        AND($H42 &gt; $BA$7, Tabella01MarzoInverter[[#This Row],[Active power TX2-INV-4]] &lt;= 0),
        Tabella01MarzoInverter[[#This Row],[Active power TX3-INV-1]] * 0.25,
        0
    )
    +
    IF(
        $N42 &lt; 0.875,
        MAX(0, MIN(($H42 / 1000) * AE$10 * $BA$4, AE$11 * 0.876) - (AE$11 * $N42)) * 0.25,
        0
    )
)</f>
        <v/>
      </c>
      <c r="AF42" s="117">
        <f>IF(
    AND($H42 &gt; $BA$7, Tabella01MarzoInverter[[#This Row],[Active power TX2-INV-5]] &lt;= 0, Tabella01MarzoInverter[[#This Row],[Active power TX3-INV-2]] &lt;= 0),
    MIN(($H42 / 1000) * AF$10 * $BA$4, AF$11 * 0.876) * 0.25,
    IF(
        AND($H42 &gt; $BA$7, Tabella01MarzoInverter[[#This Row],[Active power TX2-INV-5]] &lt;= 0),
        Tabella01MarzoInverter[[#This Row],[Active power TX3-INV-2]] * 0.25,
        0
    )
    +
    IF(
        $N42 &lt; 0.875,
        MAX(0, MIN(($H42 / 1000) * AF$10 * $BA$4, AF$11 * 0.876) - (AF$11 * $N42)) * 0.25,
        0
    )
)</f>
        <v/>
      </c>
      <c r="AG42" s="117">
        <f>IF(
    AND($H42 &gt; $BA$7, Tabella01MarzoInverter[[#This Row],[Active power TX2-INV-6]] &lt;= 0, Tabella01MarzoInverter[[#This Row],[Active power TX3-INV-3]] &lt;= 0),
    MIN(($H42 / 1000) * AG$10 * $BA$4, AG$11 * 0.876) * 0.25,
    IF(
        AND($H42 &gt; $BA$7, Tabella01MarzoInverter[[#This Row],[Active power TX2-INV-6]] &lt;= 0),
        Tabella01MarzoInverter[[#This Row],[Active power TX3-INV-3]] * 0.25,
        0
    )
    +
    IF(
        $N42 &lt; 0.875,
        MAX(0, MIN(($H42 / 1000) * AG$10 * $BA$4, AG$11 * 0.876) - (AG$11 * $N42)) * 0.25,
        0
    )
)</f>
        <v/>
      </c>
      <c r="AH42" s="117">
        <f>IF(
    AND($H42 &gt; $BA$7, Tabella01MarzoInverter[[#This Row],[Active power TX2-INV-7]] &lt;= 0, Tabella01MarzoInverter[[#This Row],[Active power TX3-INV-4]] &lt;= 0),
    MIN(($H42 / 1000) * AH$10 * $BA$4, AH$11 * 0.876) * 0.25,
    IF(
        AND($H42 &gt; $BA$7, Tabella01MarzoInverter[[#This Row],[Active power TX2-INV-7]] &lt;= 0),
        Tabella01MarzoInverter[[#This Row],[Active power TX3-INV-4]] * 0.25,
        0
    )
    +
    IF(
        $N42 &lt; 0.875,
        MAX(0, MIN(($H42 / 1000) * AH$10 * $BA$4, AH$11 * 0.876) - (AH$11 * $N42)) * 0.25,
        0
    )
)</f>
        <v/>
      </c>
      <c r="AI42" s="117">
        <f>IF(
    AND($H42 &gt; $BA$7, Tabella01MarzoInverter[[#This Row],[Active power TX2-INV-8]] &lt;= 0, Tabella01MarzoInverter[[#This Row],[Active power TX3-INV-5]] &lt;= 0),
    MIN(($H42 / 1000) * AI$10 * $BA$4, AI$11 * 0.876) * 0.25,
    IF(
        AND($H42 &gt; $BA$7, Tabella01MarzoInverter[[#This Row],[Active power TX2-INV-8]] &lt;= 0),
        Tabella01MarzoInverter[[#This Row],[Active power TX3-INV-5]] * 0.25,
        0
    )
    +
    IF(
        $N42 &lt; 0.875,
        MAX(0, MIN(($H42 / 1000) * AI$10 * $BA$4, AI$11 * 0.876) - (AI$11 * $N42)) * 0.25,
        0
    )
)</f>
        <v/>
      </c>
      <c r="AJ42" s="117">
        <f>IF(
    AND($H42 &gt; $BA$7, Tabella01MarzoInverter[[#This Row],[Active power TX2-INV-9]] &lt;= 0, Tabella01MarzoInverter[[#This Row],[Active power TX3-INV-6]] &lt;= 0),
    MIN(($H42 / 1000) * AJ$10 * $BA$4, AJ$11 * 0.876) * 0.25,
    IF(
        AND($H42 &gt; $BA$7, Tabella01MarzoInverter[[#This Row],[Active power TX2-INV-9]] &lt;= 0),
        Tabella01MarzoInverter[[#This Row],[Active power TX3-INV-6]] * 0.25,
        0
    )
    +
    IF(
        $N42 &lt; 0.875,
        MAX(0, MIN(($H42 / 1000) * AJ$10 * $BA$4, AJ$11 * 0.876) - (AJ$11 * $N42)) * 0.25,
        0
    )
)</f>
        <v/>
      </c>
      <c r="AK42" s="117">
        <f>IF(
    AND($H42 &gt; $BA$7, Tabella01MarzoInverter[[#This Row],[Active power TX2-INV-10]] &lt;= 0, Tabella01MarzoInverter[[#This Row],[Active power TX3-INV-7]] &lt;= 0),
    MIN(($H42 / 1000) * AK$10 * $BA$4, AK$11 * 0.876) * 0.25,
    IF(
        AND($H42 &gt; $BA$7, Tabella01MarzoInverter[[#This Row],[Active power TX2-INV-10]] &lt;= 0),
        Tabella01MarzoInverter[[#This Row],[Active power TX3-INV-7]] * 0.25,
        0
    )
    +
    IF(
        $N42 &lt; 0.875,
        MAX(0, MIN(($H42 / 1000) * AK$10 * $BA$4, AK$11 * 0.876) - (AK$11 * $N42)) * 0.25,
        0
    )
)</f>
        <v/>
      </c>
      <c r="AL42" s="117">
        <f>IF(
    AND($H42 &gt; $BA$7, Tabella01MarzoInverter[[#This Row],[Active power TX2-INV-11]] &lt;= 0, Tabella01MarzoInverter[[#This Row],[Active power TX3-INV-8]] &lt;= 0),
    MIN(($H42 / 1000) * AL$10 * $BA$4, AL$11 * 0.876) * 0.25,
    IF(
        AND($H42 &gt; $BA$7, Tabella01MarzoInverter[[#This Row],[Active power TX2-INV-11]] &lt;= 0),
        Tabella01MarzoInverter[[#This Row],[Active power TX3-INV-8]] * 0.25,
        0
    )
    +
    IF(
        $N42 &lt; 0.875,
        MAX(0, MIN(($H42 / 1000) * AL$10 * $BA$4, AL$11 * 0.876) - (AL$11 * $N42)) * 0.25,
        0
    )
)</f>
        <v/>
      </c>
      <c r="AM42" s="117">
        <f>IF(
    AND($H42 &gt; $BA$7, Tabella01MarzoInverter[[#This Row],[Active power TX2-INV-12]] &lt;= 0, Tabella01MarzoInverter[[#This Row],[Active power TX3-INV-9]] &lt;= 0),
    MIN(($H42 / 1000) * AM$10 * $BA$4, AM$11 * 0.876) * 0.25,
    IF(
        AND($H42 &gt; $BA$7, Tabella01MarzoInverter[[#This Row],[Active power TX2-INV-12]] &lt;= 0),
        Tabella01MarzoInverter[[#This Row],[Active power TX3-INV-9]] * 0.25,
        0
    )
    +
    IF(
        $N42 &lt; 0.875,
        MAX(0, MIN(($H42 / 1000) * AM$10 * $BA$4, AM$11 * 0.876) - (AM$11 * $N42)) * 0.25,
        0
    )
)</f>
        <v/>
      </c>
      <c r="AN42" s="118">
        <f>SUM(TabellaMar2026[[#This Row],[Colonna39]:[Colonna6]])</f>
        <v/>
      </c>
      <c r="AO42" s="117">
        <f t="array" ref="AO42">IF(
    AND($H42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($H42 / 1000) * AO$10 * $BA$4 * 0.25
    ),
    0
)
+
IF(
    $N42 &lt; 0.875,
    MAX(0, MIN(($H42 / 1000) * AO$10 * $BA$4, AO$11 * 0.876) - (AO$11 * $N42)) * 0.25,
    0
)</f>
        <v/>
      </c>
      <c r="AP42" s="117">
        <f t="array" ref="AP42">IF(
    AND($H42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($H42 / 1000) * AP$10 * $BA$4 * 0.25
    ),
    0
)
+
IF(
    $N42 &lt; 0.875,
    MAX(0, MIN(($H42 / 1000) * AP$10 * $BA$4, AP$11 * 0.876) - (AP$11 * $N42)) * 0.25,
    0
)</f>
        <v/>
      </c>
      <c r="AQ42" s="117">
        <f t="array" ref="AQ42">IF(
    AND($H42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($H42 / 1000) * AQ$10 * $BA$4 * 0.25
    ),
    0
)
+
IF(
    $N42 &lt; 0.875,
    MAX(0, MIN(($H42 / 1000) * AQ$10 * $BA$4, AQ$11 * 0.876) - (AQ$11 * $N42)) * 0.25,
    0
)</f>
        <v/>
      </c>
      <c r="AR42" s="117">
        <f t="array" ref="AR42">IF(
    AND($H42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($H42 / 1000) * AR$10 * $BA$4 * 0.25
    ),
    0
)
+
IF(
    $N42 &lt; 0.875,
    MAX(0, MIN(($H42 / 1000) * AR$10 * $BA$4, AR$11 * 0.876) - (AR$11 * $N42)) * 0.25,
    0
)</f>
        <v/>
      </c>
      <c r="AS42" s="117">
        <f t="array" ref="AS42">IF(
    AND($H42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($H42 / 1000) * AS$10 * $BA$4 * 0.25
    ),
    0
)
+
IF(
    $N42 &lt; 0.875,
    MAX(0, MIN(($H42 / 1000) * AS$10 * $BA$4, AS$11 * 0.876) - (AS$11 * $N42)) * 0.25,
    0
)</f>
        <v/>
      </c>
      <c r="AT42" s="117">
        <f t="array" ref="AT42">IF(
    AND($H42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($H42 / 1000) * AT$10 * $BA$4 * 0.25
    ),
    0
)
+
IF(
    $N42 &lt; 0.875,
    MAX(0, MIN(($H42 / 1000) * AT$10 * $BA$4, AT$11 * 0.876) - (AT$11 * $N42)) * 0.25,
    0
)</f>
        <v/>
      </c>
      <c r="AU42" s="117">
        <f t="array" ref="AU42">IF(
    AND($H42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($H42 / 1000) * AU$10 * $BA$4 * 0.25
    ),
    0
)
+
IF(
    $N42 &lt; 0.875,
    MAX(0, MIN(($H42 / 1000) * AU$10 * $BA$4, AU$11 * 0.876) - (AU$11 * $N42)) * 0.25,
    0
)</f>
        <v/>
      </c>
      <c r="AV42" s="117">
        <f t="array" ref="AV42">IF(
    AND($H42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($H42 / 1000) * AV$10 * $BA$4 * 0.25
    ),
    0
)
+
IF(
    $N42 &lt; 0.875,
    MAX(0, MIN(($H42 / 1000) * AV$10 * $BA$4, AV$11 * 0.876) - (AV$11 * $N42)) * 0.25,
    0
)</f>
        <v/>
      </c>
      <c r="AW42" s="117">
        <f t="array" ref="AW42">IF(
    AND($H42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($H42 / 1000) * AW$10 * $BA$4 * 0.25
    ),
    0
)
+
IF(
    $N42 &lt; 0.875,
    MAX(0, MIN(($H42 / 1000) * AW$10 * $BA$4, AW$11 * 0.876) - (AW$11 * $N42)) * 0.25,
    0
)</f>
        <v/>
      </c>
      <c r="AX42" s="117">
        <f t="array" ref="AX42">IF(
    AND($H42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($H42 / 1000) * AX$10 * $BA$4 * 0.25
    ),
    0
)
+
IF(
    $N42 &lt; 0.875,
    MAX(0, MIN(($H42 / 1000) * AX$10 * $BA$4, AX$11 * 0.876) - (AX$11 * $N42)) * 0.25,
    0
)</f>
        <v/>
      </c>
      <c r="AY42" s="117">
        <f t="array" ref="AY42">IF(
    AND($H42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($H42 / 1000) * AY$10 * $BA$4 * 0.25
    ),
    0
)
+
IF(
    $N42 &lt; 0.875,
    MAX(0, MIN(($H42 / 1000) * AY$10 * $BA$4, AY$11 * 0.876) - (AY$11 * $N42)) * 0.25,
    0
)</f>
        <v/>
      </c>
      <c r="AZ42" s="117">
        <f t="array" ref="AZ42">IF(
    AND($H42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($H42 / 1000) * AZ$10 * $BA$4 * 0.25
    ),
    0
)
+
IF(
    $N42 &lt; 0.875,
    MAX(0, MIN(($H42 / 1000) * AZ$10 * $BA$4, AZ$11 * 0.876) - (AZ$11 * $N42)) * 0.25,
    0
)</f>
        <v/>
      </c>
      <c r="BA42" s="119">
        <f>SUM(TabellaMar2026[[#This Row],[Colonna54]:[Colonna53]])</f>
        <v/>
      </c>
    </row>
    <row r="43">
      <c r="A43" s="112" t="n">
        <v>46143</v>
      </c>
      <c r="B43" t="inlineStr">
        <is>
          <t>07:00:00.000</t>
        </is>
      </c>
      <c r="C43" s="2" t="n">
        <v>79.8</v>
      </c>
      <c r="D43" s="113" t="n">
        <v>0.01995</v>
      </c>
      <c r="E43" s="113" t="n">
        <v>80.5</v>
      </c>
      <c r="F43" s="113" t="n">
        <v>0.020125</v>
      </c>
      <c r="G43" s="113">
        <f>IFERROR((D43+F43)/2, 0)</f>
        <v/>
      </c>
      <c r="H43" s="114">
        <f>IFERROR(IF(AVERAGE(C43,E43)&gt;$BA$7,AVERAGE(C43,E43),0), 0)</f>
        <v/>
      </c>
      <c r="I43" s="114">
        <f>IFERROR(IF(AND(D43=0,F43=0),0,IF(H43&gt;$BA$6,MAX(D43,F43),G43)), 0)</f>
        <v/>
      </c>
      <c r="J43" s="113">
        <f>IFERROR(IF(AND(D43&gt;0,F43&gt;0),ABS(D43-F43)/AVERAGE(D43,F43),0), 0)</f>
        <v/>
      </c>
      <c r="K43" s="113" t="n">
        <v>30098.7</v>
      </c>
      <c r="L43" s="113" t="n">
        <v>30098.8</v>
      </c>
      <c r="M43" s="115">
        <f>IFERROR((L43-K43)*1000, 0)</f>
        <v/>
      </c>
      <c r="N43" s="113" t="n">
        <v>0.8759999999999999</v>
      </c>
      <c r="O43" s="115">
        <f t="array" ref="O43">IF(
    AND($H43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($H43 / 1000) * O$10 * $BA$4 * 0.25
    ),
    0
)
+
IF(
    $N43 &lt; 0.875,
    MAX(0, MIN(($H43 / 1000) * O$10 * $BA$4, O$11 * 0.876) - (O$11 * $N43)) * 0.25,
    0
)</f>
        <v/>
      </c>
      <c r="P43" s="115">
        <f t="array" ref="P43">IF(
    AND($H43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($H43 / 1000) * P$10 * $BA$4 * 0.25
    ),
    0
)
+
IF(
    $N43 &lt; 0.875,
    MAX(0, MIN(($H43 / 1000) * P$10 * $BA$4, P$11 * 0.876) - (P$11 * $N43)) * 0.25,
    0
)</f>
        <v/>
      </c>
      <c r="Q43" s="115">
        <f t="array" ref="Q43">IF(
    AND($H43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($H43 / 1000) * Q$10 * $BA$4 * 0.25
    ),
    0
)
+
IF(
    $N43 &lt; 0.875,
    MAX(0, MIN(($H43 / 1000) * Q$10 * $BA$4, Q$11 * 0.876) - (Q$11 * $N43)) * 0.25,
    0
)</f>
        <v/>
      </c>
      <c r="R43" s="115">
        <f t="array" ref="R43">IF(
    AND($H43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($H43 / 1000) * R$10 * $BA$4 * 0.25
    ),
    0
)
+
IF(
    $N43 &lt; 0.875,
    MAX(0, MIN(($H43 / 1000) * R$10 * $BA$4, R$11 * 0.876) - (R$11 * $N43)) * 0.25,
    0
)</f>
        <v/>
      </c>
      <c r="S43" s="115">
        <f t="array" ref="S43">IF(
    AND($H43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($H43 / 1000) * S$10 * $BA$4 * 0.25
    ),
    0
)
+
IF(
    $N43 &lt; 0.875,
    MAX(0, MIN(($H43 / 1000) * S$10 * $BA$4, S$11 * 0.876) - (S$11 * $N43)) * 0.25,
    0
)</f>
        <v/>
      </c>
      <c r="T43" s="115">
        <f t="array" ref="T43">IF(
    AND($H43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($H43 / 1000) * T$10 * $BA$4 * 0.25
    ),
    0
)
+
IF(
    $N43 &lt; 0.875,
    MAX(0, MIN(($H43 / 1000) * T$10 * $BA$4, T$11 * 0.876) - (T$11 * $N43)) * 0.25,
    0
)</f>
        <v/>
      </c>
      <c r="U43" s="115">
        <f t="array" ref="U43">IF(
    AND($H43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($H43 / 1000) * U$10 * $BA$4 * 0.25
    ),
    0
)
+
IF(
    $N43 &lt; 0.875,
    MAX(0, MIN(($H43 / 1000) * U$10 * $BA$4, U$11 * 0.876) - (U$11 * $N43)) * 0.25,
    0
)</f>
        <v/>
      </c>
      <c r="V43" s="115">
        <f t="array" ref="V43">IF(
    AND($H43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($H43 / 1000) * V$10 * $BA$4 * 0.25
    ),
    0
)
+
IF(
    $N43 &lt; 0.875,
    MAX(0, MIN(($H43 / 1000) * V$10 * $BA$4, V$11 * 0.876) - (V$11 * $N43)) * 0.25,
    0
)</f>
        <v/>
      </c>
      <c r="W43" s="115">
        <f t="array" ref="W43">IF(
    AND($H43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($H43 / 1000) * W$10 * $BA$4 * 0.25
    ),
    0
)
+
IF(
    $N43 &lt; 0.875,
    MAX(0, MIN(($H43 / 1000) * W$10 * $BA$4, W$11 * 0.876) - (W$11 * $N43)) * 0.25,
    0
)</f>
        <v/>
      </c>
      <c r="X43" s="115">
        <f t="array" ref="X43">IF(
    AND($H43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($H43 / 1000) * X$10 * $BA$4 * 0.25
    ),
    0
)
+
IF(
    $N43 &lt; 0.875,
    MAX(0, MIN(($H43 / 1000) * X$10 * $BA$4, X$11 * 0.876) - (X$11 * $N43)) * 0.25,
    0
)</f>
        <v/>
      </c>
      <c r="Y43" s="115">
        <f t="array" ref="Y43">IF(
    AND($H43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($H43 / 1000) * Y$10 * $BA$4 * 0.25
    ),
    0
)
+
IF(
    $N43 &lt; 0.875,
    MAX(0, MIN(($H43 / 1000) * Y$10 * $BA$4, Y$11 * 0.876) - (Y$11 * $N43)) * 0.25,
    0
)</f>
        <v/>
      </c>
      <c r="Z43" s="115">
        <f t="array" ref="Z43">IF(
    AND($H43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($H43 / 1000) * Z$10 * $BA$4 * 0.25
    ),
    0
)
+
IF(
    $N43 &lt; 0.875,
    MAX(0, MIN(($H43 / 1000) * Z$10 * $BA$4, Z$11 * 0.876) - (Z$11 * $N43)) * 0.25,
    0
)</f>
        <v/>
      </c>
      <c r="AA43" s="116">
        <f>SUM(TabellaMar2026[[#This Row],[Colonna24]:[Colonna20]])</f>
        <v/>
      </c>
      <c r="AB43" s="117">
        <f>IF(
    AND($H43 &gt; $BA$7, Tabella01MarzoInverter[[#This Row],[Active power TX2-INV-1]] &lt;= 0, Tabella01MarzoInverter[[#This Row],[TX2 - Average Power]] &lt;= 0),
    MIN(($H43 / 1000) * AB$10 * $BA$4, AB$11 * 0.876) * 0.25,
    IF(
        AND($H43 &gt; $BA$7, Tabella01MarzoInverter[[#This Row],[Active power TX2-INV-1]] &lt;= 0),
        Tabella01MarzoInverter[[#This Row],[TX2 - Average Power]] * 0.25,
        0
    )
    +
    IF(
        $N43 &lt; 0.875,
        MAX(0, MIN(($H43 / 1000) * AB$10 * $BA$4, AB$11 * 0.876) - (AB$11 * $N43)) * 0.25,
        0
    )
)</f>
        <v/>
      </c>
      <c r="AC43" s="117">
        <f>IF(
    AND($H43 &gt; $BA$7, Tabella01MarzoInverter[[#This Row],[Active power TX2-INV-2]] &lt;= 0, Tabella01MarzoInverter[[#This Row],[TX2 - Max Power]] &lt;= 0),
    MIN(($H43 / 1000) * AC$10 * $BA$4, AC$11 * 0.876) * 0.25,
    IF(
        AND($H43 &gt; $BA$7, Tabella01MarzoInverter[[#This Row],[Active power TX2-INV-2]] &lt;= 0),
        Tabella01MarzoInverter[[#This Row],[TX2 - Max Power]] * 0.25,
        0
    )
    +
    IF(
        $N43 &lt; 0.875,
        MAX(0, MIN(($H43 / 1000) * AC$10 * $BA$4, AC$11 * 0.876) - (AC$11 * $N43)) * 0.25,
        0
    )
)</f>
        <v/>
      </c>
      <c r="AD43" s="117">
        <f>IF(
    AND($H43 &gt; $BA$7, Tabella01MarzoInverter[[#This Row],[Active power TX2-INV-3]] &lt;= 0, Tabella01MarzoInverter[[#This Row],[TX2 - Min Power]] &lt;= 0),
    MIN(($H43 / 1000) * AD$10 * $BA$4, AD$11 * 0.876) * 0.25,
    IF(
        AND($H43 &gt; $BA$7, Tabella01MarzoInverter[[#This Row],[Active power TX2-INV-3]] &lt;= 0),
        Tabella01MarzoInverter[[#This Row],[TX2 - Min Power]] * 0.25,
        0
    )
    +
    IF(
        $N43 &lt; 0.875,
        MAX(0, MIN(($H43 / 1000) * AD$10 * $BA$4, AD$11 * 0.876) - (AD$11 * $N43)) * 0.25,
        0
    )
)</f>
        <v/>
      </c>
      <c r="AE43" s="117">
        <f>IF(
    AND($H43 &gt; $BA$7, Tabella01MarzoInverter[[#This Row],[Active power TX2-INV-4]] &lt;= 0, Tabella01MarzoInverter[[#This Row],[Active power TX3-INV-1]] &lt;= 0),
    MIN(($H43 / 1000) * AE$10 * $BA$4, AE$11 * 0.876) * 0.25,
    IF(
        AND($H43 &gt; $BA$7, Tabella01MarzoInverter[[#This Row],[Active power TX2-INV-4]] &lt;= 0),
        Tabella01MarzoInverter[[#This Row],[Active power TX3-INV-1]] * 0.25,
        0
    )
    +
    IF(
        $N43 &lt; 0.875,
        MAX(0, MIN(($H43 / 1000) * AE$10 * $BA$4, AE$11 * 0.876) - (AE$11 * $N43)) * 0.25,
        0
    )
)</f>
        <v/>
      </c>
      <c r="AF43" s="117">
        <f>IF(
    AND($H43 &gt; $BA$7, Tabella01MarzoInverter[[#This Row],[Active power TX2-INV-5]] &lt;= 0, Tabella01MarzoInverter[[#This Row],[Active power TX3-INV-2]] &lt;= 0),
    MIN(($H43 / 1000) * AF$10 * $BA$4, AF$11 * 0.876) * 0.25,
    IF(
        AND($H43 &gt; $BA$7, Tabella01MarzoInverter[[#This Row],[Active power TX2-INV-5]] &lt;= 0),
        Tabella01MarzoInverter[[#This Row],[Active power TX3-INV-2]] * 0.25,
        0
    )
    +
    IF(
        $N43 &lt; 0.875,
        MAX(0, MIN(($H43 / 1000) * AF$10 * $BA$4, AF$11 * 0.876) - (AF$11 * $N43)) * 0.25,
        0
    )
)</f>
        <v/>
      </c>
      <c r="AG43" s="117">
        <f>IF(
    AND($H43 &gt; $BA$7, Tabella01MarzoInverter[[#This Row],[Active power TX2-INV-6]] &lt;= 0, Tabella01MarzoInverter[[#This Row],[Active power TX3-INV-3]] &lt;= 0),
    MIN(($H43 / 1000) * AG$10 * $BA$4, AG$11 * 0.876) * 0.25,
    IF(
        AND($H43 &gt; $BA$7, Tabella01MarzoInverter[[#This Row],[Active power TX2-INV-6]] &lt;= 0),
        Tabella01MarzoInverter[[#This Row],[Active power TX3-INV-3]] * 0.25,
        0
    )
    +
    IF(
        $N43 &lt; 0.875,
        MAX(0, MIN(($H43 / 1000) * AG$10 * $BA$4, AG$11 * 0.876) - (AG$11 * $N43)) * 0.25,
        0
    )
)</f>
        <v/>
      </c>
      <c r="AH43" s="117">
        <f>IF(
    AND($H43 &gt; $BA$7, Tabella01MarzoInverter[[#This Row],[Active power TX2-INV-7]] &lt;= 0, Tabella01MarzoInverter[[#This Row],[Active power TX3-INV-4]] &lt;= 0),
    MIN(($H43 / 1000) * AH$10 * $BA$4, AH$11 * 0.876) * 0.25,
    IF(
        AND($H43 &gt; $BA$7, Tabella01MarzoInverter[[#This Row],[Active power TX2-INV-7]] &lt;= 0),
        Tabella01MarzoInverter[[#This Row],[Active power TX3-INV-4]] * 0.25,
        0
    )
    +
    IF(
        $N43 &lt; 0.875,
        MAX(0, MIN(($H43 / 1000) * AH$10 * $BA$4, AH$11 * 0.876) - (AH$11 * $N43)) * 0.25,
        0
    )
)</f>
        <v/>
      </c>
      <c r="AI43" s="117">
        <f>IF(
    AND($H43 &gt; $BA$7, Tabella01MarzoInverter[[#This Row],[Active power TX2-INV-8]] &lt;= 0, Tabella01MarzoInverter[[#This Row],[Active power TX3-INV-5]] &lt;= 0),
    MIN(($H43 / 1000) * AI$10 * $BA$4, AI$11 * 0.876) * 0.25,
    IF(
        AND($H43 &gt; $BA$7, Tabella01MarzoInverter[[#This Row],[Active power TX2-INV-8]] &lt;= 0),
        Tabella01MarzoInverter[[#This Row],[Active power TX3-INV-5]] * 0.25,
        0
    )
    +
    IF(
        $N43 &lt; 0.875,
        MAX(0, MIN(($H43 / 1000) * AI$10 * $BA$4, AI$11 * 0.876) - (AI$11 * $N43)) * 0.25,
        0
    )
)</f>
        <v/>
      </c>
      <c r="AJ43" s="117">
        <f>IF(
    AND($H43 &gt; $BA$7, Tabella01MarzoInverter[[#This Row],[Active power TX2-INV-9]] &lt;= 0, Tabella01MarzoInverter[[#This Row],[Active power TX3-INV-6]] &lt;= 0),
    MIN(($H43 / 1000) * AJ$10 * $BA$4, AJ$11 * 0.876) * 0.25,
    IF(
        AND($H43 &gt; $BA$7, Tabella01MarzoInverter[[#This Row],[Active power TX2-INV-9]] &lt;= 0),
        Tabella01MarzoInverter[[#This Row],[Active power TX3-INV-6]] * 0.25,
        0
    )
    +
    IF(
        $N43 &lt; 0.875,
        MAX(0, MIN(($H43 / 1000) * AJ$10 * $BA$4, AJ$11 * 0.876) - (AJ$11 * $N43)) * 0.25,
        0
    )
)</f>
        <v/>
      </c>
      <c r="AK43" s="117">
        <f>IF(
    AND($H43 &gt; $BA$7, Tabella01MarzoInverter[[#This Row],[Active power TX2-INV-10]] &lt;= 0, Tabella01MarzoInverter[[#This Row],[Active power TX3-INV-7]] &lt;= 0),
    MIN(($H43 / 1000) * AK$10 * $BA$4, AK$11 * 0.876) * 0.25,
    IF(
        AND($H43 &gt; $BA$7, Tabella01MarzoInverter[[#This Row],[Active power TX2-INV-10]] &lt;= 0),
        Tabella01MarzoInverter[[#This Row],[Active power TX3-INV-7]] * 0.25,
        0
    )
    +
    IF(
        $N43 &lt; 0.875,
        MAX(0, MIN(($H43 / 1000) * AK$10 * $BA$4, AK$11 * 0.876) - (AK$11 * $N43)) * 0.25,
        0
    )
)</f>
        <v/>
      </c>
      <c r="AL43" s="117">
        <f>IF(
    AND($H43 &gt; $BA$7, Tabella01MarzoInverter[[#This Row],[Active power TX2-INV-11]] &lt;= 0, Tabella01MarzoInverter[[#This Row],[Active power TX3-INV-8]] &lt;= 0),
    MIN(($H43 / 1000) * AL$10 * $BA$4, AL$11 * 0.876) * 0.25,
    IF(
        AND($H43 &gt; $BA$7, Tabella01MarzoInverter[[#This Row],[Active power TX2-INV-11]] &lt;= 0),
        Tabella01MarzoInverter[[#This Row],[Active power TX3-INV-8]] * 0.25,
        0
    )
    +
    IF(
        $N43 &lt; 0.875,
        MAX(0, MIN(($H43 / 1000) * AL$10 * $BA$4, AL$11 * 0.876) - (AL$11 * $N43)) * 0.25,
        0
    )
)</f>
        <v/>
      </c>
      <c r="AM43" s="117">
        <f>IF(
    AND($H43 &gt; $BA$7, Tabella01MarzoInverter[[#This Row],[Active power TX2-INV-12]] &lt;= 0, Tabella01MarzoInverter[[#This Row],[Active power TX3-INV-9]] &lt;= 0),
    MIN(($H43 / 1000) * AM$10 * $BA$4, AM$11 * 0.876) * 0.25,
    IF(
        AND($H43 &gt; $BA$7, Tabella01MarzoInverter[[#This Row],[Active power TX2-INV-12]] &lt;= 0),
        Tabella01MarzoInverter[[#This Row],[Active power TX3-INV-9]] * 0.25,
        0
    )
    +
    IF(
        $N43 &lt; 0.875,
        MAX(0, MIN(($H43 / 1000) * AM$10 * $BA$4, AM$11 * 0.876) - (AM$11 * $N43)) * 0.25,
        0
    )
)</f>
        <v/>
      </c>
      <c r="AN43" s="118">
        <f>SUM(TabellaMar2026[[#This Row],[Colonna39]:[Colonna6]])</f>
        <v/>
      </c>
      <c r="AO43" s="117">
        <f t="array" ref="AO43">IF(
    AND($H43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($H43 / 1000) * AO$10 * $BA$4 * 0.25
    ),
    0
)
+
IF(
    $N43 &lt; 0.875,
    MAX(0, MIN(($H43 / 1000) * AO$10 * $BA$4, AO$11 * 0.876) - (AO$11 * $N43)) * 0.25,
    0
)</f>
        <v/>
      </c>
      <c r="AP43" s="117">
        <f t="array" ref="AP43">IF(
    AND($H43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($H43 / 1000) * AP$10 * $BA$4 * 0.25
    ),
    0
)
+
IF(
    $N43 &lt; 0.875,
    MAX(0, MIN(($H43 / 1000) * AP$10 * $BA$4, AP$11 * 0.876) - (AP$11 * $N43)) * 0.25,
    0
)</f>
        <v/>
      </c>
      <c r="AQ43" s="117">
        <f t="array" ref="AQ43">IF(
    AND($H43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($H43 / 1000) * AQ$10 * $BA$4 * 0.25
    ),
    0
)
+
IF(
    $N43 &lt; 0.875,
    MAX(0, MIN(($H43 / 1000) * AQ$10 * $BA$4, AQ$11 * 0.876) - (AQ$11 * $N43)) * 0.25,
    0
)</f>
        <v/>
      </c>
      <c r="AR43" s="117">
        <f t="array" ref="AR43">IF(
    AND($H43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($H43 / 1000) * AR$10 * $BA$4 * 0.25
    ),
    0
)
+
IF(
    $N43 &lt; 0.875,
    MAX(0, MIN(($H43 / 1000) * AR$10 * $BA$4, AR$11 * 0.876) - (AR$11 * $N43)) * 0.25,
    0
)</f>
        <v/>
      </c>
      <c r="AS43" s="117">
        <f t="array" ref="AS43">IF(
    AND($H43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($H43 / 1000) * AS$10 * $BA$4 * 0.25
    ),
    0
)
+
IF(
    $N43 &lt; 0.875,
    MAX(0, MIN(($H43 / 1000) * AS$10 * $BA$4, AS$11 * 0.876) - (AS$11 * $N43)) * 0.25,
    0
)</f>
        <v/>
      </c>
      <c r="AT43" s="117">
        <f t="array" ref="AT43">IF(
    AND($H43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($H43 / 1000) * AT$10 * $BA$4 * 0.25
    ),
    0
)
+
IF(
    $N43 &lt; 0.875,
    MAX(0, MIN(($H43 / 1000) * AT$10 * $BA$4, AT$11 * 0.876) - (AT$11 * $N43)) * 0.25,
    0
)</f>
        <v/>
      </c>
      <c r="AU43" s="117">
        <f t="array" ref="AU43">IF(
    AND($H43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($H43 / 1000) * AU$10 * $BA$4 * 0.25
    ),
    0
)
+
IF(
    $N43 &lt; 0.875,
    MAX(0, MIN(($H43 / 1000) * AU$10 * $BA$4, AU$11 * 0.876) - (AU$11 * $N43)) * 0.25,
    0
)</f>
        <v/>
      </c>
      <c r="AV43" s="117">
        <f t="array" ref="AV43">IF(
    AND($H43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($H43 / 1000) * AV$10 * $BA$4 * 0.25
    ),
    0
)
+
IF(
    $N43 &lt; 0.875,
    MAX(0, MIN(($H43 / 1000) * AV$10 * $BA$4, AV$11 * 0.876) - (AV$11 * $N43)) * 0.25,
    0
)</f>
        <v/>
      </c>
      <c r="AW43" s="117">
        <f t="array" ref="AW43">IF(
    AND($H43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($H43 / 1000) * AW$10 * $BA$4 * 0.25
    ),
    0
)
+
IF(
    $N43 &lt; 0.875,
    MAX(0, MIN(($H43 / 1000) * AW$10 * $BA$4, AW$11 * 0.876) - (AW$11 * $N43)) * 0.25,
    0
)</f>
        <v/>
      </c>
      <c r="AX43" s="117">
        <f t="array" ref="AX43">IF(
    AND($H43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($H43 / 1000) * AX$10 * $BA$4 * 0.25
    ),
    0
)
+
IF(
    $N43 &lt; 0.875,
    MAX(0, MIN(($H43 / 1000) * AX$10 * $BA$4, AX$11 * 0.876) - (AX$11 * $N43)) * 0.25,
    0
)</f>
        <v/>
      </c>
      <c r="AY43" s="117">
        <f t="array" ref="AY43">IF(
    AND($H43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($H43 / 1000) * AY$10 * $BA$4 * 0.25
    ),
    0
)
+
IF(
    $N43 &lt; 0.875,
    MAX(0, MIN(($H43 / 1000) * AY$10 * $BA$4, AY$11 * 0.876) - (AY$11 * $N43)) * 0.25,
    0
)</f>
        <v/>
      </c>
      <c r="AZ43" s="117">
        <f t="array" ref="AZ43">IF(
    AND($H43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($H43 / 1000) * AZ$10 * $BA$4 * 0.25
    ),
    0
)
+
IF(
    $N43 &lt; 0.875,
    MAX(0, MIN(($H43 / 1000) * AZ$10 * $BA$4, AZ$11 * 0.876) - (AZ$11 * $N43)) * 0.25,
    0
)</f>
        <v/>
      </c>
      <c r="BA43" s="119">
        <f>SUM(TabellaMar2026[[#This Row],[Colonna54]:[Colonna53]])</f>
        <v/>
      </c>
    </row>
    <row r="44">
      <c r="A44" s="112" t="n">
        <v>46143</v>
      </c>
      <c r="B44" t="inlineStr">
        <is>
          <t>07:15:00.000</t>
        </is>
      </c>
      <c r="C44" s="2" t="n">
        <v>133.2</v>
      </c>
      <c r="D44" s="113" t="n">
        <v>0.0333</v>
      </c>
      <c r="E44" s="113" t="n">
        <v>138.9</v>
      </c>
      <c r="F44" s="113" t="n">
        <v>0.034725</v>
      </c>
      <c r="G44" s="113">
        <f>IFERROR((D44+F44)/2, 0)</f>
        <v/>
      </c>
      <c r="H44" s="114">
        <f>IFERROR(IF(AVERAGE(C44,E44)&gt;$BA$7,AVERAGE(C44,E44),0), 0)</f>
        <v/>
      </c>
      <c r="I44" s="114">
        <f>IFERROR(IF(AND(D44=0,F44=0),0,IF(H44&gt;$BA$6,MAX(D44,F44),G44)), 0)</f>
        <v/>
      </c>
      <c r="J44" s="113">
        <f>IFERROR(IF(AND(D44&gt;0,F44&gt;0),ABS(D44-F44)/AVERAGE(D44,F44),0), 0)</f>
        <v/>
      </c>
      <c r="K44" s="113" t="n">
        <v>30098.8</v>
      </c>
      <c r="L44" s="113" t="n">
        <v>30099</v>
      </c>
      <c r="M44" s="115">
        <f>IFERROR((L44-K44)*1000, 0)</f>
        <v/>
      </c>
      <c r="N44" s="113" t="n">
        <v>0.8759999999999999</v>
      </c>
      <c r="O44" s="115">
        <f t="array" ref="O44">IF(
    AND($H44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($H44 / 1000) * O$10 * $BA$4 * 0.25
    ),
    0
)
+
IF(
    $N44 &lt; 0.875,
    MAX(0, MIN(($H44 / 1000) * O$10 * $BA$4, O$11 * 0.876) - (O$11 * $N44)) * 0.25,
    0
)</f>
        <v/>
      </c>
      <c r="P44" s="115">
        <f t="array" ref="P44">IF(
    AND($H44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($H44 / 1000) * P$10 * $BA$4 * 0.25
    ),
    0
)
+
IF(
    $N44 &lt; 0.875,
    MAX(0, MIN(($H44 / 1000) * P$10 * $BA$4, P$11 * 0.876) - (P$11 * $N44)) * 0.25,
    0
)</f>
        <v/>
      </c>
      <c r="Q44" s="115">
        <f t="array" ref="Q44">IF(
    AND($H44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($H44 / 1000) * Q$10 * $BA$4 * 0.25
    ),
    0
)
+
IF(
    $N44 &lt; 0.875,
    MAX(0, MIN(($H44 / 1000) * Q$10 * $BA$4, Q$11 * 0.876) - (Q$11 * $N44)) * 0.25,
    0
)</f>
        <v/>
      </c>
      <c r="R44" s="115">
        <f t="array" ref="R44">IF(
    AND($H44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($H44 / 1000) * R$10 * $BA$4 * 0.25
    ),
    0
)
+
IF(
    $N44 &lt; 0.875,
    MAX(0, MIN(($H44 / 1000) * R$10 * $BA$4, R$11 * 0.876) - (R$11 * $N44)) * 0.25,
    0
)</f>
        <v/>
      </c>
      <c r="S44" s="115">
        <f t="array" ref="S44">IF(
    AND($H44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($H44 / 1000) * S$10 * $BA$4 * 0.25
    ),
    0
)
+
IF(
    $N44 &lt; 0.875,
    MAX(0, MIN(($H44 / 1000) * S$10 * $BA$4, S$11 * 0.876) - (S$11 * $N44)) * 0.25,
    0
)</f>
        <v/>
      </c>
      <c r="T44" s="115">
        <f t="array" ref="T44">IF(
    AND($H44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($H44 / 1000) * T$10 * $BA$4 * 0.25
    ),
    0
)
+
IF(
    $N44 &lt; 0.875,
    MAX(0, MIN(($H44 / 1000) * T$10 * $BA$4, T$11 * 0.876) - (T$11 * $N44)) * 0.25,
    0
)</f>
        <v/>
      </c>
      <c r="U44" s="115">
        <f t="array" ref="U44">IF(
    AND($H44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($H44 / 1000) * U$10 * $BA$4 * 0.25
    ),
    0
)
+
IF(
    $N44 &lt; 0.875,
    MAX(0, MIN(($H44 / 1000) * U$10 * $BA$4, U$11 * 0.876) - (U$11 * $N44)) * 0.25,
    0
)</f>
        <v/>
      </c>
      <c r="V44" s="115">
        <f t="array" ref="V44">IF(
    AND($H44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($H44 / 1000) * V$10 * $BA$4 * 0.25
    ),
    0
)
+
IF(
    $N44 &lt; 0.875,
    MAX(0, MIN(($H44 / 1000) * V$10 * $BA$4, V$11 * 0.876) - (V$11 * $N44)) * 0.25,
    0
)</f>
        <v/>
      </c>
      <c r="W44" s="115">
        <f t="array" ref="W44">IF(
    AND($H44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($H44 / 1000) * W$10 * $BA$4 * 0.25
    ),
    0
)
+
IF(
    $N44 &lt; 0.875,
    MAX(0, MIN(($H44 / 1000) * W$10 * $BA$4, W$11 * 0.876) - (W$11 * $N44)) * 0.25,
    0
)</f>
        <v/>
      </c>
      <c r="X44" s="115">
        <f t="array" ref="X44">IF(
    AND($H44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($H44 / 1000) * X$10 * $BA$4 * 0.25
    ),
    0
)
+
IF(
    $N44 &lt; 0.875,
    MAX(0, MIN(($H44 / 1000) * X$10 * $BA$4, X$11 * 0.876) - (X$11 * $N44)) * 0.25,
    0
)</f>
        <v/>
      </c>
      <c r="Y44" s="115">
        <f t="array" ref="Y44">IF(
    AND($H44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($H44 / 1000) * Y$10 * $BA$4 * 0.25
    ),
    0
)
+
IF(
    $N44 &lt; 0.875,
    MAX(0, MIN(($H44 / 1000) * Y$10 * $BA$4, Y$11 * 0.876) - (Y$11 * $N44)) * 0.25,
    0
)</f>
        <v/>
      </c>
      <c r="Z44" s="115">
        <f t="array" ref="Z44">IF(
    AND($H44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($H44 / 1000) * Z$10 * $BA$4 * 0.25
    ),
    0
)
+
IF(
    $N44 &lt; 0.875,
    MAX(0, MIN(($H44 / 1000) * Z$10 * $BA$4, Z$11 * 0.876) - (Z$11 * $N44)) * 0.25,
    0
)</f>
        <v/>
      </c>
      <c r="AA44" s="116">
        <f>SUM(TabellaMar2026[[#This Row],[Colonna24]:[Colonna20]])</f>
        <v/>
      </c>
      <c r="AB44" s="117">
        <f>IF(
    AND($H44 &gt; $BA$7, Tabella01MarzoInverter[[#This Row],[Active power TX2-INV-1]] &lt;= 0, Tabella01MarzoInverter[[#This Row],[TX2 - Average Power]] &lt;= 0),
    MIN(($H44 / 1000) * AB$10 * $BA$4, AB$11 * 0.876) * 0.25,
    IF(
        AND($H44 &gt; $BA$7, Tabella01MarzoInverter[[#This Row],[Active power TX2-INV-1]] &lt;= 0),
        Tabella01MarzoInverter[[#This Row],[TX2 - Average Power]] * 0.25,
        0
    )
    +
    IF(
        $N44 &lt; 0.875,
        MAX(0, MIN(($H44 / 1000) * AB$10 * $BA$4, AB$11 * 0.876) - (AB$11 * $N44)) * 0.25,
        0
    )
)</f>
        <v/>
      </c>
      <c r="AC44" s="117">
        <f>IF(
    AND($H44 &gt; $BA$7, Tabella01MarzoInverter[[#This Row],[Active power TX2-INV-2]] &lt;= 0, Tabella01MarzoInverter[[#This Row],[TX2 - Max Power]] &lt;= 0),
    MIN(($H44 / 1000) * AC$10 * $BA$4, AC$11 * 0.876) * 0.25,
    IF(
        AND($H44 &gt; $BA$7, Tabella01MarzoInverter[[#This Row],[Active power TX2-INV-2]] &lt;= 0),
        Tabella01MarzoInverter[[#This Row],[TX2 - Max Power]] * 0.25,
        0
    )
    +
    IF(
        $N44 &lt; 0.875,
        MAX(0, MIN(($H44 / 1000) * AC$10 * $BA$4, AC$11 * 0.876) - (AC$11 * $N44)) * 0.25,
        0
    )
)</f>
        <v/>
      </c>
      <c r="AD44" s="117">
        <f>IF(
    AND($H44 &gt; $BA$7, Tabella01MarzoInverter[[#This Row],[Active power TX2-INV-3]] &lt;= 0, Tabella01MarzoInverter[[#This Row],[TX2 - Min Power]] &lt;= 0),
    MIN(($H44 / 1000) * AD$10 * $BA$4, AD$11 * 0.876) * 0.25,
    IF(
        AND($H44 &gt; $BA$7, Tabella01MarzoInverter[[#This Row],[Active power TX2-INV-3]] &lt;= 0),
        Tabella01MarzoInverter[[#This Row],[TX2 - Min Power]] * 0.25,
        0
    )
    +
    IF(
        $N44 &lt; 0.875,
        MAX(0, MIN(($H44 / 1000) * AD$10 * $BA$4, AD$11 * 0.876) - (AD$11 * $N44)) * 0.25,
        0
    )
)</f>
        <v/>
      </c>
      <c r="AE44" s="117">
        <f>IF(
    AND($H44 &gt; $BA$7, Tabella01MarzoInverter[[#This Row],[Active power TX2-INV-4]] &lt;= 0, Tabella01MarzoInverter[[#This Row],[Active power TX3-INV-1]] &lt;= 0),
    MIN(($H44 / 1000) * AE$10 * $BA$4, AE$11 * 0.876) * 0.25,
    IF(
        AND($H44 &gt; $BA$7, Tabella01MarzoInverter[[#This Row],[Active power TX2-INV-4]] &lt;= 0),
        Tabella01MarzoInverter[[#This Row],[Active power TX3-INV-1]] * 0.25,
        0
    )
    +
    IF(
        $N44 &lt; 0.875,
        MAX(0, MIN(($H44 / 1000) * AE$10 * $BA$4, AE$11 * 0.876) - (AE$11 * $N44)) * 0.25,
        0
    )
)</f>
        <v/>
      </c>
      <c r="AF44" s="117">
        <f>IF(
    AND($H44 &gt; $BA$7, Tabella01MarzoInverter[[#This Row],[Active power TX2-INV-5]] &lt;= 0, Tabella01MarzoInverter[[#This Row],[Active power TX3-INV-2]] &lt;= 0),
    MIN(($H44 / 1000) * AF$10 * $BA$4, AF$11 * 0.876) * 0.25,
    IF(
        AND($H44 &gt; $BA$7, Tabella01MarzoInverter[[#This Row],[Active power TX2-INV-5]] &lt;= 0),
        Tabella01MarzoInverter[[#This Row],[Active power TX3-INV-2]] * 0.25,
        0
    )
    +
    IF(
        $N44 &lt; 0.875,
        MAX(0, MIN(($H44 / 1000) * AF$10 * $BA$4, AF$11 * 0.876) - (AF$11 * $N44)) * 0.25,
        0
    )
)</f>
        <v/>
      </c>
      <c r="AG44" s="117">
        <f>IF(
    AND($H44 &gt; $BA$7, Tabella01MarzoInverter[[#This Row],[Active power TX2-INV-6]] &lt;= 0, Tabella01MarzoInverter[[#This Row],[Active power TX3-INV-3]] &lt;= 0),
    MIN(($H44 / 1000) * AG$10 * $BA$4, AG$11 * 0.876) * 0.25,
    IF(
        AND($H44 &gt; $BA$7, Tabella01MarzoInverter[[#This Row],[Active power TX2-INV-6]] &lt;= 0),
        Tabella01MarzoInverter[[#This Row],[Active power TX3-INV-3]] * 0.25,
        0
    )
    +
    IF(
        $N44 &lt; 0.875,
        MAX(0, MIN(($H44 / 1000) * AG$10 * $BA$4, AG$11 * 0.876) - (AG$11 * $N44)) * 0.25,
        0
    )
)</f>
        <v/>
      </c>
      <c r="AH44" s="117">
        <f>IF(
    AND($H44 &gt; $BA$7, Tabella01MarzoInverter[[#This Row],[Active power TX2-INV-7]] &lt;= 0, Tabella01MarzoInverter[[#This Row],[Active power TX3-INV-4]] &lt;= 0),
    MIN(($H44 / 1000) * AH$10 * $BA$4, AH$11 * 0.876) * 0.25,
    IF(
        AND($H44 &gt; $BA$7, Tabella01MarzoInverter[[#This Row],[Active power TX2-INV-7]] &lt;= 0),
        Tabella01MarzoInverter[[#This Row],[Active power TX3-INV-4]] * 0.25,
        0
    )
    +
    IF(
        $N44 &lt; 0.875,
        MAX(0, MIN(($H44 / 1000) * AH$10 * $BA$4, AH$11 * 0.876) - (AH$11 * $N44)) * 0.25,
        0
    )
)</f>
        <v/>
      </c>
      <c r="AI44" s="117">
        <f>IF(
    AND($H44 &gt; $BA$7, Tabella01MarzoInverter[[#This Row],[Active power TX2-INV-8]] &lt;= 0, Tabella01MarzoInverter[[#This Row],[Active power TX3-INV-5]] &lt;= 0),
    MIN(($H44 / 1000) * AI$10 * $BA$4, AI$11 * 0.876) * 0.25,
    IF(
        AND($H44 &gt; $BA$7, Tabella01MarzoInverter[[#This Row],[Active power TX2-INV-8]] &lt;= 0),
        Tabella01MarzoInverter[[#This Row],[Active power TX3-INV-5]] * 0.25,
        0
    )
    +
    IF(
        $N44 &lt; 0.875,
        MAX(0, MIN(($H44 / 1000) * AI$10 * $BA$4, AI$11 * 0.876) - (AI$11 * $N44)) * 0.25,
        0
    )
)</f>
        <v/>
      </c>
      <c r="AJ44" s="117">
        <f>IF(
    AND($H44 &gt; $BA$7, Tabella01MarzoInverter[[#This Row],[Active power TX2-INV-9]] &lt;= 0, Tabella01MarzoInverter[[#This Row],[Active power TX3-INV-6]] &lt;= 0),
    MIN(($H44 / 1000) * AJ$10 * $BA$4, AJ$11 * 0.876) * 0.25,
    IF(
        AND($H44 &gt; $BA$7, Tabella01MarzoInverter[[#This Row],[Active power TX2-INV-9]] &lt;= 0),
        Tabella01MarzoInverter[[#This Row],[Active power TX3-INV-6]] * 0.25,
        0
    )
    +
    IF(
        $N44 &lt; 0.875,
        MAX(0, MIN(($H44 / 1000) * AJ$10 * $BA$4, AJ$11 * 0.876) - (AJ$11 * $N44)) * 0.25,
        0
    )
)</f>
        <v/>
      </c>
      <c r="AK44" s="117">
        <f>IF(
    AND($H44 &gt; $BA$7, Tabella01MarzoInverter[[#This Row],[Active power TX2-INV-10]] &lt;= 0, Tabella01MarzoInverter[[#This Row],[Active power TX3-INV-7]] &lt;= 0),
    MIN(($H44 / 1000) * AK$10 * $BA$4, AK$11 * 0.876) * 0.25,
    IF(
        AND($H44 &gt; $BA$7, Tabella01MarzoInverter[[#This Row],[Active power TX2-INV-10]] &lt;= 0),
        Tabella01MarzoInverter[[#This Row],[Active power TX3-INV-7]] * 0.25,
        0
    )
    +
    IF(
        $N44 &lt; 0.875,
        MAX(0, MIN(($H44 / 1000) * AK$10 * $BA$4, AK$11 * 0.876) - (AK$11 * $N44)) * 0.25,
        0
    )
)</f>
        <v/>
      </c>
      <c r="AL44" s="117">
        <f>IF(
    AND($H44 &gt; $BA$7, Tabella01MarzoInverter[[#This Row],[Active power TX2-INV-11]] &lt;= 0, Tabella01MarzoInverter[[#This Row],[Active power TX3-INV-8]] &lt;= 0),
    MIN(($H44 / 1000) * AL$10 * $BA$4, AL$11 * 0.876) * 0.25,
    IF(
        AND($H44 &gt; $BA$7, Tabella01MarzoInverter[[#This Row],[Active power TX2-INV-11]] &lt;= 0),
        Tabella01MarzoInverter[[#This Row],[Active power TX3-INV-8]] * 0.25,
        0
    )
    +
    IF(
        $N44 &lt; 0.875,
        MAX(0, MIN(($H44 / 1000) * AL$10 * $BA$4, AL$11 * 0.876) - (AL$11 * $N44)) * 0.25,
        0
    )
)</f>
        <v/>
      </c>
      <c r="AM44" s="117">
        <f>IF(
    AND($H44 &gt; $BA$7, Tabella01MarzoInverter[[#This Row],[Active power TX2-INV-12]] &lt;= 0, Tabella01MarzoInverter[[#This Row],[Active power TX3-INV-9]] &lt;= 0),
    MIN(($H44 / 1000) * AM$10 * $BA$4, AM$11 * 0.876) * 0.25,
    IF(
        AND($H44 &gt; $BA$7, Tabella01MarzoInverter[[#This Row],[Active power TX2-INV-12]] &lt;= 0),
        Tabella01MarzoInverter[[#This Row],[Active power TX3-INV-9]] * 0.25,
        0
    )
    +
    IF(
        $N44 &lt; 0.875,
        MAX(0, MIN(($H44 / 1000) * AM$10 * $BA$4, AM$11 * 0.876) - (AM$11 * $N44)) * 0.25,
        0
    )
)</f>
        <v/>
      </c>
      <c r="AN44" s="118">
        <f>SUM(TabellaMar2026[[#This Row],[Colonna39]:[Colonna6]])</f>
        <v/>
      </c>
      <c r="AO44" s="117">
        <f t="array" ref="AO44">IF(
    AND($H44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($H44 / 1000) * AO$10 * $BA$4 * 0.25
    ),
    0
)
+
IF(
    $N44 &lt; 0.875,
    MAX(0, MIN(($H44 / 1000) * AO$10 * $BA$4, AO$11 * 0.876) - (AO$11 * $N44)) * 0.25,
    0
)</f>
        <v/>
      </c>
      <c r="AP44" s="117">
        <f t="array" ref="AP44">IF(
    AND($H44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($H44 / 1000) * AP$10 * $BA$4 * 0.25
    ),
    0
)
+
IF(
    $N44 &lt; 0.875,
    MAX(0, MIN(($H44 / 1000) * AP$10 * $BA$4, AP$11 * 0.876) - (AP$11 * $N44)) * 0.25,
    0
)</f>
        <v/>
      </c>
      <c r="AQ44" s="117">
        <f t="array" ref="AQ44">IF(
    AND($H44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($H44 / 1000) * AQ$10 * $BA$4 * 0.25
    ),
    0
)
+
IF(
    $N44 &lt; 0.875,
    MAX(0, MIN(($H44 / 1000) * AQ$10 * $BA$4, AQ$11 * 0.876) - (AQ$11 * $N44)) * 0.25,
    0
)</f>
        <v/>
      </c>
      <c r="AR44" s="117">
        <f t="array" ref="AR44">IF(
    AND($H44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($H44 / 1000) * AR$10 * $BA$4 * 0.25
    ),
    0
)
+
IF(
    $N44 &lt; 0.875,
    MAX(0, MIN(($H44 / 1000) * AR$10 * $BA$4, AR$11 * 0.876) - (AR$11 * $N44)) * 0.25,
    0
)</f>
        <v/>
      </c>
      <c r="AS44" s="117">
        <f t="array" ref="AS44">IF(
    AND($H44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($H44 / 1000) * AS$10 * $BA$4 * 0.25
    ),
    0
)
+
IF(
    $N44 &lt; 0.875,
    MAX(0, MIN(($H44 / 1000) * AS$10 * $BA$4, AS$11 * 0.876) - (AS$11 * $N44)) * 0.25,
    0
)</f>
        <v/>
      </c>
      <c r="AT44" s="117">
        <f t="array" ref="AT44">IF(
    AND($H44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($H44 / 1000) * AT$10 * $BA$4 * 0.25
    ),
    0
)
+
IF(
    $N44 &lt; 0.875,
    MAX(0, MIN(($H44 / 1000) * AT$10 * $BA$4, AT$11 * 0.876) - (AT$11 * $N44)) * 0.25,
    0
)</f>
        <v/>
      </c>
      <c r="AU44" s="117">
        <f t="array" ref="AU44">IF(
    AND($H44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($H44 / 1000) * AU$10 * $BA$4 * 0.25
    ),
    0
)
+
IF(
    $N44 &lt; 0.875,
    MAX(0, MIN(($H44 / 1000) * AU$10 * $BA$4, AU$11 * 0.876) - (AU$11 * $N44)) * 0.25,
    0
)</f>
        <v/>
      </c>
      <c r="AV44" s="117">
        <f t="array" ref="AV44">IF(
    AND($H44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($H44 / 1000) * AV$10 * $BA$4 * 0.25
    ),
    0
)
+
IF(
    $N44 &lt; 0.875,
    MAX(0, MIN(($H44 / 1000) * AV$10 * $BA$4, AV$11 * 0.876) - (AV$11 * $N44)) * 0.25,
    0
)</f>
        <v/>
      </c>
      <c r="AW44" s="117">
        <f t="array" ref="AW44">IF(
    AND($H44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($H44 / 1000) * AW$10 * $BA$4 * 0.25
    ),
    0
)
+
IF(
    $N44 &lt; 0.875,
    MAX(0, MIN(($H44 / 1000) * AW$10 * $BA$4, AW$11 * 0.876) - (AW$11 * $N44)) * 0.25,
    0
)</f>
        <v/>
      </c>
      <c r="AX44" s="117">
        <f t="array" ref="AX44">IF(
    AND($H44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($H44 / 1000) * AX$10 * $BA$4 * 0.25
    ),
    0
)
+
IF(
    $N44 &lt; 0.875,
    MAX(0, MIN(($H44 / 1000) * AX$10 * $BA$4, AX$11 * 0.876) - (AX$11 * $N44)) * 0.25,
    0
)</f>
        <v/>
      </c>
      <c r="AY44" s="117">
        <f t="array" ref="AY44">IF(
    AND($H44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($H44 / 1000) * AY$10 * $BA$4 * 0.25
    ),
    0
)
+
IF(
    $N44 &lt; 0.875,
    MAX(0, MIN(($H44 / 1000) * AY$10 * $BA$4, AY$11 * 0.876) - (AY$11 * $N44)) * 0.25,
    0
)</f>
        <v/>
      </c>
      <c r="AZ44" s="117">
        <f t="array" ref="AZ44">IF(
    AND($H44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($H44 / 1000) * AZ$10 * $BA$4 * 0.25
    ),
    0
)
+
IF(
    $N44 &lt; 0.875,
    MAX(0, MIN(($H44 / 1000) * AZ$10 * $BA$4, AZ$11 * 0.876) - (AZ$11 * $N44)) * 0.25,
    0
)</f>
        <v/>
      </c>
      <c r="BA44" s="119">
        <f>SUM(TabellaMar2026[[#This Row],[Colonna54]:[Colonna53]])</f>
        <v/>
      </c>
    </row>
    <row r="45">
      <c r="A45" s="112" t="n">
        <v>46143</v>
      </c>
      <c r="B45" t="inlineStr">
        <is>
          <t>07:30:00.000</t>
        </is>
      </c>
      <c r="C45" s="2" t="n">
        <v>221.9</v>
      </c>
      <c r="D45" s="113" t="n">
        <v>0.055475</v>
      </c>
      <c r="E45" s="113" t="n">
        <v>226.4</v>
      </c>
      <c r="F45" s="113" t="n">
        <v>0.0566</v>
      </c>
      <c r="G45" s="113">
        <f>IFERROR((D45+F45)/2, 0)</f>
        <v/>
      </c>
      <c r="H45" s="114">
        <f>IFERROR(IF(AVERAGE(C45,E45)&gt;$BA$7,AVERAGE(C45,E45),0), 0)</f>
        <v/>
      </c>
      <c r="I45" s="114">
        <f>IFERROR(IF(AND(D45=0,F45=0),0,IF(H45&gt;$BA$6,MAX(D45,F45),G45)), 0)</f>
        <v/>
      </c>
      <c r="J45" s="113">
        <f>IFERROR(IF(AND(D45&gt;0,F45&gt;0),ABS(D45-F45)/AVERAGE(D45,F45),0), 0)</f>
        <v/>
      </c>
      <c r="K45" s="113" t="n">
        <v>30099</v>
      </c>
      <c r="L45" s="113" t="n">
        <v>30099.5</v>
      </c>
      <c r="M45" s="115">
        <f>IFERROR((L45-K45)*1000, 0)</f>
        <v/>
      </c>
      <c r="N45" s="113" t="n">
        <v>0.8759999999999999</v>
      </c>
      <c r="O45" s="115">
        <f t="array" ref="O45">IF(
    AND($H45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($H45 / 1000) * O$10 * $BA$4 * 0.25
    ),
    0
)
+
IF(
    $N45 &lt; 0.875,
    MAX(0, MIN(($H45 / 1000) * O$10 * $BA$4, O$11 * 0.876) - (O$11 * $N45)) * 0.25,
    0
)</f>
        <v/>
      </c>
      <c r="P45" s="115">
        <f t="array" ref="P45">IF(
    AND($H45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($H45 / 1000) * P$10 * $BA$4 * 0.25
    ),
    0
)
+
IF(
    $N45 &lt; 0.875,
    MAX(0, MIN(($H45 / 1000) * P$10 * $BA$4, P$11 * 0.876) - (P$11 * $N45)) * 0.25,
    0
)</f>
        <v/>
      </c>
      <c r="Q45" s="115">
        <f t="array" ref="Q45">IF(
    AND($H45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($H45 / 1000) * Q$10 * $BA$4 * 0.25
    ),
    0
)
+
IF(
    $N45 &lt; 0.875,
    MAX(0, MIN(($H45 / 1000) * Q$10 * $BA$4, Q$11 * 0.876) - (Q$11 * $N45)) * 0.25,
    0
)</f>
        <v/>
      </c>
      <c r="R45" s="115">
        <f t="array" ref="R45">IF(
    AND($H45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($H45 / 1000) * R$10 * $BA$4 * 0.25
    ),
    0
)
+
IF(
    $N45 &lt; 0.875,
    MAX(0, MIN(($H45 / 1000) * R$10 * $BA$4, R$11 * 0.876) - (R$11 * $N45)) * 0.25,
    0
)</f>
        <v/>
      </c>
      <c r="S45" s="115">
        <f t="array" ref="S45">IF(
    AND($H45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($H45 / 1000) * S$10 * $BA$4 * 0.25
    ),
    0
)
+
IF(
    $N45 &lt; 0.875,
    MAX(0, MIN(($H45 / 1000) * S$10 * $BA$4, S$11 * 0.876) - (S$11 * $N45)) * 0.25,
    0
)</f>
        <v/>
      </c>
      <c r="T45" s="115">
        <f t="array" ref="T45">IF(
    AND($H45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($H45 / 1000) * T$10 * $BA$4 * 0.25
    ),
    0
)
+
IF(
    $N45 &lt; 0.875,
    MAX(0, MIN(($H45 / 1000) * T$10 * $BA$4, T$11 * 0.876) - (T$11 * $N45)) * 0.25,
    0
)</f>
        <v/>
      </c>
      <c r="U45" s="115">
        <f t="array" ref="U45">IF(
    AND($H45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($H45 / 1000) * U$10 * $BA$4 * 0.25
    ),
    0
)
+
IF(
    $N45 &lt; 0.875,
    MAX(0, MIN(($H45 / 1000) * U$10 * $BA$4, U$11 * 0.876) - (U$11 * $N45)) * 0.25,
    0
)</f>
        <v/>
      </c>
      <c r="V45" s="115">
        <f t="array" ref="V45">IF(
    AND($H45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($H45 / 1000) * V$10 * $BA$4 * 0.25
    ),
    0
)
+
IF(
    $N45 &lt; 0.875,
    MAX(0, MIN(($H45 / 1000) * V$10 * $BA$4, V$11 * 0.876) - (V$11 * $N45)) * 0.25,
    0
)</f>
        <v/>
      </c>
      <c r="W45" s="115">
        <f t="array" ref="W45">IF(
    AND($H45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($H45 / 1000) * W$10 * $BA$4 * 0.25
    ),
    0
)
+
IF(
    $N45 &lt; 0.875,
    MAX(0, MIN(($H45 / 1000) * W$10 * $BA$4, W$11 * 0.876) - (W$11 * $N45)) * 0.25,
    0
)</f>
        <v/>
      </c>
      <c r="X45" s="115">
        <f t="array" ref="X45">IF(
    AND($H45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($H45 / 1000) * X$10 * $BA$4 * 0.25
    ),
    0
)
+
IF(
    $N45 &lt; 0.875,
    MAX(0, MIN(($H45 / 1000) * X$10 * $BA$4, X$11 * 0.876) - (X$11 * $N45)) * 0.25,
    0
)</f>
        <v/>
      </c>
      <c r="Y45" s="115">
        <f t="array" ref="Y45">IF(
    AND($H45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($H45 / 1000) * Y$10 * $BA$4 * 0.25
    ),
    0
)
+
IF(
    $N45 &lt; 0.875,
    MAX(0, MIN(($H45 / 1000) * Y$10 * $BA$4, Y$11 * 0.876) - (Y$11 * $N45)) * 0.25,
    0
)</f>
        <v/>
      </c>
      <c r="Z45" s="115">
        <f t="array" ref="Z45">IF(
    AND($H45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($H45 / 1000) * Z$10 * $BA$4 * 0.25
    ),
    0
)
+
IF(
    $N45 &lt; 0.875,
    MAX(0, MIN(($H45 / 1000) * Z$10 * $BA$4, Z$11 * 0.876) - (Z$11 * $N45)) * 0.25,
    0
)</f>
        <v/>
      </c>
      <c r="AA45" s="116">
        <f>SUM(TabellaMar2026[[#This Row],[Colonna24]:[Colonna20]])</f>
        <v/>
      </c>
      <c r="AB45" s="117">
        <f>IF(
    AND($H45 &gt; $BA$7, Tabella01MarzoInverter[[#This Row],[Active power TX2-INV-1]] &lt;= 0, Tabella01MarzoInverter[[#This Row],[TX2 - Average Power]] &lt;= 0),
    MIN(($H45 / 1000) * AB$10 * $BA$4, AB$11 * 0.876) * 0.25,
    IF(
        AND($H45 &gt; $BA$7, Tabella01MarzoInverter[[#This Row],[Active power TX2-INV-1]] &lt;= 0),
        Tabella01MarzoInverter[[#This Row],[TX2 - Average Power]] * 0.25,
        0
    )
    +
    IF(
        $N45 &lt; 0.875,
        MAX(0, MIN(($H45 / 1000) * AB$10 * $BA$4, AB$11 * 0.876) - (AB$11 * $N45)) * 0.25,
        0
    )
)</f>
        <v/>
      </c>
      <c r="AC45" s="117">
        <f>IF(
    AND($H45 &gt; $BA$7, Tabella01MarzoInverter[[#This Row],[Active power TX2-INV-2]] &lt;= 0, Tabella01MarzoInverter[[#This Row],[TX2 - Max Power]] &lt;= 0),
    MIN(($H45 / 1000) * AC$10 * $BA$4, AC$11 * 0.876) * 0.25,
    IF(
        AND($H45 &gt; $BA$7, Tabella01MarzoInverter[[#This Row],[Active power TX2-INV-2]] &lt;= 0),
        Tabella01MarzoInverter[[#This Row],[TX2 - Max Power]] * 0.25,
        0
    )
    +
    IF(
        $N45 &lt; 0.875,
        MAX(0, MIN(($H45 / 1000) * AC$10 * $BA$4, AC$11 * 0.876) - (AC$11 * $N45)) * 0.25,
        0
    )
)</f>
        <v/>
      </c>
      <c r="AD45" s="117">
        <f>IF(
    AND($H45 &gt; $BA$7, Tabella01MarzoInverter[[#This Row],[Active power TX2-INV-3]] &lt;= 0, Tabella01MarzoInverter[[#This Row],[TX2 - Min Power]] &lt;= 0),
    MIN(($H45 / 1000) * AD$10 * $BA$4, AD$11 * 0.876) * 0.25,
    IF(
        AND($H45 &gt; $BA$7, Tabella01MarzoInverter[[#This Row],[Active power TX2-INV-3]] &lt;= 0),
        Tabella01MarzoInverter[[#This Row],[TX2 - Min Power]] * 0.25,
        0
    )
    +
    IF(
        $N45 &lt; 0.875,
        MAX(0, MIN(($H45 / 1000) * AD$10 * $BA$4, AD$11 * 0.876) - (AD$11 * $N45)) * 0.25,
        0
    )
)</f>
        <v/>
      </c>
      <c r="AE45" s="117">
        <f>IF(
    AND($H45 &gt; $BA$7, Tabella01MarzoInverter[[#This Row],[Active power TX2-INV-4]] &lt;= 0, Tabella01MarzoInverter[[#This Row],[Active power TX3-INV-1]] &lt;= 0),
    MIN(($H45 / 1000) * AE$10 * $BA$4, AE$11 * 0.876) * 0.25,
    IF(
        AND($H45 &gt; $BA$7, Tabella01MarzoInverter[[#This Row],[Active power TX2-INV-4]] &lt;= 0),
        Tabella01MarzoInverter[[#This Row],[Active power TX3-INV-1]] * 0.25,
        0
    )
    +
    IF(
        $N45 &lt; 0.875,
        MAX(0, MIN(($H45 / 1000) * AE$10 * $BA$4, AE$11 * 0.876) - (AE$11 * $N45)) * 0.25,
        0
    )
)</f>
        <v/>
      </c>
      <c r="AF45" s="117">
        <f>IF(
    AND($H45 &gt; $BA$7, Tabella01MarzoInverter[[#This Row],[Active power TX2-INV-5]] &lt;= 0, Tabella01MarzoInverter[[#This Row],[Active power TX3-INV-2]] &lt;= 0),
    MIN(($H45 / 1000) * AF$10 * $BA$4, AF$11 * 0.876) * 0.25,
    IF(
        AND($H45 &gt; $BA$7, Tabella01MarzoInverter[[#This Row],[Active power TX2-INV-5]] &lt;= 0),
        Tabella01MarzoInverter[[#This Row],[Active power TX3-INV-2]] * 0.25,
        0
    )
    +
    IF(
        $N45 &lt; 0.875,
        MAX(0, MIN(($H45 / 1000) * AF$10 * $BA$4, AF$11 * 0.876) - (AF$11 * $N45)) * 0.25,
        0
    )
)</f>
        <v/>
      </c>
      <c r="AG45" s="117">
        <f>IF(
    AND($H45 &gt; $BA$7, Tabella01MarzoInverter[[#This Row],[Active power TX2-INV-6]] &lt;= 0, Tabella01MarzoInverter[[#This Row],[Active power TX3-INV-3]] &lt;= 0),
    MIN(($H45 / 1000) * AG$10 * $BA$4, AG$11 * 0.876) * 0.25,
    IF(
        AND($H45 &gt; $BA$7, Tabella01MarzoInverter[[#This Row],[Active power TX2-INV-6]] &lt;= 0),
        Tabella01MarzoInverter[[#This Row],[Active power TX3-INV-3]] * 0.25,
        0
    )
    +
    IF(
        $N45 &lt; 0.875,
        MAX(0, MIN(($H45 / 1000) * AG$10 * $BA$4, AG$11 * 0.876) - (AG$11 * $N45)) * 0.25,
        0
    )
)</f>
        <v/>
      </c>
      <c r="AH45" s="117">
        <f>IF(
    AND($H45 &gt; $BA$7, Tabella01MarzoInverter[[#This Row],[Active power TX2-INV-7]] &lt;= 0, Tabella01MarzoInverter[[#This Row],[Active power TX3-INV-4]] &lt;= 0),
    MIN(($H45 / 1000) * AH$10 * $BA$4, AH$11 * 0.876) * 0.25,
    IF(
        AND($H45 &gt; $BA$7, Tabella01MarzoInverter[[#This Row],[Active power TX2-INV-7]] &lt;= 0),
        Tabella01MarzoInverter[[#This Row],[Active power TX3-INV-4]] * 0.25,
        0
    )
    +
    IF(
        $N45 &lt; 0.875,
        MAX(0, MIN(($H45 / 1000) * AH$10 * $BA$4, AH$11 * 0.876) - (AH$11 * $N45)) * 0.25,
        0
    )
)</f>
        <v/>
      </c>
      <c r="AI45" s="117">
        <f>IF(
    AND($H45 &gt; $BA$7, Tabella01MarzoInverter[[#This Row],[Active power TX2-INV-8]] &lt;= 0, Tabella01MarzoInverter[[#This Row],[Active power TX3-INV-5]] &lt;= 0),
    MIN(($H45 / 1000) * AI$10 * $BA$4, AI$11 * 0.876) * 0.25,
    IF(
        AND($H45 &gt; $BA$7, Tabella01MarzoInverter[[#This Row],[Active power TX2-INV-8]] &lt;= 0),
        Tabella01MarzoInverter[[#This Row],[Active power TX3-INV-5]] * 0.25,
        0
    )
    +
    IF(
        $N45 &lt; 0.875,
        MAX(0, MIN(($H45 / 1000) * AI$10 * $BA$4, AI$11 * 0.876) - (AI$11 * $N45)) * 0.25,
        0
    )
)</f>
        <v/>
      </c>
      <c r="AJ45" s="117">
        <f>IF(
    AND($H45 &gt; $BA$7, Tabella01MarzoInverter[[#This Row],[Active power TX2-INV-9]] &lt;= 0, Tabella01MarzoInverter[[#This Row],[Active power TX3-INV-6]] &lt;= 0),
    MIN(($H45 / 1000) * AJ$10 * $BA$4, AJ$11 * 0.876) * 0.25,
    IF(
        AND($H45 &gt; $BA$7, Tabella01MarzoInverter[[#This Row],[Active power TX2-INV-9]] &lt;= 0),
        Tabella01MarzoInverter[[#This Row],[Active power TX3-INV-6]] * 0.25,
        0
    )
    +
    IF(
        $N45 &lt; 0.875,
        MAX(0, MIN(($H45 / 1000) * AJ$10 * $BA$4, AJ$11 * 0.876) - (AJ$11 * $N45)) * 0.25,
        0
    )
)</f>
        <v/>
      </c>
      <c r="AK45" s="117">
        <f>IF(
    AND($H45 &gt; $BA$7, Tabella01MarzoInverter[[#This Row],[Active power TX2-INV-10]] &lt;= 0, Tabella01MarzoInverter[[#This Row],[Active power TX3-INV-7]] &lt;= 0),
    MIN(($H45 / 1000) * AK$10 * $BA$4, AK$11 * 0.876) * 0.25,
    IF(
        AND($H45 &gt; $BA$7, Tabella01MarzoInverter[[#This Row],[Active power TX2-INV-10]] &lt;= 0),
        Tabella01MarzoInverter[[#This Row],[Active power TX3-INV-7]] * 0.25,
        0
    )
    +
    IF(
        $N45 &lt; 0.875,
        MAX(0, MIN(($H45 / 1000) * AK$10 * $BA$4, AK$11 * 0.876) - (AK$11 * $N45)) * 0.25,
        0
    )
)</f>
        <v/>
      </c>
      <c r="AL45" s="117">
        <f>IF(
    AND($H45 &gt; $BA$7, Tabella01MarzoInverter[[#This Row],[Active power TX2-INV-11]] &lt;= 0, Tabella01MarzoInverter[[#This Row],[Active power TX3-INV-8]] &lt;= 0),
    MIN(($H45 / 1000) * AL$10 * $BA$4, AL$11 * 0.876) * 0.25,
    IF(
        AND($H45 &gt; $BA$7, Tabella01MarzoInverter[[#This Row],[Active power TX2-INV-11]] &lt;= 0),
        Tabella01MarzoInverter[[#This Row],[Active power TX3-INV-8]] * 0.25,
        0
    )
    +
    IF(
        $N45 &lt; 0.875,
        MAX(0, MIN(($H45 / 1000) * AL$10 * $BA$4, AL$11 * 0.876) - (AL$11 * $N45)) * 0.25,
        0
    )
)</f>
        <v/>
      </c>
      <c r="AM45" s="117">
        <f>IF(
    AND($H45 &gt; $BA$7, Tabella01MarzoInverter[[#This Row],[Active power TX2-INV-12]] &lt;= 0, Tabella01MarzoInverter[[#This Row],[Active power TX3-INV-9]] &lt;= 0),
    MIN(($H45 / 1000) * AM$10 * $BA$4, AM$11 * 0.876) * 0.25,
    IF(
        AND($H45 &gt; $BA$7, Tabella01MarzoInverter[[#This Row],[Active power TX2-INV-12]] &lt;= 0),
        Tabella01MarzoInverter[[#This Row],[Active power TX3-INV-9]] * 0.25,
        0
    )
    +
    IF(
        $N45 &lt; 0.875,
        MAX(0, MIN(($H45 / 1000) * AM$10 * $BA$4, AM$11 * 0.876) - (AM$11 * $N45)) * 0.25,
        0
    )
)</f>
        <v/>
      </c>
      <c r="AN45" s="118">
        <f>SUM(TabellaMar2026[[#This Row],[Colonna39]:[Colonna6]])</f>
        <v/>
      </c>
      <c r="AO45" s="117">
        <f t="array" ref="AO45">IF(
    AND($H45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($H45 / 1000) * AO$10 * $BA$4 * 0.25
    ),
    0
)
+
IF(
    $N45 &lt; 0.875,
    MAX(0, MIN(($H45 / 1000) * AO$10 * $BA$4, AO$11 * 0.876) - (AO$11 * $N45)) * 0.25,
    0
)</f>
        <v/>
      </c>
      <c r="AP45" s="117">
        <f t="array" ref="AP45">IF(
    AND($H45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($H45 / 1000) * AP$10 * $BA$4 * 0.25
    ),
    0
)
+
IF(
    $N45 &lt; 0.875,
    MAX(0, MIN(($H45 / 1000) * AP$10 * $BA$4, AP$11 * 0.876) - (AP$11 * $N45)) * 0.25,
    0
)</f>
        <v/>
      </c>
      <c r="AQ45" s="117">
        <f t="array" ref="AQ45">IF(
    AND($H45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($H45 / 1000) * AQ$10 * $BA$4 * 0.25
    ),
    0
)
+
IF(
    $N45 &lt; 0.875,
    MAX(0, MIN(($H45 / 1000) * AQ$10 * $BA$4, AQ$11 * 0.876) - (AQ$11 * $N45)) * 0.25,
    0
)</f>
        <v/>
      </c>
      <c r="AR45" s="117">
        <f t="array" ref="AR45">IF(
    AND($H45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($H45 / 1000) * AR$10 * $BA$4 * 0.25
    ),
    0
)
+
IF(
    $N45 &lt; 0.875,
    MAX(0, MIN(($H45 / 1000) * AR$10 * $BA$4, AR$11 * 0.876) - (AR$11 * $N45)) * 0.25,
    0
)</f>
        <v/>
      </c>
      <c r="AS45" s="117">
        <f t="array" ref="AS45">IF(
    AND($H45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($H45 / 1000) * AS$10 * $BA$4 * 0.25
    ),
    0
)
+
IF(
    $N45 &lt; 0.875,
    MAX(0, MIN(($H45 / 1000) * AS$10 * $BA$4, AS$11 * 0.876) - (AS$11 * $N45)) * 0.25,
    0
)</f>
        <v/>
      </c>
      <c r="AT45" s="117">
        <f t="array" ref="AT45">IF(
    AND($H45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($H45 / 1000) * AT$10 * $BA$4 * 0.25
    ),
    0
)
+
IF(
    $N45 &lt; 0.875,
    MAX(0, MIN(($H45 / 1000) * AT$10 * $BA$4, AT$11 * 0.876) - (AT$11 * $N45)) * 0.25,
    0
)</f>
        <v/>
      </c>
      <c r="AU45" s="117">
        <f t="array" ref="AU45">IF(
    AND($H45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($H45 / 1000) * AU$10 * $BA$4 * 0.25
    ),
    0
)
+
IF(
    $N45 &lt; 0.875,
    MAX(0, MIN(($H45 / 1000) * AU$10 * $BA$4, AU$11 * 0.876) - (AU$11 * $N45)) * 0.25,
    0
)</f>
        <v/>
      </c>
      <c r="AV45" s="117">
        <f t="array" ref="AV45">IF(
    AND($H45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($H45 / 1000) * AV$10 * $BA$4 * 0.25
    ),
    0
)
+
IF(
    $N45 &lt; 0.875,
    MAX(0, MIN(($H45 / 1000) * AV$10 * $BA$4, AV$11 * 0.876) - (AV$11 * $N45)) * 0.25,
    0
)</f>
        <v/>
      </c>
      <c r="AW45" s="117">
        <f t="array" ref="AW45">IF(
    AND($H45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($H45 / 1000) * AW$10 * $BA$4 * 0.25
    ),
    0
)
+
IF(
    $N45 &lt; 0.875,
    MAX(0, MIN(($H45 / 1000) * AW$10 * $BA$4, AW$11 * 0.876) - (AW$11 * $N45)) * 0.25,
    0
)</f>
        <v/>
      </c>
      <c r="AX45" s="117">
        <f t="array" ref="AX45">IF(
    AND($H45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($H45 / 1000) * AX$10 * $BA$4 * 0.25
    ),
    0
)
+
IF(
    $N45 &lt; 0.875,
    MAX(0, MIN(($H45 / 1000) * AX$10 * $BA$4, AX$11 * 0.876) - (AX$11 * $N45)) * 0.25,
    0
)</f>
        <v/>
      </c>
      <c r="AY45" s="117">
        <f t="array" ref="AY45">IF(
    AND($H45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($H45 / 1000) * AY$10 * $BA$4 * 0.25
    ),
    0
)
+
IF(
    $N45 &lt; 0.875,
    MAX(0, MIN(($H45 / 1000) * AY$10 * $BA$4, AY$11 * 0.876) - (AY$11 * $N45)) * 0.25,
    0
)</f>
        <v/>
      </c>
      <c r="AZ45" s="117">
        <f t="array" ref="AZ45">IF(
    AND($H45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($H45 / 1000) * AZ$10 * $BA$4 * 0.25
    ),
    0
)
+
IF(
    $N45 &lt; 0.875,
    MAX(0, MIN(($H45 / 1000) * AZ$10 * $BA$4, AZ$11 * 0.876) - (AZ$11 * $N45)) * 0.25,
    0
)</f>
        <v/>
      </c>
      <c r="BA45" s="119">
        <f>SUM(TabellaMar2026[[#This Row],[Colonna54]:[Colonna53]])</f>
        <v/>
      </c>
    </row>
    <row r="46">
      <c r="A46" s="112" t="n">
        <v>46143</v>
      </c>
      <c r="B46" t="inlineStr">
        <is>
          <t>07:45:00.000</t>
        </is>
      </c>
      <c r="C46" s="2" t="n">
        <v>334.2</v>
      </c>
      <c r="D46" s="113" t="n">
        <v>0.08355</v>
      </c>
      <c r="E46" s="113" t="n">
        <v>329.8</v>
      </c>
      <c r="F46" s="113" t="n">
        <v>0.08245000000000001</v>
      </c>
      <c r="G46" s="113">
        <f>IFERROR((D46+F46)/2, 0)</f>
        <v/>
      </c>
      <c r="H46" s="114">
        <f>IFERROR(IF(AVERAGE(C46,E46)&gt;$BA$7,AVERAGE(C46,E46),0), 0)</f>
        <v/>
      </c>
      <c r="I46" s="114">
        <f>IFERROR(IF(AND(D46=0,F46=0),0,IF(H46&gt;$BA$6,MAX(D46,F46),G46)), 0)</f>
        <v/>
      </c>
      <c r="J46" s="113">
        <f>IFERROR(IF(AND(D46&gt;0,F46&gt;0),ABS(D46-F46)/AVERAGE(D46,F46),0), 0)</f>
        <v/>
      </c>
      <c r="K46" s="113" t="n">
        <v>30099.5</v>
      </c>
      <c r="L46" s="113" t="n">
        <v>30100.3</v>
      </c>
      <c r="M46" s="115">
        <f>IFERROR((L46-K46)*1000, 0)</f>
        <v/>
      </c>
      <c r="N46" s="113" t="n">
        <v>0.8759999999999999</v>
      </c>
      <c r="O46" s="115">
        <f t="array" ref="O46">IF(
    AND($H46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($H46 / 1000) * O$10 * $BA$4 * 0.25
    ),
    0
)
+
IF(
    $N46 &lt; 0.875,
    MAX(0, MIN(($H46 / 1000) * O$10 * $BA$4, O$11 * 0.876) - (O$11 * $N46)) * 0.25,
    0
)</f>
        <v/>
      </c>
      <c r="P46" s="115">
        <f t="array" ref="P46">IF(
    AND($H46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($H46 / 1000) * P$10 * $BA$4 * 0.25
    ),
    0
)
+
IF(
    $N46 &lt; 0.875,
    MAX(0, MIN(($H46 / 1000) * P$10 * $BA$4, P$11 * 0.876) - (P$11 * $N46)) * 0.25,
    0
)</f>
        <v/>
      </c>
      <c r="Q46" s="115">
        <f t="array" ref="Q46">IF(
    AND($H46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($H46 / 1000) * Q$10 * $BA$4 * 0.25
    ),
    0
)
+
IF(
    $N46 &lt; 0.875,
    MAX(0, MIN(($H46 / 1000) * Q$10 * $BA$4, Q$11 * 0.876) - (Q$11 * $N46)) * 0.25,
    0
)</f>
        <v/>
      </c>
      <c r="R46" s="115">
        <f t="array" ref="R46">IF(
    AND($H46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($H46 / 1000) * R$10 * $BA$4 * 0.25
    ),
    0
)
+
IF(
    $N46 &lt; 0.875,
    MAX(0, MIN(($H46 / 1000) * R$10 * $BA$4, R$11 * 0.876) - (R$11 * $N46)) * 0.25,
    0
)</f>
        <v/>
      </c>
      <c r="S46" s="115">
        <f t="array" ref="S46">IF(
    AND($H46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($H46 / 1000) * S$10 * $BA$4 * 0.25
    ),
    0
)
+
IF(
    $N46 &lt; 0.875,
    MAX(0, MIN(($H46 / 1000) * S$10 * $BA$4, S$11 * 0.876) - (S$11 * $N46)) * 0.25,
    0
)</f>
        <v/>
      </c>
      <c r="T46" s="115">
        <f t="array" ref="T46">IF(
    AND($H46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($H46 / 1000) * T$10 * $BA$4 * 0.25
    ),
    0
)
+
IF(
    $N46 &lt; 0.875,
    MAX(0, MIN(($H46 / 1000) * T$10 * $BA$4, T$11 * 0.876) - (T$11 * $N46)) * 0.25,
    0
)</f>
        <v/>
      </c>
      <c r="U46" s="115">
        <f t="array" ref="U46">IF(
    AND($H46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($H46 / 1000) * U$10 * $BA$4 * 0.25
    ),
    0
)
+
IF(
    $N46 &lt; 0.875,
    MAX(0, MIN(($H46 / 1000) * U$10 * $BA$4, U$11 * 0.876) - (U$11 * $N46)) * 0.25,
    0
)</f>
        <v/>
      </c>
      <c r="V46" s="115">
        <f t="array" ref="V46">IF(
    AND($H46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($H46 / 1000) * V$10 * $BA$4 * 0.25
    ),
    0
)
+
IF(
    $N46 &lt; 0.875,
    MAX(0, MIN(($H46 / 1000) * V$10 * $BA$4, V$11 * 0.876) - (V$11 * $N46)) * 0.25,
    0
)</f>
        <v/>
      </c>
      <c r="W46" s="115">
        <f t="array" ref="W46">IF(
    AND($H46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($H46 / 1000) * W$10 * $BA$4 * 0.25
    ),
    0
)
+
IF(
    $N46 &lt; 0.875,
    MAX(0, MIN(($H46 / 1000) * W$10 * $BA$4, W$11 * 0.876) - (W$11 * $N46)) * 0.25,
    0
)</f>
        <v/>
      </c>
      <c r="X46" s="115">
        <f t="array" ref="X46">IF(
    AND($H46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($H46 / 1000) * X$10 * $BA$4 * 0.25
    ),
    0
)
+
IF(
    $N46 &lt; 0.875,
    MAX(0, MIN(($H46 / 1000) * X$10 * $BA$4, X$11 * 0.876) - (X$11 * $N46)) * 0.25,
    0
)</f>
        <v/>
      </c>
      <c r="Y46" s="115">
        <f t="array" ref="Y46">IF(
    AND($H46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($H46 / 1000) * Y$10 * $BA$4 * 0.25
    ),
    0
)
+
IF(
    $N46 &lt; 0.875,
    MAX(0, MIN(($H46 / 1000) * Y$10 * $BA$4, Y$11 * 0.876) - (Y$11 * $N46)) * 0.25,
    0
)</f>
        <v/>
      </c>
      <c r="Z46" s="115">
        <f t="array" ref="Z46">IF(
    AND($H46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($H46 / 1000) * Z$10 * $BA$4 * 0.25
    ),
    0
)
+
IF(
    $N46 &lt; 0.875,
    MAX(0, MIN(($H46 / 1000) * Z$10 * $BA$4, Z$11 * 0.876) - (Z$11 * $N46)) * 0.25,
    0
)</f>
        <v/>
      </c>
      <c r="AA46" s="116">
        <f>SUM(TabellaMar2026[[#This Row],[Colonna24]:[Colonna20]])</f>
        <v/>
      </c>
      <c r="AB46" s="117">
        <f>IF(
    AND($H46 &gt; $BA$7, Tabella01MarzoInverter[[#This Row],[Active power TX2-INV-1]] &lt;= 0, Tabella01MarzoInverter[[#This Row],[TX2 - Average Power]] &lt;= 0),
    MIN(($H46 / 1000) * AB$10 * $BA$4, AB$11 * 0.876) * 0.25,
    IF(
        AND($H46 &gt; $BA$7, Tabella01MarzoInverter[[#This Row],[Active power TX2-INV-1]] &lt;= 0),
        Tabella01MarzoInverter[[#This Row],[TX2 - Average Power]] * 0.25,
        0
    )
    +
    IF(
        $N46 &lt; 0.875,
        MAX(0, MIN(($H46 / 1000) * AB$10 * $BA$4, AB$11 * 0.876) - (AB$11 * $N46)) * 0.25,
        0
    )
)</f>
        <v/>
      </c>
      <c r="AC46" s="117">
        <f>IF(
    AND($H46 &gt; $BA$7, Tabella01MarzoInverter[[#This Row],[Active power TX2-INV-2]] &lt;= 0, Tabella01MarzoInverter[[#This Row],[TX2 - Max Power]] &lt;= 0),
    MIN(($H46 / 1000) * AC$10 * $BA$4, AC$11 * 0.876) * 0.25,
    IF(
        AND($H46 &gt; $BA$7, Tabella01MarzoInverter[[#This Row],[Active power TX2-INV-2]] &lt;= 0),
        Tabella01MarzoInverter[[#This Row],[TX2 - Max Power]] * 0.25,
        0
    )
    +
    IF(
        $N46 &lt; 0.875,
        MAX(0, MIN(($H46 / 1000) * AC$10 * $BA$4, AC$11 * 0.876) - (AC$11 * $N46)) * 0.25,
        0
    )
)</f>
        <v/>
      </c>
      <c r="AD46" s="117">
        <f>IF(
    AND($H46 &gt; $BA$7, Tabella01MarzoInverter[[#This Row],[Active power TX2-INV-3]] &lt;= 0, Tabella01MarzoInverter[[#This Row],[TX2 - Min Power]] &lt;= 0),
    MIN(($H46 / 1000) * AD$10 * $BA$4, AD$11 * 0.876) * 0.25,
    IF(
        AND($H46 &gt; $BA$7, Tabella01MarzoInverter[[#This Row],[Active power TX2-INV-3]] &lt;= 0),
        Tabella01MarzoInverter[[#This Row],[TX2 - Min Power]] * 0.25,
        0
    )
    +
    IF(
        $N46 &lt; 0.875,
        MAX(0, MIN(($H46 / 1000) * AD$10 * $BA$4, AD$11 * 0.876) - (AD$11 * $N46)) * 0.25,
        0
    )
)</f>
        <v/>
      </c>
      <c r="AE46" s="117">
        <f>IF(
    AND($H46 &gt; $BA$7, Tabella01MarzoInverter[[#This Row],[Active power TX2-INV-4]] &lt;= 0, Tabella01MarzoInverter[[#This Row],[Active power TX3-INV-1]] &lt;= 0),
    MIN(($H46 / 1000) * AE$10 * $BA$4, AE$11 * 0.876) * 0.25,
    IF(
        AND($H46 &gt; $BA$7, Tabella01MarzoInverter[[#This Row],[Active power TX2-INV-4]] &lt;= 0),
        Tabella01MarzoInverter[[#This Row],[Active power TX3-INV-1]] * 0.25,
        0
    )
    +
    IF(
        $N46 &lt; 0.875,
        MAX(0, MIN(($H46 / 1000) * AE$10 * $BA$4, AE$11 * 0.876) - (AE$11 * $N46)) * 0.25,
        0
    )
)</f>
        <v/>
      </c>
      <c r="AF46" s="117">
        <f>IF(
    AND($H46 &gt; $BA$7, Tabella01MarzoInverter[[#This Row],[Active power TX2-INV-5]] &lt;= 0, Tabella01MarzoInverter[[#This Row],[Active power TX3-INV-2]] &lt;= 0),
    MIN(($H46 / 1000) * AF$10 * $BA$4, AF$11 * 0.876) * 0.25,
    IF(
        AND($H46 &gt; $BA$7, Tabella01MarzoInverter[[#This Row],[Active power TX2-INV-5]] &lt;= 0),
        Tabella01MarzoInverter[[#This Row],[Active power TX3-INV-2]] * 0.25,
        0
    )
    +
    IF(
        $N46 &lt; 0.875,
        MAX(0, MIN(($H46 / 1000) * AF$10 * $BA$4, AF$11 * 0.876) - (AF$11 * $N46)) * 0.25,
        0
    )
)</f>
        <v/>
      </c>
      <c r="AG46" s="117">
        <f>IF(
    AND($H46 &gt; $BA$7, Tabella01MarzoInverter[[#This Row],[Active power TX2-INV-6]] &lt;= 0, Tabella01MarzoInverter[[#This Row],[Active power TX3-INV-3]] &lt;= 0),
    MIN(($H46 / 1000) * AG$10 * $BA$4, AG$11 * 0.876) * 0.25,
    IF(
        AND($H46 &gt; $BA$7, Tabella01MarzoInverter[[#This Row],[Active power TX2-INV-6]] &lt;= 0),
        Tabella01MarzoInverter[[#This Row],[Active power TX3-INV-3]] * 0.25,
        0
    )
    +
    IF(
        $N46 &lt; 0.875,
        MAX(0, MIN(($H46 / 1000) * AG$10 * $BA$4, AG$11 * 0.876) - (AG$11 * $N46)) * 0.25,
        0
    )
)</f>
        <v/>
      </c>
      <c r="AH46" s="117">
        <f>IF(
    AND($H46 &gt; $BA$7, Tabella01MarzoInverter[[#This Row],[Active power TX2-INV-7]] &lt;= 0, Tabella01MarzoInverter[[#This Row],[Active power TX3-INV-4]] &lt;= 0),
    MIN(($H46 / 1000) * AH$10 * $BA$4, AH$11 * 0.876) * 0.25,
    IF(
        AND($H46 &gt; $BA$7, Tabella01MarzoInverter[[#This Row],[Active power TX2-INV-7]] &lt;= 0),
        Tabella01MarzoInverter[[#This Row],[Active power TX3-INV-4]] * 0.25,
        0
    )
    +
    IF(
        $N46 &lt; 0.875,
        MAX(0, MIN(($H46 / 1000) * AH$10 * $BA$4, AH$11 * 0.876) - (AH$11 * $N46)) * 0.25,
        0
    )
)</f>
        <v/>
      </c>
      <c r="AI46" s="117">
        <f>IF(
    AND($H46 &gt; $BA$7, Tabella01MarzoInverter[[#This Row],[Active power TX2-INV-8]] &lt;= 0, Tabella01MarzoInverter[[#This Row],[Active power TX3-INV-5]] &lt;= 0),
    MIN(($H46 / 1000) * AI$10 * $BA$4, AI$11 * 0.876) * 0.25,
    IF(
        AND($H46 &gt; $BA$7, Tabella01MarzoInverter[[#This Row],[Active power TX2-INV-8]] &lt;= 0),
        Tabella01MarzoInverter[[#This Row],[Active power TX3-INV-5]] * 0.25,
        0
    )
    +
    IF(
        $N46 &lt; 0.875,
        MAX(0, MIN(($H46 / 1000) * AI$10 * $BA$4, AI$11 * 0.876) - (AI$11 * $N46)) * 0.25,
        0
    )
)</f>
        <v/>
      </c>
      <c r="AJ46" s="117">
        <f>IF(
    AND($H46 &gt; $BA$7, Tabella01MarzoInverter[[#This Row],[Active power TX2-INV-9]] &lt;= 0, Tabella01MarzoInverter[[#This Row],[Active power TX3-INV-6]] &lt;= 0),
    MIN(($H46 / 1000) * AJ$10 * $BA$4, AJ$11 * 0.876) * 0.25,
    IF(
        AND($H46 &gt; $BA$7, Tabella01MarzoInverter[[#This Row],[Active power TX2-INV-9]] &lt;= 0),
        Tabella01MarzoInverter[[#This Row],[Active power TX3-INV-6]] * 0.25,
        0
    )
    +
    IF(
        $N46 &lt; 0.875,
        MAX(0, MIN(($H46 / 1000) * AJ$10 * $BA$4, AJ$11 * 0.876) - (AJ$11 * $N46)) * 0.25,
        0
    )
)</f>
        <v/>
      </c>
      <c r="AK46" s="117">
        <f>IF(
    AND($H46 &gt; $BA$7, Tabella01MarzoInverter[[#This Row],[Active power TX2-INV-10]] &lt;= 0, Tabella01MarzoInverter[[#This Row],[Active power TX3-INV-7]] &lt;= 0),
    MIN(($H46 / 1000) * AK$10 * $BA$4, AK$11 * 0.876) * 0.25,
    IF(
        AND($H46 &gt; $BA$7, Tabella01MarzoInverter[[#This Row],[Active power TX2-INV-10]] &lt;= 0),
        Tabella01MarzoInverter[[#This Row],[Active power TX3-INV-7]] * 0.25,
        0
    )
    +
    IF(
        $N46 &lt; 0.875,
        MAX(0, MIN(($H46 / 1000) * AK$10 * $BA$4, AK$11 * 0.876) - (AK$11 * $N46)) * 0.25,
        0
    )
)</f>
        <v/>
      </c>
      <c r="AL46" s="117">
        <f>IF(
    AND($H46 &gt; $BA$7, Tabella01MarzoInverter[[#This Row],[Active power TX2-INV-11]] &lt;= 0, Tabella01MarzoInverter[[#This Row],[Active power TX3-INV-8]] &lt;= 0),
    MIN(($H46 / 1000) * AL$10 * $BA$4, AL$11 * 0.876) * 0.25,
    IF(
        AND($H46 &gt; $BA$7, Tabella01MarzoInverter[[#This Row],[Active power TX2-INV-11]] &lt;= 0),
        Tabella01MarzoInverter[[#This Row],[Active power TX3-INV-8]] * 0.25,
        0
    )
    +
    IF(
        $N46 &lt; 0.875,
        MAX(0, MIN(($H46 / 1000) * AL$10 * $BA$4, AL$11 * 0.876) - (AL$11 * $N46)) * 0.25,
        0
    )
)</f>
        <v/>
      </c>
      <c r="AM46" s="117">
        <f>IF(
    AND($H46 &gt; $BA$7, Tabella01MarzoInverter[[#This Row],[Active power TX2-INV-12]] &lt;= 0, Tabella01MarzoInverter[[#This Row],[Active power TX3-INV-9]] &lt;= 0),
    MIN(($H46 / 1000) * AM$10 * $BA$4, AM$11 * 0.876) * 0.25,
    IF(
        AND($H46 &gt; $BA$7, Tabella01MarzoInverter[[#This Row],[Active power TX2-INV-12]] &lt;= 0),
        Tabella01MarzoInverter[[#This Row],[Active power TX3-INV-9]] * 0.25,
        0
    )
    +
    IF(
        $N46 &lt; 0.875,
        MAX(0, MIN(($H46 / 1000) * AM$10 * $BA$4, AM$11 * 0.876) - (AM$11 * $N46)) * 0.25,
        0
    )
)</f>
        <v/>
      </c>
      <c r="AN46" s="118">
        <f>SUM(TabellaMar2026[[#This Row],[Colonna39]:[Colonna6]])</f>
        <v/>
      </c>
      <c r="AO46" s="117">
        <f t="array" ref="AO46">IF(
    AND($H46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($H46 / 1000) * AO$10 * $BA$4 * 0.25
    ),
    0
)
+
IF(
    $N46 &lt; 0.875,
    MAX(0, MIN(($H46 / 1000) * AO$10 * $BA$4, AO$11 * 0.876) - (AO$11 * $N46)) * 0.25,
    0
)</f>
        <v/>
      </c>
      <c r="AP46" s="117">
        <f t="array" ref="AP46">IF(
    AND($H46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($H46 / 1000) * AP$10 * $BA$4 * 0.25
    ),
    0
)
+
IF(
    $N46 &lt; 0.875,
    MAX(0, MIN(($H46 / 1000) * AP$10 * $BA$4, AP$11 * 0.876) - (AP$11 * $N46)) * 0.25,
    0
)</f>
        <v/>
      </c>
      <c r="AQ46" s="117">
        <f t="array" ref="AQ46">IF(
    AND($H46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($H46 / 1000) * AQ$10 * $BA$4 * 0.25
    ),
    0
)
+
IF(
    $N46 &lt; 0.875,
    MAX(0, MIN(($H46 / 1000) * AQ$10 * $BA$4, AQ$11 * 0.876) - (AQ$11 * $N46)) * 0.25,
    0
)</f>
        <v/>
      </c>
      <c r="AR46" s="117">
        <f t="array" ref="AR46">IF(
    AND($H46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($H46 / 1000) * AR$10 * $BA$4 * 0.25
    ),
    0
)
+
IF(
    $N46 &lt; 0.875,
    MAX(0, MIN(($H46 / 1000) * AR$10 * $BA$4, AR$11 * 0.876) - (AR$11 * $N46)) * 0.25,
    0
)</f>
        <v/>
      </c>
      <c r="AS46" s="117">
        <f t="array" ref="AS46">IF(
    AND($H46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($H46 / 1000) * AS$10 * $BA$4 * 0.25
    ),
    0
)
+
IF(
    $N46 &lt; 0.875,
    MAX(0, MIN(($H46 / 1000) * AS$10 * $BA$4, AS$11 * 0.876) - (AS$11 * $N46)) * 0.25,
    0
)</f>
        <v/>
      </c>
      <c r="AT46" s="117">
        <f t="array" ref="AT46">IF(
    AND($H46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($H46 / 1000) * AT$10 * $BA$4 * 0.25
    ),
    0
)
+
IF(
    $N46 &lt; 0.875,
    MAX(0, MIN(($H46 / 1000) * AT$10 * $BA$4, AT$11 * 0.876) - (AT$11 * $N46)) * 0.25,
    0
)</f>
        <v/>
      </c>
      <c r="AU46" s="117">
        <f t="array" ref="AU46">IF(
    AND($H46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($H46 / 1000) * AU$10 * $BA$4 * 0.25
    ),
    0
)
+
IF(
    $N46 &lt; 0.875,
    MAX(0, MIN(($H46 / 1000) * AU$10 * $BA$4, AU$11 * 0.876) - (AU$11 * $N46)) * 0.25,
    0
)</f>
        <v/>
      </c>
      <c r="AV46" s="117">
        <f t="array" ref="AV46">IF(
    AND($H46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($H46 / 1000) * AV$10 * $BA$4 * 0.25
    ),
    0
)
+
IF(
    $N46 &lt; 0.875,
    MAX(0, MIN(($H46 / 1000) * AV$10 * $BA$4, AV$11 * 0.876) - (AV$11 * $N46)) * 0.25,
    0
)</f>
        <v/>
      </c>
      <c r="AW46" s="117">
        <f t="array" ref="AW46">IF(
    AND($H46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($H46 / 1000) * AW$10 * $BA$4 * 0.25
    ),
    0
)
+
IF(
    $N46 &lt; 0.875,
    MAX(0, MIN(($H46 / 1000) * AW$10 * $BA$4, AW$11 * 0.876) - (AW$11 * $N46)) * 0.25,
    0
)</f>
        <v/>
      </c>
      <c r="AX46" s="117">
        <f t="array" ref="AX46">IF(
    AND($H46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($H46 / 1000) * AX$10 * $BA$4 * 0.25
    ),
    0
)
+
IF(
    $N46 &lt; 0.875,
    MAX(0, MIN(($H46 / 1000) * AX$10 * $BA$4, AX$11 * 0.876) - (AX$11 * $N46)) * 0.25,
    0
)</f>
        <v/>
      </c>
      <c r="AY46" s="117">
        <f t="array" ref="AY46">IF(
    AND($H46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($H46 / 1000) * AY$10 * $BA$4 * 0.25
    ),
    0
)
+
IF(
    $N46 &lt; 0.875,
    MAX(0, MIN(($H46 / 1000) * AY$10 * $BA$4, AY$11 * 0.876) - (AY$11 * $N46)) * 0.25,
    0
)</f>
        <v/>
      </c>
      <c r="AZ46" s="117">
        <f t="array" ref="AZ46">IF(
    AND($H46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($H46 / 1000) * AZ$10 * $BA$4 * 0.25
    ),
    0
)
+
IF(
    $N46 &lt; 0.875,
    MAX(0, MIN(($H46 / 1000) * AZ$10 * $BA$4, AZ$11 * 0.876) - (AZ$11 * $N46)) * 0.25,
    0
)</f>
        <v/>
      </c>
      <c r="BA46" s="119">
        <f>SUM(TabellaMar2026[[#This Row],[Colonna54]:[Colonna53]])</f>
        <v/>
      </c>
    </row>
    <row r="47">
      <c r="A47" s="112" t="n">
        <v>46143</v>
      </c>
      <c r="B47" t="inlineStr">
        <is>
          <t>08:00:00.000</t>
        </is>
      </c>
      <c r="C47" s="2" t="n">
        <v>329.8</v>
      </c>
      <c r="D47" s="113" t="n">
        <v>0.08245000000000001</v>
      </c>
      <c r="E47" s="113" t="n">
        <v>344.6</v>
      </c>
      <c r="F47" s="113" t="n">
        <v>0.08615</v>
      </c>
      <c r="G47" s="113">
        <f>IFERROR((D47+F47)/2, 0)</f>
        <v/>
      </c>
      <c r="H47" s="114">
        <f>IFERROR(IF(AVERAGE(C47,E47)&gt;$BA$7,AVERAGE(C47,E47),0), 0)</f>
        <v/>
      </c>
      <c r="I47" s="114">
        <f>IFERROR(IF(AND(D47=0,F47=0),0,IF(H47&gt;$BA$6,MAX(D47,F47),G47)), 0)</f>
        <v/>
      </c>
      <c r="J47" s="113">
        <f>IFERROR(IF(AND(D47&gt;0,F47&gt;0),ABS(D47-F47)/AVERAGE(D47,F47),0), 0)</f>
        <v/>
      </c>
      <c r="K47" s="113" t="n">
        <v>30100.3</v>
      </c>
      <c r="L47" s="113" t="n">
        <v>30101.2</v>
      </c>
      <c r="M47" s="115">
        <f>IFERROR((L47-K47)*1000, 0)</f>
        <v/>
      </c>
      <c r="N47" s="113" t="n">
        <v>0.8759999999999999</v>
      </c>
      <c r="O47" s="115">
        <f t="array" ref="O47">IF(
    AND($H47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($H47 / 1000) * O$10 * $BA$4 * 0.25
    ),
    0
)
+
IF(
    $N47 &lt; 0.875,
    MAX(0, MIN(($H47 / 1000) * O$10 * $BA$4, O$11 * 0.876) - (O$11 * $N47)) * 0.25,
    0
)</f>
        <v/>
      </c>
      <c r="P47" s="115">
        <f t="array" ref="P47">IF(
    AND($H47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($H47 / 1000) * P$10 * $BA$4 * 0.25
    ),
    0
)
+
IF(
    $N47 &lt; 0.875,
    MAX(0, MIN(($H47 / 1000) * P$10 * $BA$4, P$11 * 0.876) - (P$11 * $N47)) * 0.25,
    0
)</f>
        <v/>
      </c>
      <c r="Q47" s="115">
        <f t="array" ref="Q47">IF(
    AND($H47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($H47 / 1000) * Q$10 * $BA$4 * 0.25
    ),
    0
)
+
IF(
    $N47 &lt; 0.875,
    MAX(0, MIN(($H47 / 1000) * Q$10 * $BA$4, Q$11 * 0.876) - (Q$11 * $N47)) * 0.25,
    0
)</f>
        <v/>
      </c>
      <c r="R47" s="115">
        <f t="array" ref="R47">IF(
    AND($H47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($H47 / 1000) * R$10 * $BA$4 * 0.25
    ),
    0
)
+
IF(
    $N47 &lt; 0.875,
    MAX(0, MIN(($H47 / 1000) * R$10 * $BA$4, R$11 * 0.876) - (R$11 * $N47)) * 0.25,
    0
)</f>
        <v/>
      </c>
      <c r="S47" s="115">
        <f t="array" ref="S47">IF(
    AND($H47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($H47 / 1000) * S$10 * $BA$4 * 0.25
    ),
    0
)
+
IF(
    $N47 &lt; 0.875,
    MAX(0, MIN(($H47 / 1000) * S$10 * $BA$4, S$11 * 0.876) - (S$11 * $N47)) * 0.25,
    0
)</f>
        <v/>
      </c>
      <c r="T47" s="115">
        <f t="array" ref="T47">IF(
    AND($H47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($H47 / 1000) * T$10 * $BA$4 * 0.25
    ),
    0
)
+
IF(
    $N47 &lt; 0.875,
    MAX(0, MIN(($H47 / 1000) * T$10 * $BA$4, T$11 * 0.876) - (T$11 * $N47)) * 0.25,
    0
)</f>
        <v/>
      </c>
      <c r="U47" s="115">
        <f t="array" ref="U47">IF(
    AND($H47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($H47 / 1000) * U$10 * $BA$4 * 0.25
    ),
    0
)
+
IF(
    $N47 &lt; 0.875,
    MAX(0, MIN(($H47 / 1000) * U$10 * $BA$4, U$11 * 0.876) - (U$11 * $N47)) * 0.25,
    0
)</f>
        <v/>
      </c>
      <c r="V47" s="115">
        <f t="array" ref="V47">IF(
    AND($H47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($H47 / 1000) * V$10 * $BA$4 * 0.25
    ),
    0
)
+
IF(
    $N47 &lt; 0.875,
    MAX(0, MIN(($H47 / 1000) * V$10 * $BA$4, V$11 * 0.876) - (V$11 * $N47)) * 0.25,
    0
)</f>
        <v/>
      </c>
      <c r="W47" s="115">
        <f t="array" ref="W47">IF(
    AND($H47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($H47 / 1000) * W$10 * $BA$4 * 0.25
    ),
    0
)
+
IF(
    $N47 &lt; 0.875,
    MAX(0, MIN(($H47 / 1000) * W$10 * $BA$4, W$11 * 0.876) - (W$11 * $N47)) * 0.25,
    0
)</f>
        <v/>
      </c>
      <c r="X47" s="115">
        <f t="array" ref="X47">IF(
    AND($H47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($H47 / 1000) * X$10 * $BA$4 * 0.25
    ),
    0
)
+
IF(
    $N47 &lt; 0.875,
    MAX(0, MIN(($H47 / 1000) * X$10 * $BA$4, X$11 * 0.876) - (X$11 * $N47)) * 0.25,
    0
)</f>
        <v/>
      </c>
      <c r="Y47" s="115">
        <f t="array" ref="Y47">IF(
    AND($H47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($H47 / 1000) * Y$10 * $BA$4 * 0.25
    ),
    0
)
+
IF(
    $N47 &lt; 0.875,
    MAX(0, MIN(($H47 / 1000) * Y$10 * $BA$4, Y$11 * 0.876) - (Y$11 * $N47)) * 0.25,
    0
)</f>
        <v/>
      </c>
      <c r="Z47" s="115">
        <f t="array" ref="Z47">IF(
    AND($H47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($H47 / 1000) * Z$10 * $BA$4 * 0.25
    ),
    0
)
+
IF(
    $N47 &lt; 0.875,
    MAX(0, MIN(($H47 / 1000) * Z$10 * $BA$4, Z$11 * 0.876) - (Z$11 * $N47)) * 0.25,
    0
)</f>
        <v/>
      </c>
      <c r="AA47" s="116">
        <f>SUM(TabellaMar2026[[#This Row],[Colonna24]:[Colonna20]])</f>
        <v/>
      </c>
      <c r="AB47" s="117">
        <f>IF(
    AND($H47 &gt; $BA$7, Tabella01MarzoInverter[[#This Row],[Active power TX2-INV-1]] &lt;= 0, Tabella01MarzoInverter[[#This Row],[TX2 - Average Power]] &lt;= 0),
    MIN(($H47 / 1000) * AB$10 * $BA$4, AB$11 * 0.876) * 0.25,
    IF(
        AND($H47 &gt; $BA$7, Tabella01MarzoInverter[[#This Row],[Active power TX2-INV-1]] &lt;= 0),
        Tabella01MarzoInverter[[#This Row],[TX2 - Average Power]] * 0.25,
        0
    )
    +
    IF(
        $N47 &lt; 0.875,
        MAX(0, MIN(($H47 / 1000) * AB$10 * $BA$4, AB$11 * 0.876) - (AB$11 * $N47)) * 0.25,
        0
    )
)</f>
        <v/>
      </c>
      <c r="AC47" s="117">
        <f>IF(
    AND($H47 &gt; $BA$7, Tabella01MarzoInverter[[#This Row],[Active power TX2-INV-2]] &lt;= 0, Tabella01MarzoInverter[[#This Row],[TX2 - Max Power]] &lt;= 0),
    MIN(($H47 / 1000) * AC$10 * $BA$4, AC$11 * 0.876) * 0.25,
    IF(
        AND($H47 &gt; $BA$7, Tabella01MarzoInverter[[#This Row],[Active power TX2-INV-2]] &lt;= 0),
        Tabella01MarzoInverter[[#This Row],[TX2 - Max Power]] * 0.25,
        0
    )
    +
    IF(
        $N47 &lt; 0.875,
        MAX(0, MIN(($H47 / 1000) * AC$10 * $BA$4, AC$11 * 0.876) - (AC$11 * $N47)) * 0.25,
        0
    )
)</f>
        <v/>
      </c>
      <c r="AD47" s="117">
        <f>IF(
    AND($H47 &gt; $BA$7, Tabella01MarzoInverter[[#This Row],[Active power TX2-INV-3]] &lt;= 0, Tabella01MarzoInverter[[#This Row],[TX2 - Min Power]] &lt;= 0),
    MIN(($H47 / 1000) * AD$10 * $BA$4, AD$11 * 0.876) * 0.25,
    IF(
        AND($H47 &gt; $BA$7, Tabella01MarzoInverter[[#This Row],[Active power TX2-INV-3]] &lt;= 0),
        Tabella01MarzoInverter[[#This Row],[TX2 - Min Power]] * 0.25,
        0
    )
    +
    IF(
        $N47 &lt; 0.875,
        MAX(0, MIN(($H47 / 1000) * AD$10 * $BA$4, AD$11 * 0.876) - (AD$11 * $N47)) * 0.25,
        0
    )
)</f>
        <v/>
      </c>
      <c r="AE47" s="117">
        <f>IF(
    AND($H47 &gt; $BA$7, Tabella01MarzoInverter[[#This Row],[Active power TX2-INV-4]] &lt;= 0, Tabella01MarzoInverter[[#This Row],[Active power TX3-INV-1]] &lt;= 0),
    MIN(($H47 / 1000) * AE$10 * $BA$4, AE$11 * 0.876) * 0.25,
    IF(
        AND($H47 &gt; $BA$7, Tabella01MarzoInverter[[#This Row],[Active power TX2-INV-4]] &lt;= 0),
        Tabella01MarzoInverter[[#This Row],[Active power TX3-INV-1]] * 0.25,
        0
    )
    +
    IF(
        $N47 &lt; 0.875,
        MAX(0, MIN(($H47 / 1000) * AE$10 * $BA$4, AE$11 * 0.876) - (AE$11 * $N47)) * 0.25,
        0
    )
)</f>
        <v/>
      </c>
      <c r="AF47" s="117">
        <f>IF(
    AND($H47 &gt; $BA$7, Tabella01MarzoInverter[[#This Row],[Active power TX2-INV-5]] &lt;= 0, Tabella01MarzoInverter[[#This Row],[Active power TX3-INV-2]] &lt;= 0),
    MIN(($H47 / 1000) * AF$10 * $BA$4, AF$11 * 0.876) * 0.25,
    IF(
        AND($H47 &gt; $BA$7, Tabella01MarzoInverter[[#This Row],[Active power TX2-INV-5]] &lt;= 0),
        Tabella01MarzoInverter[[#This Row],[Active power TX3-INV-2]] * 0.25,
        0
    )
    +
    IF(
        $N47 &lt; 0.875,
        MAX(0, MIN(($H47 / 1000) * AF$10 * $BA$4, AF$11 * 0.876) - (AF$11 * $N47)) * 0.25,
        0
    )
)</f>
        <v/>
      </c>
      <c r="AG47" s="117">
        <f>IF(
    AND($H47 &gt; $BA$7, Tabella01MarzoInverter[[#This Row],[Active power TX2-INV-6]] &lt;= 0, Tabella01MarzoInverter[[#This Row],[Active power TX3-INV-3]] &lt;= 0),
    MIN(($H47 / 1000) * AG$10 * $BA$4, AG$11 * 0.876) * 0.25,
    IF(
        AND($H47 &gt; $BA$7, Tabella01MarzoInverter[[#This Row],[Active power TX2-INV-6]] &lt;= 0),
        Tabella01MarzoInverter[[#This Row],[Active power TX3-INV-3]] * 0.25,
        0
    )
    +
    IF(
        $N47 &lt; 0.875,
        MAX(0, MIN(($H47 / 1000) * AG$10 * $BA$4, AG$11 * 0.876) - (AG$11 * $N47)) * 0.25,
        0
    )
)</f>
        <v/>
      </c>
      <c r="AH47" s="117">
        <f>IF(
    AND($H47 &gt; $BA$7, Tabella01MarzoInverter[[#This Row],[Active power TX2-INV-7]] &lt;= 0, Tabella01MarzoInverter[[#This Row],[Active power TX3-INV-4]] &lt;= 0),
    MIN(($H47 / 1000) * AH$10 * $BA$4, AH$11 * 0.876) * 0.25,
    IF(
        AND($H47 &gt; $BA$7, Tabella01MarzoInverter[[#This Row],[Active power TX2-INV-7]] &lt;= 0),
        Tabella01MarzoInverter[[#This Row],[Active power TX3-INV-4]] * 0.25,
        0
    )
    +
    IF(
        $N47 &lt; 0.875,
        MAX(0, MIN(($H47 / 1000) * AH$10 * $BA$4, AH$11 * 0.876) - (AH$11 * $N47)) * 0.25,
        0
    )
)</f>
        <v/>
      </c>
      <c r="AI47" s="117">
        <f>IF(
    AND($H47 &gt; $BA$7, Tabella01MarzoInverter[[#This Row],[Active power TX2-INV-8]] &lt;= 0, Tabella01MarzoInverter[[#This Row],[Active power TX3-INV-5]] &lt;= 0),
    MIN(($H47 / 1000) * AI$10 * $BA$4, AI$11 * 0.876) * 0.25,
    IF(
        AND($H47 &gt; $BA$7, Tabella01MarzoInverter[[#This Row],[Active power TX2-INV-8]] &lt;= 0),
        Tabella01MarzoInverter[[#This Row],[Active power TX3-INV-5]] * 0.25,
        0
    )
    +
    IF(
        $N47 &lt; 0.875,
        MAX(0, MIN(($H47 / 1000) * AI$10 * $BA$4, AI$11 * 0.876) - (AI$11 * $N47)) * 0.25,
        0
    )
)</f>
        <v/>
      </c>
      <c r="AJ47" s="117">
        <f>IF(
    AND($H47 &gt; $BA$7, Tabella01MarzoInverter[[#This Row],[Active power TX2-INV-9]] &lt;= 0, Tabella01MarzoInverter[[#This Row],[Active power TX3-INV-6]] &lt;= 0),
    MIN(($H47 / 1000) * AJ$10 * $BA$4, AJ$11 * 0.876) * 0.25,
    IF(
        AND($H47 &gt; $BA$7, Tabella01MarzoInverter[[#This Row],[Active power TX2-INV-9]] &lt;= 0),
        Tabella01MarzoInverter[[#This Row],[Active power TX3-INV-6]] * 0.25,
        0
    )
    +
    IF(
        $N47 &lt; 0.875,
        MAX(0, MIN(($H47 / 1000) * AJ$10 * $BA$4, AJ$11 * 0.876) - (AJ$11 * $N47)) * 0.25,
        0
    )
)</f>
        <v/>
      </c>
      <c r="AK47" s="117">
        <f>IF(
    AND($H47 &gt; $BA$7, Tabella01MarzoInverter[[#This Row],[Active power TX2-INV-10]] &lt;= 0, Tabella01MarzoInverter[[#This Row],[Active power TX3-INV-7]] &lt;= 0),
    MIN(($H47 / 1000) * AK$10 * $BA$4, AK$11 * 0.876) * 0.25,
    IF(
        AND($H47 &gt; $BA$7, Tabella01MarzoInverter[[#This Row],[Active power TX2-INV-10]] &lt;= 0),
        Tabella01MarzoInverter[[#This Row],[Active power TX3-INV-7]] * 0.25,
        0
    )
    +
    IF(
        $N47 &lt; 0.875,
        MAX(0, MIN(($H47 / 1000) * AK$10 * $BA$4, AK$11 * 0.876) - (AK$11 * $N47)) * 0.25,
        0
    )
)</f>
        <v/>
      </c>
      <c r="AL47" s="117">
        <f>IF(
    AND($H47 &gt; $BA$7, Tabella01MarzoInverter[[#This Row],[Active power TX2-INV-11]] &lt;= 0, Tabella01MarzoInverter[[#This Row],[Active power TX3-INV-8]] &lt;= 0),
    MIN(($H47 / 1000) * AL$10 * $BA$4, AL$11 * 0.876) * 0.25,
    IF(
        AND($H47 &gt; $BA$7, Tabella01MarzoInverter[[#This Row],[Active power TX2-INV-11]] &lt;= 0),
        Tabella01MarzoInverter[[#This Row],[Active power TX3-INV-8]] * 0.25,
        0
    )
    +
    IF(
        $N47 &lt; 0.875,
        MAX(0, MIN(($H47 / 1000) * AL$10 * $BA$4, AL$11 * 0.876) - (AL$11 * $N47)) * 0.25,
        0
    )
)</f>
        <v/>
      </c>
      <c r="AM47" s="117">
        <f>IF(
    AND($H47 &gt; $BA$7, Tabella01MarzoInverter[[#This Row],[Active power TX2-INV-12]] &lt;= 0, Tabella01MarzoInverter[[#This Row],[Active power TX3-INV-9]] &lt;= 0),
    MIN(($H47 / 1000) * AM$10 * $BA$4, AM$11 * 0.876) * 0.25,
    IF(
        AND($H47 &gt; $BA$7, Tabella01MarzoInverter[[#This Row],[Active power TX2-INV-12]] &lt;= 0),
        Tabella01MarzoInverter[[#This Row],[Active power TX3-INV-9]] * 0.25,
        0
    )
    +
    IF(
        $N47 &lt; 0.875,
        MAX(0, MIN(($H47 / 1000) * AM$10 * $BA$4, AM$11 * 0.876) - (AM$11 * $N47)) * 0.25,
        0
    )
)</f>
        <v/>
      </c>
      <c r="AN47" s="118">
        <f>SUM(TabellaMar2026[[#This Row],[Colonna39]:[Colonna6]])</f>
        <v/>
      </c>
      <c r="AO47" s="117">
        <f t="array" ref="AO47">IF(
    AND($H47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($H47 / 1000) * AO$10 * $BA$4 * 0.25
    ),
    0
)
+
IF(
    $N47 &lt; 0.875,
    MAX(0, MIN(($H47 / 1000) * AO$10 * $BA$4, AO$11 * 0.876) - (AO$11 * $N47)) * 0.25,
    0
)</f>
        <v/>
      </c>
      <c r="AP47" s="117">
        <f t="array" ref="AP47">IF(
    AND($H47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($H47 / 1000) * AP$10 * $BA$4 * 0.25
    ),
    0
)
+
IF(
    $N47 &lt; 0.875,
    MAX(0, MIN(($H47 / 1000) * AP$10 * $BA$4, AP$11 * 0.876) - (AP$11 * $N47)) * 0.25,
    0
)</f>
        <v/>
      </c>
      <c r="AQ47" s="117">
        <f t="array" ref="AQ47">IF(
    AND($H47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($H47 / 1000) * AQ$10 * $BA$4 * 0.25
    ),
    0
)
+
IF(
    $N47 &lt; 0.875,
    MAX(0, MIN(($H47 / 1000) * AQ$10 * $BA$4, AQ$11 * 0.876) - (AQ$11 * $N47)) * 0.25,
    0
)</f>
        <v/>
      </c>
      <c r="AR47" s="117">
        <f t="array" ref="AR47">IF(
    AND($H47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($H47 / 1000) * AR$10 * $BA$4 * 0.25
    ),
    0
)
+
IF(
    $N47 &lt; 0.875,
    MAX(0, MIN(($H47 / 1000) * AR$10 * $BA$4, AR$11 * 0.876) - (AR$11 * $N47)) * 0.25,
    0
)</f>
        <v/>
      </c>
      <c r="AS47" s="117">
        <f t="array" ref="AS47">IF(
    AND($H47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($H47 / 1000) * AS$10 * $BA$4 * 0.25
    ),
    0
)
+
IF(
    $N47 &lt; 0.875,
    MAX(0, MIN(($H47 / 1000) * AS$10 * $BA$4, AS$11 * 0.876) - (AS$11 * $N47)) * 0.25,
    0
)</f>
        <v/>
      </c>
      <c r="AT47" s="117">
        <f t="array" ref="AT47">IF(
    AND($H47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($H47 / 1000) * AT$10 * $BA$4 * 0.25
    ),
    0
)
+
IF(
    $N47 &lt; 0.875,
    MAX(0, MIN(($H47 / 1000) * AT$10 * $BA$4, AT$11 * 0.876) - (AT$11 * $N47)) * 0.25,
    0
)</f>
        <v/>
      </c>
      <c r="AU47" s="117">
        <f t="array" ref="AU47">IF(
    AND($H47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($H47 / 1000) * AU$10 * $BA$4 * 0.25
    ),
    0
)
+
IF(
    $N47 &lt; 0.875,
    MAX(0, MIN(($H47 / 1000) * AU$10 * $BA$4, AU$11 * 0.876) - (AU$11 * $N47)) * 0.25,
    0
)</f>
        <v/>
      </c>
      <c r="AV47" s="117">
        <f t="array" ref="AV47">IF(
    AND($H47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($H47 / 1000) * AV$10 * $BA$4 * 0.25
    ),
    0
)
+
IF(
    $N47 &lt; 0.875,
    MAX(0, MIN(($H47 / 1000) * AV$10 * $BA$4, AV$11 * 0.876) - (AV$11 * $N47)) * 0.25,
    0
)</f>
        <v/>
      </c>
      <c r="AW47" s="117">
        <f t="array" ref="AW47">IF(
    AND($H47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($H47 / 1000) * AW$10 * $BA$4 * 0.25
    ),
    0
)
+
IF(
    $N47 &lt; 0.875,
    MAX(0, MIN(($H47 / 1000) * AW$10 * $BA$4, AW$11 * 0.876) - (AW$11 * $N47)) * 0.25,
    0
)</f>
        <v/>
      </c>
      <c r="AX47" s="117">
        <f t="array" ref="AX47">IF(
    AND($H47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($H47 / 1000) * AX$10 * $BA$4 * 0.25
    ),
    0
)
+
IF(
    $N47 &lt; 0.875,
    MAX(0, MIN(($H47 / 1000) * AX$10 * $BA$4, AX$11 * 0.876) - (AX$11 * $N47)) * 0.25,
    0
)</f>
        <v/>
      </c>
      <c r="AY47" s="117">
        <f t="array" ref="AY47">IF(
    AND($H47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($H47 / 1000) * AY$10 * $BA$4 * 0.25
    ),
    0
)
+
IF(
    $N47 &lt; 0.875,
    MAX(0, MIN(($H47 / 1000) * AY$10 * $BA$4, AY$11 * 0.876) - (AY$11 * $N47)) * 0.25,
    0
)</f>
        <v/>
      </c>
      <c r="AZ47" s="117">
        <f t="array" ref="AZ47">IF(
    AND($H47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($H47 / 1000) * AZ$10 * $BA$4 * 0.25
    ),
    0
)
+
IF(
    $N47 &lt; 0.875,
    MAX(0, MIN(($H47 / 1000) * AZ$10 * $BA$4, AZ$11 * 0.876) - (AZ$11 * $N47)) * 0.25,
    0
)</f>
        <v/>
      </c>
      <c r="BA47" s="119">
        <f>SUM(TabellaMar2026[[#This Row],[Colonna54]:[Colonna53]])</f>
        <v/>
      </c>
    </row>
    <row r="48">
      <c r="A48" s="112" t="n">
        <v>46143</v>
      </c>
      <c r="B48" t="inlineStr">
        <is>
          <t>08:15:00.000</t>
        </is>
      </c>
      <c r="C48" s="2" t="n">
        <v>243.6</v>
      </c>
      <c r="D48" s="113" t="n">
        <v>0.0609</v>
      </c>
      <c r="E48" s="113" t="n">
        <v>274.5</v>
      </c>
      <c r="F48" s="113" t="n">
        <v>0.06862500000000001</v>
      </c>
      <c r="G48" s="113">
        <f>IFERROR((D48+F48)/2, 0)</f>
        <v/>
      </c>
      <c r="H48" s="114">
        <f>IFERROR(IF(AVERAGE(C48,E48)&gt;$BA$7,AVERAGE(C48,E48),0), 0)</f>
        <v/>
      </c>
      <c r="I48" s="114">
        <f>IFERROR(IF(AND(D48=0,F48=0),0,IF(H48&gt;$BA$6,MAX(D48,F48),G48)), 0)</f>
        <v/>
      </c>
      <c r="J48" s="113">
        <f>IFERROR(IF(AND(D48&gt;0,F48&gt;0),ABS(D48-F48)/AVERAGE(D48,F48),0), 0)</f>
        <v/>
      </c>
      <c r="K48" s="113" t="n">
        <v>30101.2</v>
      </c>
      <c r="L48" s="113" t="n">
        <v>30102.1</v>
      </c>
      <c r="M48" s="115">
        <f>IFERROR((L48-K48)*1000, 0)</f>
        <v/>
      </c>
      <c r="N48" s="113" t="n">
        <v>0.8759999999999999</v>
      </c>
      <c r="O48" s="115">
        <f t="array" ref="O48">IF(
    AND($H48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($H48 / 1000) * O$10 * $BA$4 * 0.25
    ),
    0
)
+
IF(
    $N48 &lt; 0.875,
    MAX(0, MIN(($H48 / 1000) * O$10 * $BA$4, O$11 * 0.876) - (O$11 * $N48)) * 0.25,
    0
)</f>
        <v/>
      </c>
      <c r="P48" s="115">
        <f t="array" ref="P48">IF(
    AND($H48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($H48 / 1000) * P$10 * $BA$4 * 0.25
    ),
    0
)
+
IF(
    $N48 &lt; 0.875,
    MAX(0, MIN(($H48 / 1000) * P$10 * $BA$4, P$11 * 0.876) - (P$11 * $N48)) * 0.25,
    0
)</f>
        <v/>
      </c>
      <c r="Q48" s="115">
        <f t="array" ref="Q48">IF(
    AND($H48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($H48 / 1000) * Q$10 * $BA$4 * 0.25
    ),
    0
)
+
IF(
    $N48 &lt; 0.875,
    MAX(0, MIN(($H48 / 1000) * Q$10 * $BA$4, Q$11 * 0.876) - (Q$11 * $N48)) * 0.25,
    0
)</f>
        <v/>
      </c>
      <c r="R48" s="115">
        <f t="array" ref="R48">IF(
    AND($H48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($H48 / 1000) * R$10 * $BA$4 * 0.25
    ),
    0
)
+
IF(
    $N48 &lt; 0.875,
    MAX(0, MIN(($H48 / 1000) * R$10 * $BA$4, R$11 * 0.876) - (R$11 * $N48)) * 0.25,
    0
)</f>
        <v/>
      </c>
      <c r="S48" s="115">
        <f t="array" ref="S48">IF(
    AND($H48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($H48 / 1000) * S$10 * $BA$4 * 0.25
    ),
    0
)
+
IF(
    $N48 &lt; 0.875,
    MAX(0, MIN(($H48 / 1000) * S$10 * $BA$4, S$11 * 0.876) - (S$11 * $N48)) * 0.25,
    0
)</f>
        <v/>
      </c>
      <c r="T48" s="115">
        <f t="array" ref="T48">IF(
    AND($H48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($H48 / 1000) * T$10 * $BA$4 * 0.25
    ),
    0
)
+
IF(
    $N48 &lt; 0.875,
    MAX(0, MIN(($H48 / 1000) * T$10 * $BA$4, T$11 * 0.876) - (T$11 * $N48)) * 0.25,
    0
)</f>
        <v/>
      </c>
      <c r="U48" s="115">
        <f t="array" ref="U48">IF(
    AND($H48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($H48 / 1000) * U$10 * $BA$4 * 0.25
    ),
    0
)
+
IF(
    $N48 &lt; 0.875,
    MAX(0, MIN(($H48 / 1000) * U$10 * $BA$4, U$11 * 0.876) - (U$11 * $N48)) * 0.25,
    0
)</f>
        <v/>
      </c>
      <c r="V48" s="115">
        <f t="array" ref="V48">IF(
    AND($H48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($H48 / 1000) * V$10 * $BA$4 * 0.25
    ),
    0
)
+
IF(
    $N48 &lt; 0.875,
    MAX(0, MIN(($H48 / 1000) * V$10 * $BA$4, V$11 * 0.876) - (V$11 * $N48)) * 0.25,
    0
)</f>
        <v/>
      </c>
      <c r="W48" s="115">
        <f t="array" ref="W48">IF(
    AND($H48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($H48 / 1000) * W$10 * $BA$4 * 0.25
    ),
    0
)
+
IF(
    $N48 &lt; 0.875,
    MAX(0, MIN(($H48 / 1000) * W$10 * $BA$4, W$11 * 0.876) - (W$11 * $N48)) * 0.25,
    0
)</f>
        <v/>
      </c>
      <c r="X48" s="115">
        <f t="array" ref="X48">IF(
    AND($H48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($H48 / 1000) * X$10 * $BA$4 * 0.25
    ),
    0
)
+
IF(
    $N48 &lt; 0.875,
    MAX(0, MIN(($H48 / 1000) * X$10 * $BA$4, X$11 * 0.876) - (X$11 * $N48)) * 0.25,
    0
)</f>
        <v/>
      </c>
      <c r="Y48" s="115">
        <f t="array" ref="Y48">IF(
    AND($H48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($H48 / 1000) * Y$10 * $BA$4 * 0.25
    ),
    0
)
+
IF(
    $N48 &lt; 0.875,
    MAX(0, MIN(($H48 / 1000) * Y$10 * $BA$4, Y$11 * 0.876) - (Y$11 * $N48)) * 0.25,
    0
)</f>
        <v/>
      </c>
      <c r="Z48" s="115">
        <f t="array" ref="Z48">IF(
    AND($H48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($H48 / 1000) * Z$10 * $BA$4 * 0.25
    ),
    0
)
+
IF(
    $N48 &lt; 0.875,
    MAX(0, MIN(($H48 / 1000) * Z$10 * $BA$4, Z$11 * 0.876) - (Z$11 * $N48)) * 0.25,
    0
)</f>
        <v/>
      </c>
      <c r="AA48" s="116">
        <f>SUM(TabellaMar2026[[#This Row],[Colonna24]:[Colonna20]])</f>
        <v/>
      </c>
      <c r="AB48" s="117">
        <f>IF(
    AND($H48 &gt; $BA$7, Tabella01MarzoInverter[[#This Row],[Active power TX2-INV-1]] &lt;= 0, Tabella01MarzoInverter[[#This Row],[TX2 - Average Power]] &lt;= 0),
    MIN(($H48 / 1000) * AB$10 * $BA$4, AB$11 * 0.876) * 0.25,
    IF(
        AND($H48 &gt; $BA$7, Tabella01MarzoInverter[[#This Row],[Active power TX2-INV-1]] &lt;= 0),
        Tabella01MarzoInverter[[#This Row],[TX2 - Average Power]] * 0.25,
        0
    )
    +
    IF(
        $N48 &lt; 0.875,
        MAX(0, MIN(($H48 / 1000) * AB$10 * $BA$4, AB$11 * 0.876) - (AB$11 * $N48)) * 0.25,
        0
    )
)</f>
        <v/>
      </c>
      <c r="AC48" s="117">
        <f>IF(
    AND($H48 &gt; $BA$7, Tabella01MarzoInverter[[#This Row],[Active power TX2-INV-2]] &lt;= 0, Tabella01MarzoInverter[[#This Row],[TX2 - Max Power]] &lt;= 0),
    MIN(($H48 / 1000) * AC$10 * $BA$4, AC$11 * 0.876) * 0.25,
    IF(
        AND($H48 &gt; $BA$7, Tabella01MarzoInverter[[#This Row],[Active power TX2-INV-2]] &lt;= 0),
        Tabella01MarzoInverter[[#This Row],[TX2 - Max Power]] * 0.25,
        0
    )
    +
    IF(
        $N48 &lt; 0.875,
        MAX(0, MIN(($H48 / 1000) * AC$10 * $BA$4, AC$11 * 0.876) - (AC$11 * $N48)) * 0.25,
        0
    )
)</f>
        <v/>
      </c>
      <c r="AD48" s="117">
        <f>IF(
    AND($H48 &gt; $BA$7, Tabella01MarzoInverter[[#This Row],[Active power TX2-INV-3]] &lt;= 0, Tabella01MarzoInverter[[#This Row],[TX2 - Min Power]] &lt;= 0),
    MIN(($H48 / 1000) * AD$10 * $BA$4, AD$11 * 0.876) * 0.25,
    IF(
        AND($H48 &gt; $BA$7, Tabella01MarzoInverter[[#This Row],[Active power TX2-INV-3]] &lt;= 0),
        Tabella01MarzoInverter[[#This Row],[TX2 - Min Power]] * 0.25,
        0
    )
    +
    IF(
        $N48 &lt; 0.875,
        MAX(0, MIN(($H48 / 1000) * AD$10 * $BA$4, AD$11 * 0.876) - (AD$11 * $N48)) * 0.25,
        0
    )
)</f>
        <v/>
      </c>
      <c r="AE48" s="117">
        <f>IF(
    AND($H48 &gt; $BA$7, Tabella01MarzoInverter[[#This Row],[Active power TX2-INV-4]] &lt;= 0, Tabella01MarzoInverter[[#This Row],[Active power TX3-INV-1]] &lt;= 0),
    MIN(($H48 / 1000) * AE$10 * $BA$4, AE$11 * 0.876) * 0.25,
    IF(
        AND($H48 &gt; $BA$7, Tabella01MarzoInverter[[#This Row],[Active power TX2-INV-4]] &lt;= 0),
        Tabella01MarzoInverter[[#This Row],[Active power TX3-INV-1]] * 0.25,
        0
    )
    +
    IF(
        $N48 &lt; 0.875,
        MAX(0, MIN(($H48 / 1000) * AE$10 * $BA$4, AE$11 * 0.876) - (AE$11 * $N48)) * 0.25,
        0
    )
)</f>
        <v/>
      </c>
      <c r="AF48" s="117">
        <f>IF(
    AND($H48 &gt; $BA$7, Tabella01MarzoInverter[[#This Row],[Active power TX2-INV-5]] &lt;= 0, Tabella01MarzoInverter[[#This Row],[Active power TX3-INV-2]] &lt;= 0),
    MIN(($H48 / 1000) * AF$10 * $BA$4, AF$11 * 0.876) * 0.25,
    IF(
        AND($H48 &gt; $BA$7, Tabella01MarzoInverter[[#This Row],[Active power TX2-INV-5]] &lt;= 0),
        Tabella01MarzoInverter[[#This Row],[Active power TX3-INV-2]] * 0.25,
        0
    )
    +
    IF(
        $N48 &lt; 0.875,
        MAX(0, MIN(($H48 / 1000) * AF$10 * $BA$4, AF$11 * 0.876) - (AF$11 * $N48)) * 0.25,
        0
    )
)</f>
        <v/>
      </c>
      <c r="AG48" s="117">
        <f>IF(
    AND($H48 &gt; $BA$7, Tabella01MarzoInverter[[#This Row],[Active power TX2-INV-6]] &lt;= 0, Tabella01MarzoInverter[[#This Row],[Active power TX3-INV-3]] &lt;= 0),
    MIN(($H48 / 1000) * AG$10 * $BA$4, AG$11 * 0.876) * 0.25,
    IF(
        AND($H48 &gt; $BA$7, Tabella01MarzoInverter[[#This Row],[Active power TX2-INV-6]] &lt;= 0),
        Tabella01MarzoInverter[[#This Row],[Active power TX3-INV-3]] * 0.25,
        0
    )
    +
    IF(
        $N48 &lt; 0.875,
        MAX(0, MIN(($H48 / 1000) * AG$10 * $BA$4, AG$11 * 0.876) - (AG$11 * $N48)) * 0.25,
        0
    )
)</f>
        <v/>
      </c>
      <c r="AH48" s="117">
        <f>IF(
    AND($H48 &gt; $BA$7, Tabella01MarzoInverter[[#This Row],[Active power TX2-INV-7]] &lt;= 0, Tabella01MarzoInverter[[#This Row],[Active power TX3-INV-4]] &lt;= 0),
    MIN(($H48 / 1000) * AH$10 * $BA$4, AH$11 * 0.876) * 0.25,
    IF(
        AND($H48 &gt; $BA$7, Tabella01MarzoInverter[[#This Row],[Active power TX2-INV-7]] &lt;= 0),
        Tabella01MarzoInverter[[#This Row],[Active power TX3-INV-4]] * 0.25,
        0
    )
    +
    IF(
        $N48 &lt; 0.875,
        MAX(0, MIN(($H48 / 1000) * AH$10 * $BA$4, AH$11 * 0.876) - (AH$11 * $N48)) * 0.25,
        0
    )
)</f>
        <v/>
      </c>
      <c r="AI48" s="117">
        <f>IF(
    AND($H48 &gt; $BA$7, Tabella01MarzoInverter[[#This Row],[Active power TX2-INV-8]] &lt;= 0, Tabella01MarzoInverter[[#This Row],[Active power TX3-INV-5]] &lt;= 0),
    MIN(($H48 / 1000) * AI$10 * $BA$4, AI$11 * 0.876) * 0.25,
    IF(
        AND($H48 &gt; $BA$7, Tabella01MarzoInverter[[#This Row],[Active power TX2-INV-8]] &lt;= 0),
        Tabella01MarzoInverter[[#This Row],[Active power TX3-INV-5]] * 0.25,
        0
    )
    +
    IF(
        $N48 &lt; 0.875,
        MAX(0, MIN(($H48 / 1000) * AI$10 * $BA$4, AI$11 * 0.876) - (AI$11 * $N48)) * 0.25,
        0
    )
)</f>
        <v/>
      </c>
      <c r="AJ48" s="117">
        <f>IF(
    AND($H48 &gt; $BA$7, Tabella01MarzoInverter[[#This Row],[Active power TX2-INV-9]] &lt;= 0, Tabella01MarzoInverter[[#This Row],[Active power TX3-INV-6]] &lt;= 0),
    MIN(($H48 / 1000) * AJ$10 * $BA$4, AJ$11 * 0.876) * 0.25,
    IF(
        AND($H48 &gt; $BA$7, Tabella01MarzoInverter[[#This Row],[Active power TX2-INV-9]] &lt;= 0),
        Tabella01MarzoInverter[[#This Row],[Active power TX3-INV-6]] * 0.25,
        0
    )
    +
    IF(
        $N48 &lt; 0.875,
        MAX(0, MIN(($H48 / 1000) * AJ$10 * $BA$4, AJ$11 * 0.876) - (AJ$11 * $N48)) * 0.25,
        0
    )
)</f>
        <v/>
      </c>
      <c r="AK48" s="117">
        <f>IF(
    AND($H48 &gt; $BA$7, Tabella01MarzoInverter[[#This Row],[Active power TX2-INV-10]] &lt;= 0, Tabella01MarzoInverter[[#This Row],[Active power TX3-INV-7]] &lt;= 0),
    MIN(($H48 / 1000) * AK$10 * $BA$4, AK$11 * 0.876) * 0.25,
    IF(
        AND($H48 &gt; $BA$7, Tabella01MarzoInverter[[#This Row],[Active power TX2-INV-10]] &lt;= 0),
        Tabella01MarzoInverter[[#This Row],[Active power TX3-INV-7]] * 0.25,
        0
    )
    +
    IF(
        $N48 &lt; 0.875,
        MAX(0, MIN(($H48 / 1000) * AK$10 * $BA$4, AK$11 * 0.876) - (AK$11 * $N48)) * 0.25,
        0
    )
)</f>
        <v/>
      </c>
      <c r="AL48" s="117">
        <f>IF(
    AND($H48 &gt; $BA$7, Tabella01MarzoInverter[[#This Row],[Active power TX2-INV-11]] &lt;= 0, Tabella01MarzoInverter[[#This Row],[Active power TX3-INV-8]] &lt;= 0),
    MIN(($H48 / 1000) * AL$10 * $BA$4, AL$11 * 0.876) * 0.25,
    IF(
        AND($H48 &gt; $BA$7, Tabella01MarzoInverter[[#This Row],[Active power TX2-INV-11]] &lt;= 0),
        Tabella01MarzoInverter[[#This Row],[Active power TX3-INV-8]] * 0.25,
        0
    )
    +
    IF(
        $N48 &lt; 0.875,
        MAX(0, MIN(($H48 / 1000) * AL$10 * $BA$4, AL$11 * 0.876) - (AL$11 * $N48)) * 0.25,
        0
    )
)</f>
        <v/>
      </c>
      <c r="AM48" s="117">
        <f>IF(
    AND($H48 &gt; $BA$7, Tabella01MarzoInverter[[#This Row],[Active power TX2-INV-12]] &lt;= 0, Tabella01MarzoInverter[[#This Row],[Active power TX3-INV-9]] &lt;= 0),
    MIN(($H48 / 1000) * AM$10 * $BA$4, AM$11 * 0.876) * 0.25,
    IF(
        AND($H48 &gt; $BA$7, Tabella01MarzoInverter[[#This Row],[Active power TX2-INV-12]] &lt;= 0),
        Tabella01MarzoInverter[[#This Row],[Active power TX3-INV-9]] * 0.25,
        0
    )
    +
    IF(
        $N48 &lt; 0.875,
        MAX(0, MIN(($H48 / 1000) * AM$10 * $BA$4, AM$11 * 0.876) - (AM$11 * $N48)) * 0.25,
        0
    )
)</f>
        <v/>
      </c>
      <c r="AN48" s="118">
        <f>SUM(TabellaMar2026[[#This Row],[Colonna39]:[Colonna6]])</f>
        <v/>
      </c>
      <c r="AO48" s="117">
        <f t="array" ref="AO48">IF(
    AND($H48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($H48 / 1000) * AO$10 * $BA$4 * 0.25
    ),
    0
)
+
IF(
    $N48 &lt; 0.875,
    MAX(0, MIN(($H48 / 1000) * AO$10 * $BA$4, AO$11 * 0.876) - (AO$11 * $N48)) * 0.25,
    0
)</f>
        <v/>
      </c>
      <c r="AP48" s="117">
        <f t="array" ref="AP48">IF(
    AND($H48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($H48 / 1000) * AP$10 * $BA$4 * 0.25
    ),
    0
)
+
IF(
    $N48 &lt; 0.875,
    MAX(0, MIN(($H48 / 1000) * AP$10 * $BA$4, AP$11 * 0.876) - (AP$11 * $N48)) * 0.25,
    0
)</f>
        <v/>
      </c>
      <c r="AQ48" s="117">
        <f t="array" ref="AQ48">IF(
    AND($H48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($H48 / 1000) * AQ$10 * $BA$4 * 0.25
    ),
    0
)
+
IF(
    $N48 &lt; 0.875,
    MAX(0, MIN(($H48 / 1000) * AQ$10 * $BA$4, AQ$11 * 0.876) - (AQ$11 * $N48)) * 0.25,
    0
)</f>
        <v/>
      </c>
      <c r="AR48" s="117">
        <f t="array" ref="AR48">IF(
    AND($H48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($H48 / 1000) * AR$10 * $BA$4 * 0.25
    ),
    0
)
+
IF(
    $N48 &lt; 0.875,
    MAX(0, MIN(($H48 / 1000) * AR$10 * $BA$4, AR$11 * 0.876) - (AR$11 * $N48)) * 0.25,
    0
)</f>
        <v/>
      </c>
      <c r="AS48" s="117">
        <f t="array" ref="AS48">IF(
    AND($H48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($H48 / 1000) * AS$10 * $BA$4 * 0.25
    ),
    0
)
+
IF(
    $N48 &lt; 0.875,
    MAX(0, MIN(($H48 / 1000) * AS$10 * $BA$4, AS$11 * 0.876) - (AS$11 * $N48)) * 0.25,
    0
)</f>
        <v/>
      </c>
      <c r="AT48" s="117">
        <f t="array" ref="AT48">IF(
    AND($H48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($H48 / 1000) * AT$10 * $BA$4 * 0.25
    ),
    0
)
+
IF(
    $N48 &lt; 0.875,
    MAX(0, MIN(($H48 / 1000) * AT$10 * $BA$4, AT$11 * 0.876) - (AT$11 * $N48)) * 0.25,
    0
)</f>
        <v/>
      </c>
      <c r="AU48" s="117">
        <f t="array" ref="AU48">IF(
    AND($H48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($H48 / 1000) * AU$10 * $BA$4 * 0.25
    ),
    0
)
+
IF(
    $N48 &lt; 0.875,
    MAX(0, MIN(($H48 / 1000) * AU$10 * $BA$4, AU$11 * 0.876) - (AU$11 * $N48)) * 0.25,
    0
)</f>
        <v/>
      </c>
      <c r="AV48" s="117">
        <f t="array" ref="AV48">IF(
    AND($H48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($H48 / 1000) * AV$10 * $BA$4 * 0.25
    ),
    0
)
+
IF(
    $N48 &lt; 0.875,
    MAX(0, MIN(($H48 / 1000) * AV$10 * $BA$4, AV$11 * 0.876) - (AV$11 * $N48)) * 0.25,
    0
)</f>
        <v/>
      </c>
      <c r="AW48" s="117">
        <f t="array" ref="AW48">IF(
    AND($H48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($H48 / 1000) * AW$10 * $BA$4 * 0.25
    ),
    0
)
+
IF(
    $N48 &lt; 0.875,
    MAX(0, MIN(($H48 / 1000) * AW$10 * $BA$4, AW$11 * 0.876) - (AW$11 * $N48)) * 0.25,
    0
)</f>
        <v/>
      </c>
      <c r="AX48" s="117">
        <f t="array" ref="AX48">IF(
    AND($H48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($H48 / 1000) * AX$10 * $BA$4 * 0.25
    ),
    0
)
+
IF(
    $N48 &lt; 0.875,
    MAX(0, MIN(($H48 / 1000) * AX$10 * $BA$4, AX$11 * 0.876) - (AX$11 * $N48)) * 0.25,
    0
)</f>
        <v/>
      </c>
      <c r="AY48" s="117">
        <f t="array" ref="AY48">IF(
    AND($H48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($H48 / 1000) * AY$10 * $BA$4 * 0.25
    ),
    0
)
+
IF(
    $N48 &lt; 0.875,
    MAX(0, MIN(($H48 / 1000) * AY$10 * $BA$4, AY$11 * 0.876) - (AY$11 * $N48)) * 0.25,
    0
)</f>
        <v/>
      </c>
      <c r="AZ48" s="117">
        <f t="array" ref="AZ48">IF(
    AND($H48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($H48 / 1000) * AZ$10 * $BA$4 * 0.25
    ),
    0
)
+
IF(
    $N48 &lt; 0.875,
    MAX(0, MIN(($H48 / 1000) * AZ$10 * $BA$4, AZ$11 * 0.876) - (AZ$11 * $N48)) * 0.25,
    0
)</f>
        <v/>
      </c>
      <c r="BA48" s="119">
        <f>SUM(TabellaMar2026[[#This Row],[Colonna54]:[Colonna53]])</f>
        <v/>
      </c>
    </row>
    <row r="49">
      <c r="A49" s="112" t="n">
        <v>46143</v>
      </c>
      <c r="B49" t="inlineStr">
        <is>
          <t>08:30:00.000</t>
        </is>
      </c>
      <c r="C49" s="2" t="n">
        <v>535.5</v>
      </c>
      <c r="D49" s="113" t="n">
        <v>0.133875</v>
      </c>
      <c r="E49" s="113" t="n">
        <v>560.8</v>
      </c>
      <c r="F49" s="113" t="n">
        <v>0.1402</v>
      </c>
      <c r="G49" s="113">
        <f>IFERROR((D49+F49)/2, 0)</f>
        <v/>
      </c>
      <c r="H49" s="114">
        <f>IFERROR(IF(AVERAGE(C49,E49)&gt;$BA$7,AVERAGE(C49,E49),0), 0)</f>
        <v/>
      </c>
      <c r="I49" s="114">
        <f>IFERROR(IF(AND(D49=0,F49=0),0,IF(H49&gt;$BA$6,MAX(D49,F49),G49)), 0)</f>
        <v/>
      </c>
      <c r="J49" s="113">
        <f>IFERROR(IF(AND(D49&gt;0,F49&gt;0),ABS(D49-F49)/AVERAGE(D49,F49),0), 0)</f>
        <v/>
      </c>
      <c r="K49" s="113" t="n">
        <v>30102.1</v>
      </c>
      <c r="L49" s="113" t="n">
        <v>30103.3</v>
      </c>
      <c r="M49" s="115">
        <f>IFERROR((L49-K49)*1000, 0)</f>
        <v/>
      </c>
      <c r="N49" s="113" t="n">
        <v>0.8759999999999999</v>
      </c>
      <c r="O49" s="115">
        <f t="array" ref="O49">IF(
    AND($H49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($H49 / 1000) * O$10 * $BA$4 * 0.25
    ),
    0
)
+
IF(
    $N49 &lt; 0.875,
    MAX(0, MIN(($H49 / 1000) * O$10 * $BA$4, O$11 * 0.876) - (O$11 * $N49)) * 0.25,
    0
)</f>
        <v/>
      </c>
      <c r="P49" s="115">
        <f t="array" ref="P49">IF(
    AND($H49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($H49 / 1000) * P$10 * $BA$4 * 0.25
    ),
    0
)
+
IF(
    $N49 &lt; 0.875,
    MAX(0, MIN(($H49 / 1000) * P$10 * $BA$4, P$11 * 0.876) - (P$11 * $N49)) * 0.25,
    0
)</f>
        <v/>
      </c>
      <c r="Q49" s="115">
        <f t="array" ref="Q49">IF(
    AND($H49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($H49 / 1000) * Q$10 * $BA$4 * 0.25
    ),
    0
)
+
IF(
    $N49 &lt; 0.875,
    MAX(0, MIN(($H49 / 1000) * Q$10 * $BA$4, Q$11 * 0.876) - (Q$11 * $N49)) * 0.25,
    0
)</f>
        <v/>
      </c>
      <c r="R49" s="115">
        <f t="array" ref="R49">IF(
    AND($H49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($H49 / 1000) * R$10 * $BA$4 * 0.25
    ),
    0
)
+
IF(
    $N49 &lt; 0.875,
    MAX(0, MIN(($H49 / 1000) * R$10 * $BA$4, R$11 * 0.876) - (R$11 * $N49)) * 0.25,
    0
)</f>
        <v/>
      </c>
      <c r="S49" s="115">
        <f t="array" ref="S49">IF(
    AND($H49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($H49 / 1000) * S$10 * $BA$4 * 0.25
    ),
    0
)
+
IF(
    $N49 &lt; 0.875,
    MAX(0, MIN(($H49 / 1000) * S$10 * $BA$4, S$11 * 0.876) - (S$11 * $N49)) * 0.25,
    0
)</f>
        <v/>
      </c>
      <c r="T49" s="115">
        <f t="array" ref="T49">IF(
    AND($H49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($H49 / 1000) * T$10 * $BA$4 * 0.25
    ),
    0
)
+
IF(
    $N49 &lt; 0.875,
    MAX(0, MIN(($H49 / 1000) * T$10 * $BA$4, T$11 * 0.876) - (T$11 * $N49)) * 0.25,
    0
)</f>
        <v/>
      </c>
      <c r="U49" s="115">
        <f t="array" ref="U49">IF(
    AND($H49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($H49 / 1000) * U$10 * $BA$4 * 0.25
    ),
    0
)
+
IF(
    $N49 &lt; 0.875,
    MAX(0, MIN(($H49 / 1000) * U$10 * $BA$4, U$11 * 0.876) - (U$11 * $N49)) * 0.25,
    0
)</f>
        <v/>
      </c>
      <c r="V49" s="115">
        <f t="array" ref="V49">IF(
    AND($H49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($H49 / 1000) * V$10 * $BA$4 * 0.25
    ),
    0
)
+
IF(
    $N49 &lt; 0.875,
    MAX(0, MIN(($H49 / 1000) * V$10 * $BA$4, V$11 * 0.876) - (V$11 * $N49)) * 0.25,
    0
)</f>
        <v/>
      </c>
      <c r="W49" s="115">
        <f t="array" ref="W49">IF(
    AND($H49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($H49 / 1000) * W$10 * $BA$4 * 0.25
    ),
    0
)
+
IF(
    $N49 &lt; 0.875,
    MAX(0, MIN(($H49 / 1000) * W$10 * $BA$4, W$11 * 0.876) - (W$11 * $N49)) * 0.25,
    0
)</f>
        <v/>
      </c>
      <c r="X49" s="115">
        <f t="array" ref="X49">IF(
    AND($H49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($H49 / 1000) * X$10 * $BA$4 * 0.25
    ),
    0
)
+
IF(
    $N49 &lt; 0.875,
    MAX(0, MIN(($H49 / 1000) * X$10 * $BA$4, X$11 * 0.876) - (X$11 * $N49)) * 0.25,
    0
)</f>
        <v/>
      </c>
      <c r="Y49" s="115">
        <f t="array" ref="Y49">IF(
    AND($H49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($H49 / 1000) * Y$10 * $BA$4 * 0.25
    ),
    0
)
+
IF(
    $N49 &lt; 0.875,
    MAX(0, MIN(($H49 / 1000) * Y$10 * $BA$4, Y$11 * 0.876) - (Y$11 * $N49)) * 0.25,
    0
)</f>
        <v/>
      </c>
      <c r="Z49" s="115">
        <f t="array" ref="Z49">IF(
    AND($H49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($H49 / 1000) * Z$10 * $BA$4 * 0.25
    ),
    0
)
+
IF(
    $N49 &lt; 0.875,
    MAX(0, MIN(($H49 / 1000) * Z$10 * $BA$4, Z$11 * 0.876) - (Z$11 * $N49)) * 0.25,
    0
)</f>
        <v/>
      </c>
      <c r="AA49" s="116">
        <f>SUM(TabellaMar2026[[#This Row],[Colonna24]:[Colonna20]])</f>
        <v/>
      </c>
      <c r="AB49" s="117">
        <f>IF(
    AND($H49 &gt; $BA$7, Tabella01MarzoInverter[[#This Row],[Active power TX2-INV-1]] &lt;= 0, Tabella01MarzoInverter[[#This Row],[TX2 - Average Power]] &lt;= 0),
    MIN(($H49 / 1000) * AB$10 * $BA$4, AB$11 * 0.876) * 0.25,
    IF(
        AND($H49 &gt; $BA$7, Tabella01MarzoInverter[[#This Row],[Active power TX2-INV-1]] &lt;= 0),
        Tabella01MarzoInverter[[#This Row],[TX2 - Average Power]] * 0.25,
        0
    )
    +
    IF(
        $N49 &lt; 0.875,
        MAX(0, MIN(($H49 / 1000) * AB$10 * $BA$4, AB$11 * 0.876) - (AB$11 * $N49)) * 0.25,
        0
    )
)</f>
        <v/>
      </c>
      <c r="AC49" s="117">
        <f>IF(
    AND($H49 &gt; $BA$7, Tabella01MarzoInverter[[#This Row],[Active power TX2-INV-2]] &lt;= 0, Tabella01MarzoInverter[[#This Row],[TX2 - Max Power]] &lt;= 0),
    MIN(($H49 / 1000) * AC$10 * $BA$4, AC$11 * 0.876) * 0.25,
    IF(
        AND($H49 &gt; $BA$7, Tabella01MarzoInverter[[#This Row],[Active power TX2-INV-2]] &lt;= 0),
        Tabella01MarzoInverter[[#This Row],[TX2 - Max Power]] * 0.25,
        0
    )
    +
    IF(
        $N49 &lt; 0.875,
        MAX(0, MIN(($H49 / 1000) * AC$10 * $BA$4, AC$11 * 0.876) - (AC$11 * $N49)) * 0.25,
        0
    )
)</f>
        <v/>
      </c>
      <c r="AD49" s="117">
        <f>IF(
    AND($H49 &gt; $BA$7, Tabella01MarzoInverter[[#This Row],[Active power TX2-INV-3]] &lt;= 0, Tabella01MarzoInverter[[#This Row],[TX2 - Min Power]] &lt;= 0),
    MIN(($H49 / 1000) * AD$10 * $BA$4, AD$11 * 0.876) * 0.25,
    IF(
        AND($H49 &gt; $BA$7, Tabella01MarzoInverter[[#This Row],[Active power TX2-INV-3]] &lt;= 0),
        Tabella01MarzoInverter[[#This Row],[TX2 - Min Power]] * 0.25,
        0
    )
    +
    IF(
        $N49 &lt; 0.875,
        MAX(0, MIN(($H49 / 1000) * AD$10 * $BA$4, AD$11 * 0.876) - (AD$11 * $N49)) * 0.25,
        0
    )
)</f>
        <v/>
      </c>
      <c r="AE49" s="117">
        <f>IF(
    AND($H49 &gt; $BA$7, Tabella01MarzoInverter[[#This Row],[Active power TX2-INV-4]] &lt;= 0, Tabella01MarzoInverter[[#This Row],[Active power TX3-INV-1]] &lt;= 0),
    MIN(($H49 / 1000) * AE$10 * $BA$4, AE$11 * 0.876) * 0.25,
    IF(
        AND($H49 &gt; $BA$7, Tabella01MarzoInverter[[#This Row],[Active power TX2-INV-4]] &lt;= 0),
        Tabella01MarzoInverter[[#This Row],[Active power TX3-INV-1]] * 0.25,
        0
    )
    +
    IF(
        $N49 &lt; 0.875,
        MAX(0, MIN(($H49 / 1000) * AE$10 * $BA$4, AE$11 * 0.876) - (AE$11 * $N49)) * 0.25,
        0
    )
)</f>
        <v/>
      </c>
      <c r="AF49" s="117">
        <f>IF(
    AND($H49 &gt; $BA$7, Tabella01MarzoInverter[[#This Row],[Active power TX2-INV-5]] &lt;= 0, Tabella01MarzoInverter[[#This Row],[Active power TX3-INV-2]] &lt;= 0),
    MIN(($H49 / 1000) * AF$10 * $BA$4, AF$11 * 0.876) * 0.25,
    IF(
        AND($H49 &gt; $BA$7, Tabella01MarzoInverter[[#This Row],[Active power TX2-INV-5]] &lt;= 0),
        Tabella01MarzoInverter[[#This Row],[Active power TX3-INV-2]] * 0.25,
        0
    )
    +
    IF(
        $N49 &lt; 0.875,
        MAX(0, MIN(($H49 / 1000) * AF$10 * $BA$4, AF$11 * 0.876) - (AF$11 * $N49)) * 0.25,
        0
    )
)</f>
        <v/>
      </c>
      <c r="AG49" s="117">
        <f>IF(
    AND($H49 &gt; $BA$7, Tabella01MarzoInverter[[#This Row],[Active power TX2-INV-6]] &lt;= 0, Tabella01MarzoInverter[[#This Row],[Active power TX3-INV-3]] &lt;= 0),
    MIN(($H49 / 1000) * AG$10 * $BA$4, AG$11 * 0.876) * 0.25,
    IF(
        AND($H49 &gt; $BA$7, Tabella01MarzoInverter[[#This Row],[Active power TX2-INV-6]] &lt;= 0),
        Tabella01MarzoInverter[[#This Row],[Active power TX3-INV-3]] * 0.25,
        0
    )
    +
    IF(
        $N49 &lt; 0.875,
        MAX(0, MIN(($H49 / 1000) * AG$10 * $BA$4, AG$11 * 0.876) - (AG$11 * $N49)) * 0.25,
        0
    )
)</f>
        <v/>
      </c>
      <c r="AH49" s="117">
        <f>IF(
    AND($H49 &gt; $BA$7, Tabella01MarzoInverter[[#This Row],[Active power TX2-INV-7]] &lt;= 0, Tabella01MarzoInverter[[#This Row],[Active power TX3-INV-4]] &lt;= 0),
    MIN(($H49 / 1000) * AH$10 * $BA$4, AH$11 * 0.876) * 0.25,
    IF(
        AND($H49 &gt; $BA$7, Tabella01MarzoInverter[[#This Row],[Active power TX2-INV-7]] &lt;= 0),
        Tabella01MarzoInverter[[#This Row],[Active power TX3-INV-4]] * 0.25,
        0
    )
    +
    IF(
        $N49 &lt; 0.875,
        MAX(0, MIN(($H49 / 1000) * AH$10 * $BA$4, AH$11 * 0.876) - (AH$11 * $N49)) * 0.25,
        0
    )
)</f>
        <v/>
      </c>
      <c r="AI49" s="117">
        <f>IF(
    AND($H49 &gt; $BA$7, Tabella01MarzoInverter[[#This Row],[Active power TX2-INV-8]] &lt;= 0, Tabella01MarzoInverter[[#This Row],[Active power TX3-INV-5]] &lt;= 0),
    MIN(($H49 / 1000) * AI$10 * $BA$4, AI$11 * 0.876) * 0.25,
    IF(
        AND($H49 &gt; $BA$7, Tabella01MarzoInverter[[#This Row],[Active power TX2-INV-8]] &lt;= 0),
        Tabella01MarzoInverter[[#This Row],[Active power TX3-INV-5]] * 0.25,
        0
    )
    +
    IF(
        $N49 &lt; 0.875,
        MAX(0, MIN(($H49 / 1000) * AI$10 * $BA$4, AI$11 * 0.876) - (AI$11 * $N49)) * 0.25,
        0
    )
)</f>
        <v/>
      </c>
      <c r="AJ49" s="117">
        <f>IF(
    AND($H49 &gt; $BA$7, Tabella01MarzoInverter[[#This Row],[Active power TX2-INV-9]] &lt;= 0, Tabella01MarzoInverter[[#This Row],[Active power TX3-INV-6]] &lt;= 0),
    MIN(($H49 / 1000) * AJ$10 * $BA$4, AJ$11 * 0.876) * 0.25,
    IF(
        AND($H49 &gt; $BA$7, Tabella01MarzoInverter[[#This Row],[Active power TX2-INV-9]] &lt;= 0),
        Tabella01MarzoInverter[[#This Row],[Active power TX3-INV-6]] * 0.25,
        0
    )
    +
    IF(
        $N49 &lt; 0.875,
        MAX(0, MIN(($H49 / 1000) * AJ$10 * $BA$4, AJ$11 * 0.876) - (AJ$11 * $N49)) * 0.25,
        0
    )
)</f>
        <v/>
      </c>
      <c r="AK49" s="117">
        <f>IF(
    AND($H49 &gt; $BA$7, Tabella01MarzoInverter[[#This Row],[Active power TX2-INV-10]] &lt;= 0, Tabella01MarzoInverter[[#This Row],[Active power TX3-INV-7]] &lt;= 0),
    MIN(($H49 / 1000) * AK$10 * $BA$4, AK$11 * 0.876) * 0.25,
    IF(
        AND($H49 &gt; $BA$7, Tabella01MarzoInverter[[#This Row],[Active power TX2-INV-10]] &lt;= 0),
        Tabella01MarzoInverter[[#This Row],[Active power TX3-INV-7]] * 0.25,
        0
    )
    +
    IF(
        $N49 &lt; 0.875,
        MAX(0, MIN(($H49 / 1000) * AK$10 * $BA$4, AK$11 * 0.876) - (AK$11 * $N49)) * 0.25,
        0
    )
)</f>
        <v/>
      </c>
      <c r="AL49" s="117">
        <f>IF(
    AND($H49 &gt; $BA$7, Tabella01MarzoInverter[[#This Row],[Active power TX2-INV-11]] &lt;= 0, Tabella01MarzoInverter[[#This Row],[Active power TX3-INV-8]] &lt;= 0),
    MIN(($H49 / 1000) * AL$10 * $BA$4, AL$11 * 0.876) * 0.25,
    IF(
        AND($H49 &gt; $BA$7, Tabella01MarzoInverter[[#This Row],[Active power TX2-INV-11]] &lt;= 0),
        Tabella01MarzoInverter[[#This Row],[Active power TX3-INV-8]] * 0.25,
        0
    )
    +
    IF(
        $N49 &lt; 0.875,
        MAX(0, MIN(($H49 / 1000) * AL$10 * $BA$4, AL$11 * 0.876) - (AL$11 * $N49)) * 0.25,
        0
    )
)</f>
        <v/>
      </c>
      <c r="AM49" s="117">
        <f>IF(
    AND($H49 &gt; $BA$7, Tabella01MarzoInverter[[#This Row],[Active power TX2-INV-12]] &lt;= 0, Tabella01MarzoInverter[[#This Row],[Active power TX3-INV-9]] &lt;= 0),
    MIN(($H49 / 1000) * AM$10 * $BA$4, AM$11 * 0.876) * 0.25,
    IF(
        AND($H49 &gt; $BA$7, Tabella01MarzoInverter[[#This Row],[Active power TX2-INV-12]] &lt;= 0),
        Tabella01MarzoInverter[[#This Row],[Active power TX3-INV-9]] * 0.25,
        0
    )
    +
    IF(
        $N49 &lt; 0.875,
        MAX(0, MIN(($H49 / 1000) * AM$10 * $BA$4, AM$11 * 0.876) - (AM$11 * $N49)) * 0.25,
        0
    )
)</f>
        <v/>
      </c>
      <c r="AN49" s="118">
        <f>SUM(TabellaMar2026[[#This Row],[Colonna39]:[Colonna6]])</f>
        <v/>
      </c>
      <c r="AO49" s="117">
        <f t="array" ref="AO49">IF(
    AND($H49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($H49 / 1000) * AO$10 * $BA$4 * 0.25
    ),
    0
)
+
IF(
    $N49 &lt; 0.875,
    MAX(0, MIN(($H49 / 1000) * AO$10 * $BA$4, AO$11 * 0.876) - (AO$11 * $N49)) * 0.25,
    0
)</f>
        <v/>
      </c>
      <c r="AP49" s="117">
        <f t="array" ref="AP49">IF(
    AND($H49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($H49 / 1000) * AP$10 * $BA$4 * 0.25
    ),
    0
)
+
IF(
    $N49 &lt; 0.875,
    MAX(0, MIN(($H49 / 1000) * AP$10 * $BA$4, AP$11 * 0.876) - (AP$11 * $N49)) * 0.25,
    0
)</f>
        <v/>
      </c>
      <c r="AQ49" s="117">
        <f t="array" ref="AQ49">IF(
    AND($H49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($H49 / 1000) * AQ$10 * $BA$4 * 0.25
    ),
    0
)
+
IF(
    $N49 &lt; 0.875,
    MAX(0, MIN(($H49 / 1000) * AQ$10 * $BA$4, AQ$11 * 0.876) - (AQ$11 * $N49)) * 0.25,
    0
)</f>
        <v/>
      </c>
      <c r="AR49" s="117">
        <f t="array" ref="AR49">IF(
    AND($H49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($H49 / 1000) * AR$10 * $BA$4 * 0.25
    ),
    0
)
+
IF(
    $N49 &lt; 0.875,
    MAX(0, MIN(($H49 / 1000) * AR$10 * $BA$4, AR$11 * 0.876) - (AR$11 * $N49)) * 0.25,
    0
)</f>
        <v/>
      </c>
      <c r="AS49" s="117">
        <f t="array" ref="AS49">IF(
    AND($H49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($H49 / 1000) * AS$10 * $BA$4 * 0.25
    ),
    0
)
+
IF(
    $N49 &lt; 0.875,
    MAX(0, MIN(($H49 / 1000) * AS$10 * $BA$4, AS$11 * 0.876) - (AS$11 * $N49)) * 0.25,
    0
)</f>
        <v/>
      </c>
      <c r="AT49" s="117">
        <f t="array" ref="AT49">IF(
    AND($H49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($H49 / 1000) * AT$10 * $BA$4 * 0.25
    ),
    0
)
+
IF(
    $N49 &lt; 0.875,
    MAX(0, MIN(($H49 / 1000) * AT$10 * $BA$4, AT$11 * 0.876) - (AT$11 * $N49)) * 0.25,
    0
)</f>
        <v/>
      </c>
      <c r="AU49" s="117">
        <f t="array" ref="AU49">IF(
    AND($H49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($H49 / 1000) * AU$10 * $BA$4 * 0.25
    ),
    0
)
+
IF(
    $N49 &lt; 0.875,
    MAX(0, MIN(($H49 / 1000) * AU$10 * $BA$4, AU$11 * 0.876) - (AU$11 * $N49)) * 0.25,
    0
)</f>
        <v/>
      </c>
      <c r="AV49" s="117">
        <f t="array" ref="AV49">IF(
    AND($H49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($H49 / 1000) * AV$10 * $BA$4 * 0.25
    ),
    0
)
+
IF(
    $N49 &lt; 0.875,
    MAX(0, MIN(($H49 / 1000) * AV$10 * $BA$4, AV$11 * 0.876) - (AV$11 * $N49)) * 0.25,
    0
)</f>
        <v/>
      </c>
      <c r="AW49" s="117">
        <f t="array" ref="AW49">IF(
    AND($H49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($H49 / 1000) * AW$10 * $BA$4 * 0.25
    ),
    0
)
+
IF(
    $N49 &lt; 0.875,
    MAX(0, MIN(($H49 / 1000) * AW$10 * $BA$4, AW$11 * 0.876) - (AW$11 * $N49)) * 0.25,
    0
)</f>
        <v/>
      </c>
      <c r="AX49" s="117">
        <f t="array" ref="AX49">IF(
    AND($H49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($H49 / 1000) * AX$10 * $BA$4 * 0.25
    ),
    0
)
+
IF(
    $N49 &lt; 0.875,
    MAX(0, MIN(($H49 / 1000) * AX$10 * $BA$4, AX$11 * 0.876) - (AX$11 * $N49)) * 0.25,
    0
)</f>
        <v/>
      </c>
      <c r="AY49" s="117">
        <f t="array" ref="AY49">IF(
    AND($H49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($H49 / 1000) * AY$10 * $BA$4 * 0.25
    ),
    0
)
+
IF(
    $N49 &lt; 0.875,
    MAX(0, MIN(($H49 / 1000) * AY$10 * $BA$4, AY$11 * 0.876) - (AY$11 * $N49)) * 0.25,
    0
)</f>
        <v/>
      </c>
      <c r="AZ49" s="117">
        <f t="array" ref="AZ49">IF(
    AND($H49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($H49 / 1000) * AZ$10 * $BA$4 * 0.25
    ),
    0
)
+
IF(
    $N49 &lt; 0.875,
    MAX(0, MIN(($H49 / 1000) * AZ$10 * $BA$4, AZ$11 * 0.876) - (AZ$11 * $N49)) * 0.25,
    0
)</f>
        <v/>
      </c>
      <c r="BA49" s="119">
        <f>SUM(TabellaMar2026[[#This Row],[Colonna54]:[Colonna53]])</f>
        <v/>
      </c>
    </row>
    <row r="50">
      <c r="A50" s="112" t="n">
        <v>46143</v>
      </c>
      <c r="B50" t="inlineStr">
        <is>
          <t>08:45:00.000</t>
        </is>
      </c>
      <c r="C50" s="2" t="n">
        <v>647.9</v>
      </c>
      <c r="D50" s="113" t="n">
        <v>0.161975</v>
      </c>
      <c r="E50" s="113" t="n">
        <v>675.5</v>
      </c>
      <c r="F50" s="113" t="n">
        <v>0.168875</v>
      </c>
      <c r="G50" s="113">
        <f>IFERROR((D50+F50)/2, 0)</f>
        <v/>
      </c>
      <c r="H50" s="114">
        <f>IFERROR(IF(AVERAGE(C50,E50)&gt;$BA$7,AVERAGE(C50,E50),0), 0)</f>
        <v/>
      </c>
      <c r="I50" s="114">
        <f>IFERROR(IF(AND(D50=0,F50=0),0,IF(H50&gt;$BA$6,MAX(D50,F50),G50)), 0)</f>
        <v/>
      </c>
      <c r="J50" s="113">
        <f>IFERROR(IF(AND(D50&gt;0,F50&gt;0),ABS(D50-F50)/AVERAGE(D50,F50),0), 0)</f>
        <v/>
      </c>
      <c r="K50" s="113" t="n">
        <v>30103.3</v>
      </c>
      <c r="L50" s="113" t="n">
        <v>30105.1</v>
      </c>
      <c r="M50" s="115">
        <f>IFERROR((L50-K50)*1000, 0)</f>
        <v/>
      </c>
      <c r="N50" s="113" t="n">
        <v>0.8759999999999999</v>
      </c>
      <c r="O50" s="115">
        <f t="array" ref="O50">IF(
    AND($H50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($H50 / 1000) * O$10 * $BA$4 * 0.25
    ),
    0
)
+
IF(
    $N50 &lt; 0.875,
    MAX(0, MIN(($H50 / 1000) * O$10 * $BA$4, O$11 * 0.876) - (O$11 * $N50)) * 0.25,
    0
)</f>
        <v/>
      </c>
      <c r="P50" s="115">
        <f t="array" ref="P50">IF(
    AND($H50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($H50 / 1000) * P$10 * $BA$4 * 0.25
    ),
    0
)
+
IF(
    $N50 &lt; 0.875,
    MAX(0, MIN(($H50 / 1000) * P$10 * $BA$4, P$11 * 0.876) - (P$11 * $N50)) * 0.25,
    0
)</f>
        <v/>
      </c>
      <c r="Q50" s="115">
        <f t="array" ref="Q50">IF(
    AND($H50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($H50 / 1000) * Q$10 * $BA$4 * 0.25
    ),
    0
)
+
IF(
    $N50 &lt; 0.875,
    MAX(0, MIN(($H50 / 1000) * Q$10 * $BA$4, Q$11 * 0.876) - (Q$11 * $N50)) * 0.25,
    0
)</f>
        <v/>
      </c>
      <c r="R50" s="115">
        <f t="array" ref="R50">IF(
    AND($H50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($H50 / 1000) * R$10 * $BA$4 * 0.25
    ),
    0
)
+
IF(
    $N50 &lt; 0.875,
    MAX(0, MIN(($H50 / 1000) * R$10 * $BA$4, R$11 * 0.876) - (R$11 * $N50)) * 0.25,
    0
)</f>
        <v/>
      </c>
      <c r="S50" s="115">
        <f t="array" ref="S50">IF(
    AND($H50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($H50 / 1000) * S$10 * $BA$4 * 0.25
    ),
    0
)
+
IF(
    $N50 &lt; 0.875,
    MAX(0, MIN(($H50 / 1000) * S$10 * $BA$4, S$11 * 0.876) - (S$11 * $N50)) * 0.25,
    0
)</f>
        <v/>
      </c>
      <c r="T50" s="115">
        <f t="array" ref="T50">IF(
    AND($H50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($H50 / 1000) * T$10 * $BA$4 * 0.25
    ),
    0
)
+
IF(
    $N50 &lt; 0.875,
    MAX(0, MIN(($H50 / 1000) * T$10 * $BA$4, T$11 * 0.876) - (T$11 * $N50)) * 0.25,
    0
)</f>
        <v/>
      </c>
      <c r="U50" s="115">
        <f t="array" ref="U50">IF(
    AND($H50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($H50 / 1000) * U$10 * $BA$4 * 0.25
    ),
    0
)
+
IF(
    $N50 &lt; 0.875,
    MAX(0, MIN(($H50 / 1000) * U$10 * $BA$4, U$11 * 0.876) - (U$11 * $N50)) * 0.25,
    0
)</f>
        <v/>
      </c>
      <c r="V50" s="115">
        <f t="array" ref="V50">IF(
    AND($H50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($H50 / 1000) * V$10 * $BA$4 * 0.25
    ),
    0
)
+
IF(
    $N50 &lt; 0.875,
    MAX(0, MIN(($H50 / 1000) * V$10 * $BA$4, V$11 * 0.876) - (V$11 * $N50)) * 0.25,
    0
)</f>
        <v/>
      </c>
      <c r="W50" s="115">
        <f t="array" ref="W50">IF(
    AND($H50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($H50 / 1000) * W$10 * $BA$4 * 0.25
    ),
    0
)
+
IF(
    $N50 &lt; 0.875,
    MAX(0, MIN(($H50 / 1000) * W$10 * $BA$4, W$11 * 0.876) - (W$11 * $N50)) * 0.25,
    0
)</f>
        <v/>
      </c>
      <c r="X50" s="115">
        <f t="array" ref="X50">IF(
    AND($H50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($H50 / 1000) * X$10 * $BA$4 * 0.25
    ),
    0
)
+
IF(
    $N50 &lt; 0.875,
    MAX(0, MIN(($H50 / 1000) * X$10 * $BA$4, X$11 * 0.876) - (X$11 * $N50)) * 0.25,
    0
)</f>
        <v/>
      </c>
      <c r="Y50" s="115">
        <f t="array" ref="Y50">IF(
    AND($H50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($H50 / 1000) * Y$10 * $BA$4 * 0.25
    ),
    0
)
+
IF(
    $N50 &lt; 0.875,
    MAX(0, MIN(($H50 / 1000) * Y$10 * $BA$4, Y$11 * 0.876) - (Y$11 * $N50)) * 0.25,
    0
)</f>
        <v/>
      </c>
      <c r="Z50" s="115">
        <f t="array" ref="Z50">IF(
    AND($H50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($H50 / 1000) * Z$10 * $BA$4 * 0.25
    ),
    0
)
+
IF(
    $N50 &lt; 0.875,
    MAX(0, MIN(($H50 / 1000) * Z$10 * $BA$4, Z$11 * 0.876) - (Z$11 * $N50)) * 0.25,
    0
)</f>
        <v/>
      </c>
      <c r="AA50" s="116">
        <f>SUM(TabellaMar2026[[#This Row],[Colonna24]:[Colonna20]])</f>
        <v/>
      </c>
      <c r="AB50" s="117">
        <f>IF(
    AND($H50 &gt; $BA$7, Tabella01MarzoInverter[[#This Row],[Active power TX2-INV-1]] &lt;= 0, Tabella01MarzoInverter[[#This Row],[TX2 - Average Power]] &lt;= 0),
    MIN(($H50 / 1000) * AB$10 * $BA$4, AB$11 * 0.876) * 0.25,
    IF(
        AND($H50 &gt; $BA$7, Tabella01MarzoInverter[[#This Row],[Active power TX2-INV-1]] &lt;= 0),
        Tabella01MarzoInverter[[#This Row],[TX2 - Average Power]] * 0.25,
        0
    )
    +
    IF(
        $N50 &lt; 0.875,
        MAX(0, MIN(($H50 / 1000) * AB$10 * $BA$4, AB$11 * 0.876) - (AB$11 * $N50)) * 0.25,
        0
    )
)</f>
        <v/>
      </c>
      <c r="AC50" s="117">
        <f>IF(
    AND($H50 &gt; $BA$7, Tabella01MarzoInverter[[#This Row],[Active power TX2-INV-2]] &lt;= 0, Tabella01MarzoInverter[[#This Row],[TX2 - Max Power]] &lt;= 0),
    MIN(($H50 / 1000) * AC$10 * $BA$4, AC$11 * 0.876) * 0.25,
    IF(
        AND($H50 &gt; $BA$7, Tabella01MarzoInverter[[#This Row],[Active power TX2-INV-2]] &lt;= 0),
        Tabella01MarzoInverter[[#This Row],[TX2 - Max Power]] * 0.25,
        0
    )
    +
    IF(
        $N50 &lt; 0.875,
        MAX(0, MIN(($H50 / 1000) * AC$10 * $BA$4, AC$11 * 0.876) - (AC$11 * $N50)) * 0.25,
        0
    )
)</f>
        <v/>
      </c>
      <c r="AD50" s="117">
        <f>IF(
    AND($H50 &gt; $BA$7, Tabella01MarzoInverter[[#This Row],[Active power TX2-INV-3]] &lt;= 0, Tabella01MarzoInverter[[#This Row],[TX2 - Min Power]] &lt;= 0),
    MIN(($H50 / 1000) * AD$10 * $BA$4, AD$11 * 0.876) * 0.25,
    IF(
        AND($H50 &gt; $BA$7, Tabella01MarzoInverter[[#This Row],[Active power TX2-INV-3]] &lt;= 0),
        Tabella01MarzoInverter[[#This Row],[TX2 - Min Power]] * 0.25,
        0
    )
    +
    IF(
        $N50 &lt; 0.875,
        MAX(0, MIN(($H50 / 1000) * AD$10 * $BA$4, AD$11 * 0.876) - (AD$11 * $N50)) * 0.25,
        0
    )
)</f>
        <v/>
      </c>
      <c r="AE50" s="117">
        <f>IF(
    AND($H50 &gt; $BA$7, Tabella01MarzoInverter[[#This Row],[Active power TX2-INV-4]] &lt;= 0, Tabella01MarzoInverter[[#This Row],[Active power TX3-INV-1]] &lt;= 0),
    MIN(($H50 / 1000) * AE$10 * $BA$4, AE$11 * 0.876) * 0.25,
    IF(
        AND($H50 &gt; $BA$7, Tabella01MarzoInverter[[#This Row],[Active power TX2-INV-4]] &lt;= 0),
        Tabella01MarzoInverter[[#This Row],[Active power TX3-INV-1]] * 0.25,
        0
    )
    +
    IF(
        $N50 &lt; 0.875,
        MAX(0, MIN(($H50 / 1000) * AE$10 * $BA$4, AE$11 * 0.876) - (AE$11 * $N50)) * 0.25,
        0
    )
)</f>
        <v/>
      </c>
      <c r="AF50" s="117">
        <f>IF(
    AND($H50 &gt; $BA$7, Tabella01MarzoInverter[[#This Row],[Active power TX2-INV-5]] &lt;= 0, Tabella01MarzoInverter[[#This Row],[Active power TX3-INV-2]] &lt;= 0),
    MIN(($H50 / 1000) * AF$10 * $BA$4, AF$11 * 0.876) * 0.25,
    IF(
        AND($H50 &gt; $BA$7, Tabella01MarzoInverter[[#This Row],[Active power TX2-INV-5]] &lt;= 0),
        Tabella01MarzoInverter[[#This Row],[Active power TX3-INV-2]] * 0.25,
        0
    )
    +
    IF(
        $N50 &lt; 0.875,
        MAX(0, MIN(($H50 / 1000) * AF$10 * $BA$4, AF$11 * 0.876) - (AF$11 * $N50)) * 0.25,
        0
    )
)</f>
        <v/>
      </c>
      <c r="AG50" s="117">
        <f>IF(
    AND($H50 &gt; $BA$7, Tabella01MarzoInverter[[#This Row],[Active power TX2-INV-6]] &lt;= 0, Tabella01MarzoInverter[[#This Row],[Active power TX3-INV-3]] &lt;= 0),
    MIN(($H50 / 1000) * AG$10 * $BA$4, AG$11 * 0.876) * 0.25,
    IF(
        AND($H50 &gt; $BA$7, Tabella01MarzoInverter[[#This Row],[Active power TX2-INV-6]] &lt;= 0),
        Tabella01MarzoInverter[[#This Row],[Active power TX3-INV-3]] * 0.25,
        0
    )
    +
    IF(
        $N50 &lt; 0.875,
        MAX(0, MIN(($H50 / 1000) * AG$10 * $BA$4, AG$11 * 0.876) - (AG$11 * $N50)) * 0.25,
        0
    )
)</f>
        <v/>
      </c>
      <c r="AH50" s="117">
        <f>IF(
    AND($H50 &gt; $BA$7, Tabella01MarzoInverter[[#This Row],[Active power TX2-INV-7]] &lt;= 0, Tabella01MarzoInverter[[#This Row],[Active power TX3-INV-4]] &lt;= 0),
    MIN(($H50 / 1000) * AH$10 * $BA$4, AH$11 * 0.876) * 0.25,
    IF(
        AND($H50 &gt; $BA$7, Tabella01MarzoInverter[[#This Row],[Active power TX2-INV-7]] &lt;= 0),
        Tabella01MarzoInverter[[#This Row],[Active power TX3-INV-4]] * 0.25,
        0
    )
    +
    IF(
        $N50 &lt; 0.875,
        MAX(0, MIN(($H50 / 1000) * AH$10 * $BA$4, AH$11 * 0.876) - (AH$11 * $N50)) * 0.25,
        0
    )
)</f>
        <v/>
      </c>
      <c r="AI50" s="117">
        <f>IF(
    AND($H50 &gt; $BA$7, Tabella01MarzoInverter[[#This Row],[Active power TX2-INV-8]] &lt;= 0, Tabella01MarzoInverter[[#This Row],[Active power TX3-INV-5]] &lt;= 0),
    MIN(($H50 / 1000) * AI$10 * $BA$4, AI$11 * 0.876) * 0.25,
    IF(
        AND($H50 &gt; $BA$7, Tabella01MarzoInverter[[#This Row],[Active power TX2-INV-8]] &lt;= 0),
        Tabella01MarzoInverter[[#This Row],[Active power TX3-INV-5]] * 0.25,
        0
    )
    +
    IF(
        $N50 &lt; 0.875,
        MAX(0, MIN(($H50 / 1000) * AI$10 * $BA$4, AI$11 * 0.876) - (AI$11 * $N50)) * 0.25,
        0
    )
)</f>
        <v/>
      </c>
      <c r="AJ50" s="117">
        <f>IF(
    AND($H50 &gt; $BA$7, Tabella01MarzoInverter[[#This Row],[Active power TX2-INV-9]] &lt;= 0, Tabella01MarzoInverter[[#This Row],[Active power TX3-INV-6]] &lt;= 0),
    MIN(($H50 / 1000) * AJ$10 * $BA$4, AJ$11 * 0.876) * 0.25,
    IF(
        AND($H50 &gt; $BA$7, Tabella01MarzoInverter[[#This Row],[Active power TX2-INV-9]] &lt;= 0),
        Tabella01MarzoInverter[[#This Row],[Active power TX3-INV-6]] * 0.25,
        0
    )
    +
    IF(
        $N50 &lt; 0.875,
        MAX(0, MIN(($H50 / 1000) * AJ$10 * $BA$4, AJ$11 * 0.876) - (AJ$11 * $N50)) * 0.25,
        0
    )
)</f>
        <v/>
      </c>
      <c r="AK50" s="117">
        <f>IF(
    AND($H50 &gt; $BA$7, Tabella01MarzoInverter[[#This Row],[Active power TX2-INV-10]] &lt;= 0, Tabella01MarzoInverter[[#This Row],[Active power TX3-INV-7]] &lt;= 0),
    MIN(($H50 / 1000) * AK$10 * $BA$4, AK$11 * 0.876) * 0.25,
    IF(
        AND($H50 &gt; $BA$7, Tabella01MarzoInverter[[#This Row],[Active power TX2-INV-10]] &lt;= 0),
        Tabella01MarzoInverter[[#This Row],[Active power TX3-INV-7]] * 0.25,
        0
    )
    +
    IF(
        $N50 &lt; 0.875,
        MAX(0, MIN(($H50 / 1000) * AK$10 * $BA$4, AK$11 * 0.876) - (AK$11 * $N50)) * 0.25,
        0
    )
)</f>
        <v/>
      </c>
      <c r="AL50" s="117">
        <f>IF(
    AND($H50 &gt; $BA$7, Tabella01MarzoInverter[[#This Row],[Active power TX2-INV-11]] &lt;= 0, Tabella01MarzoInverter[[#This Row],[Active power TX3-INV-8]] &lt;= 0),
    MIN(($H50 / 1000) * AL$10 * $BA$4, AL$11 * 0.876) * 0.25,
    IF(
        AND($H50 &gt; $BA$7, Tabella01MarzoInverter[[#This Row],[Active power TX2-INV-11]] &lt;= 0),
        Tabella01MarzoInverter[[#This Row],[Active power TX3-INV-8]] * 0.25,
        0
    )
    +
    IF(
        $N50 &lt; 0.875,
        MAX(0, MIN(($H50 / 1000) * AL$10 * $BA$4, AL$11 * 0.876) - (AL$11 * $N50)) * 0.25,
        0
    )
)</f>
        <v/>
      </c>
      <c r="AM50" s="117">
        <f>IF(
    AND($H50 &gt; $BA$7, Tabella01MarzoInverter[[#This Row],[Active power TX2-INV-12]] &lt;= 0, Tabella01MarzoInverter[[#This Row],[Active power TX3-INV-9]] &lt;= 0),
    MIN(($H50 / 1000) * AM$10 * $BA$4, AM$11 * 0.876) * 0.25,
    IF(
        AND($H50 &gt; $BA$7, Tabella01MarzoInverter[[#This Row],[Active power TX2-INV-12]] &lt;= 0),
        Tabella01MarzoInverter[[#This Row],[Active power TX3-INV-9]] * 0.25,
        0
    )
    +
    IF(
        $N50 &lt; 0.875,
        MAX(0, MIN(($H50 / 1000) * AM$10 * $BA$4, AM$11 * 0.876) - (AM$11 * $N50)) * 0.25,
        0
    )
)</f>
        <v/>
      </c>
      <c r="AN50" s="118">
        <f>SUM(TabellaMar2026[[#This Row],[Colonna39]:[Colonna6]])</f>
        <v/>
      </c>
      <c r="AO50" s="117">
        <f t="array" ref="AO50">IF(
    AND($H50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($H50 / 1000) * AO$10 * $BA$4 * 0.25
    ),
    0
)
+
IF(
    $N50 &lt; 0.875,
    MAX(0, MIN(($H50 / 1000) * AO$10 * $BA$4, AO$11 * 0.876) - (AO$11 * $N50)) * 0.25,
    0
)</f>
        <v/>
      </c>
      <c r="AP50" s="117">
        <f t="array" ref="AP50">IF(
    AND($H50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($H50 / 1000) * AP$10 * $BA$4 * 0.25
    ),
    0
)
+
IF(
    $N50 &lt; 0.875,
    MAX(0, MIN(($H50 / 1000) * AP$10 * $BA$4, AP$11 * 0.876) - (AP$11 * $N50)) * 0.25,
    0
)</f>
        <v/>
      </c>
      <c r="AQ50" s="117">
        <f t="array" ref="AQ50">IF(
    AND($H50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($H50 / 1000) * AQ$10 * $BA$4 * 0.25
    ),
    0
)
+
IF(
    $N50 &lt; 0.875,
    MAX(0, MIN(($H50 / 1000) * AQ$10 * $BA$4, AQ$11 * 0.876) - (AQ$11 * $N50)) * 0.25,
    0
)</f>
        <v/>
      </c>
      <c r="AR50" s="117">
        <f t="array" ref="AR50">IF(
    AND($H50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($H50 / 1000) * AR$10 * $BA$4 * 0.25
    ),
    0
)
+
IF(
    $N50 &lt; 0.875,
    MAX(0, MIN(($H50 / 1000) * AR$10 * $BA$4, AR$11 * 0.876) - (AR$11 * $N50)) * 0.25,
    0
)</f>
        <v/>
      </c>
      <c r="AS50" s="117">
        <f t="array" ref="AS50">IF(
    AND($H50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($H50 / 1000) * AS$10 * $BA$4 * 0.25
    ),
    0
)
+
IF(
    $N50 &lt; 0.875,
    MAX(0, MIN(($H50 / 1000) * AS$10 * $BA$4, AS$11 * 0.876) - (AS$11 * $N50)) * 0.25,
    0
)</f>
        <v/>
      </c>
      <c r="AT50" s="117">
        <f t="array" ref="AT50">IF(
    AND($H50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($H50 / 1000) * AT$10 * $BA$4 * 0.25
    ),
    0
)
+
IF(
    $N50 &lt; 0.875,
    MAX(0, MIN(($H50 / 1000) * AT$10 * $BA$4, AT$11 * 0.876) - (AT$11 * $N50)) * 0.25,
    0
)</f>
        <v/>
      </c>
      <c r="AU50" s="117">
        <f t="array" ref="AU50">IF(
    AND($H50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($H50 / 1000) * AU$10 * $BA$4 * 0.25
    ),
    0
)
+
IF(
    $N50 &lt; 0.875,
    MAX(0, MIN(($H50 / 1000) * AU$10 * $BA$4, AU$11 * 0.876) - (AU$11 * $N50)) * 0.25,
    0
)</f>
        <v/>
      </c>
      <c r="AV50" s="117">
        <f t="array" ref="AV50">IF(
    AND($H50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($H50 / 1000) * AV$10 * $BA$4 * 0.25
    ),
    0
)
+
IF(
    $N50 &lt; 0.875,
    MAX(0, MIN(($H50 / 1000) * AV$10 * $BA$4, AV$11 * 0.876) - (AV$11 * $N50)) * 0.25,
    0
)</f>
        <v/>
      </c>
      <c r="AW50" s="117">
        <f t="array" ref="AW50">IF(
    AND($H50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($H50 / 1000) * AW$10 * $BA$4 * 0.25
    ),
    0
)
+
IF(
    $N50 &lt; 0.875,
    MAX(0, MIN(($H50 / 1000) * AW$10 * $BA$4, AW$11 * 0.876) - (AW$11 * $N50)) * 0.25,
    0
)</f>
        <v/>
      </c>
      <c r="AX50" s="117">
        <f t="array" ref="AX50">IF(
    AND($H50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($H50 / 1000) * AX$10 * $BA$4 * 0.25
    ),
    0
)
+
IF(
    $N50 &lt; 0.875,
    MAX(0, MIN(($H50 / 1000) * AX$10 * $BA$4, AX$11 * 0.876) - (AX$11 * $N50)) * 0.25,
    0
)</f>
        <v/>
      </c>
      <c r="AY50" s="117">
        <f t="array" ref="AY50">IF(
    AND($H50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($H50 / 1000) * AY$10 * $BA$4 * 0.25
    ),
    0
)
+
IF(
    $N50 &lt; 0.875,
    MAX(0, MIN(($H50 / 1000) * AY$10 * $BA$4, AY$11 * 0.876) - (AY$11 * $N50)) * 0.25,
    0
)</f>
        <v/>
      </c>
      <c r="AZ50" s="117">
        <f t="array" ref="AZ50">IF(
    AND($H50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($H50 / 1000) * AZ$10 * $BA$4 * 0.25
    ),
    0
)
+
IF(
    $N50 &lt; 0.875,
    MAX(0, MIN(($H50 / 1000) * AZ$10 * $BA$4, AZ$11 * 0.876) - (AZ$11 * $N50)) * 0.25,
    0
)</f>
        <v/>
      </c>
      <c r="BA50" s="119">
        <f>SUM(TabellaMar2026[[#This Row],[Colonna54]:[Colonna53]])</f>
        <v/>
      </c>
    </row>
    <row r="51">
      <c r="A51" s="112" t="n">
        <v>46143</v>
      </c>
      <c r="B51" t="inlineStr">
        <is>
          <t>09:00:00.000</t>
        </is>
      </c>
      <c r="C51" s="2" t="n">
        <v>760</v>
      </c>
      <c r="D51" s="113" t="n">
        <v>0.19</v>
      </c>
      <c r="E51" s="113" t="n">
        <v>760.4</v>
      </c>
      <c r="F51" s="113" t="n">
        <v>0.1901</v>
      </c>
      <c r="G51" s="113">
        <f>IFERROR((D51+F51)/2, 0)</f>
        <v/>
      </c>
      <c r="H51" s="114">
        <f>IFERROR(IF(AVERAGE(C51,E51)&gt;$BA$7,AVERAGE(C51,E51),0), 0)</f>
        <v/>
      </c>
      <c r="I51" s="114">
        <f>IFERROR(IF(AND(D51=0,F51=0),0,IF(H51&gt;$BA$6,MAX(D51,F51),G51)), 0)</f>
        <v/>
      </c>
      <c r="J51" s="113">
        <f>IFERROR(IF(AND(D51&gt;0,F51&gt;0),ABS(D51-F51)/AVERAGE(D51,F51),0), 0)</f>
        <v/>
      </c>
      <c r="K51" s="113" t="n">
        <v>30105.1</v>
      </c>
      <c r="L51" s="113" t="n">
        <v>30107.1</v>
      </c>
      <c r="M51" s="115">
        <f>IFERROR((L51-K51)*1000, 0)</f>
        <v/>
      </c>
      <c r="N51" s="113" t="n">
        <v>0.8759999999999999</v>
      </c>
      <c r="O51" s="115">
        <f t="array" ref="O51">IF(
    AND($H51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($H51 / 1000) * O$10 * $BA$4 * 0.25
    ),
    0
)
+
IF(
    $N51 &lt; 0.875,
    MAX(0, MIN(($H51 / 1000) * O$10 * $BA$4, O$11 * 0.876) - (O$11 * $N51)) * 0.25,
    0
)</f>
        <v/>
      </c>
      <c r="P51" s="115">
        <f t="array" ref="P51">IF(
    AND($H51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($H51 / 1000) * P$10 * $BA$4 * 0.25
    ),
    0
)
+
IF(
    $N51 &lt; 0.875,
    MAX(0, MIN(($H51 / 1000) * P$10 * $BA$4, P$11 * 0.876) - (P$11 * $N51)) * 0.25,
    0
)</f>
        <v/>
      </c>
      <c r="Q51" s="115">
        <f t="array" ref="Q51">IF(
    AND($H51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($H51 / 1000) * Q$10 * $BA$4 * 0.25
    ),
    0
)
+
IF(
    $N51 &lt; 0.875,
    MAX(0, MIN(($H51 / 1000) * Q$10 * $BA$4, Q$11 * 0.876) - (Q$11 * $N51)) * 0.25,
    0
)</f>
        <v/>
      </c>
      <c r="R51" s="115">
        <f t="array" ref="R51">IF(
    AND($H51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($H51 / 1000) * R$10 * $BA$4 * 0.25
    ),
    0
)
+
IF(
    $N51 &lt; 0.875,
    MAX(0, MIN(($H51 / 1000) * R$10 * $BA$4, R$11 * 0.876) - (R$11 * $N51)) * 0.25,
    0
)</f>
        <v/>
      </c>
      <c r="S51" s="115">
        <f t="array" ref="S51">IF(
    AND($H51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($H51 / 1000) * S$10 * $BA$4 * 0.25
    ),
    0
)
+
IF(
    $N51 &lt; 0.875,
    MAX(0, MIN(($H51 / 1000) * S$10 * $BA$4, S$11 * 0.876) - (S$11 * $N51)) * 0.25,
    0
)</f>
        <v/>
      </c>
      <c r="T51" s="115">
        <f t="array" ref="T51">IF(
    AND($H51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($H51 / 1000) * T$10 * $BA$4 * 0.25
    ),
    0
)
+
IF(
    $N51 &lt; 0.875,
    MAX(0, MIN(($H51 / 1000) * T$10 * $BA$4, T$11 * 0.876) - (T$11 * $N51)) * 0.25,
    0
)</f>
        <v/>
      </c>
      <c r="U51" s="115">
        <f t="array" ref="U51">IF(
    AND($H51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($H51 / 1000) * U$10 * $BA$4 * 0.25
    ),
    0
)
+
IF(
    $N51 &lt; 0.875,
    MAX(0, MIN(($H51 / 1000) * U$10 * $BA$4, U$11 * 0.876) - (U$11 * $N51)) * 0.25,
    0
)</f>
        <v/>
      </c>
      <c r="V51" s="115">
        <f t="array" ref="V51">IF(
    AND($H51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($H51 / 1000) * V$10 * $BA$4 * 0.25
    ),
    0
)
+
IF(
    $N51 &lt; 0.875,
    MAX(0, MIN(($H51 / 1000) * V$10 * $BA$4, V$11 * 0.876) - (V$11 * $N51)) * 0.25,
    0
)</f>
        <v/>
      </c>
      <c r="W51" s="115">
        <f t="array" ref="W51">IF(
    AND($H51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($H51 / 1000) * W$10 * $BA$4 * 0.25
    ),
    0
)
+
IF(
    $N51 &lt; 0.875,
    MAX(0, MIN(($H51 / 1000) * W$10 * $BA$4, W$11 * 0.876) - (W$11 * $N51)) * 0.25,
    0
)</f>
        <v/>
      </c>
      <c r="X51" s="115">
        <f t="array" ref="X51">IF(
    AND($H51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($H51 / 1000) * X$10 * $BA$4 * 0.25
    ),
    0
)
+
IF(
    $N51 &lt; 0.875,
    MAX(0, MIN(($H51 / 1000) * X$10 * $BA$4, X$11 * 0.876) - (X$11 * $N51)) * 0.25,
    0
)</f>
        <v/>
      </c>
      <c r="Y51" s="115">
        <f t="array" ref="Y51">IF(
    AND($H51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($H51 / 1000) * Y$10 * $BA$4 * 0.25
    ),
    0
)
+
IF(
    $N51 &lt; 0.875,
    MAX(0, MIN(($H51 / 1000) * Y$10 * $BA$4, Y$11 * 0.876) - (Y$11 * $N51)) * 0.25,
    0
)</f>
        <v/>
      </c>
      <c r="Z51" s="115">
        <f t="array" ref="Z51">IF(
    AND($H51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($H51 / 1000) * Z$10 * $BA$4 * 0.25
    ),
    0
)
+
IF(
    $N51 &lt; 0.875,
    MAX(0, MIN(($H51 / 1000) * Z$10 * $BA$4, Z$11 * 0.876) - (Z$11 * $N51)) * 0.25,
    0
)</f>
        <v/>
      </c>
      <c r="AA51" s="116">
        <f>SUM(TabellaMar2026[[#This Row],[Colonna24]:[Colonna20]])</f>
        <v/>
      </c>
      <c r="AB51" s="117">
        <f>IF(
    AND($H51 &gt; $BA$7, Tabella01MarzoInverter[[#This Row],[Active power TX2-INV-1]] &lt;= 0, Tabella01MarzoInverter[[#This Row],[TX2 - Average Power]] &lt;= 0),
    MIN(($H51 / 1000) * AB$10 * $BA$4, AB$11 * 0.876) * 0.25,
    IF(
        AND($H51 &gt; $BA$7, Tabella01MarzoInverter[[#This Row],[Active power TX2-INV-1]] &lt;= 0),
        Tabella01MarzoInverter[[#This Row],[TX2 - Average Power]] * 0.25,
        0
    )
    +
    IF(
        $N51 &lt; 0.875,
        MAX(0, MIN(($H51 / 1000) * AB$10 * $BA$4, AB$11 * 0.876) - (AB$11 * $N51)) * 0.25,
        0
    )
)</f>
        <v/>
      </c>
      <c r="AC51" s="117">
        <f>IF(
    AND($H51 &gt; $BA$7, Tabella01MarzoInverter[[#This Row],[Active power TX2-INV-2]] &lt;= 0, Tabella01MarzoInverter[[#This Row],[TX2 - Max Power]] &lt;= 0),
    MIN(($H51 / 1000) * AC$10 * $BA$4, AC$11 * 0.876) * 0.25,
    IF(
        AND($H51 &gt; $BA$7, Tabella01MarzoInverter[[#This Row],[Active power TX2-INV-2]] &lt;= 0),
        Tabella01MarzoInverter[[#This Row],[TX2 - Max Power]] * 0.25,
        0
    )
    +
    IF(
        $N51 &lt; 0.875,
        MAX(0, MIN(($H51 / 1000) * AC$10 * $BA$4, AC$11 * 0.876) - (AC$11 * $N51)) * 0.25,
        0
    )
)</f>
        <v/>
      </c>
      <c r="AD51" s="117">
        <f>IF(
    AND($H51 &gt; $BA$7, Tabella01MarzoInverter[[#This Row],[Active power TX2-INV-3]] &lt;= 0, Tabella01MarzoInverter[[#This Row],[TX2 - Min Power]] &lt;= 0),
    MIN(($H51 / 1000) * AD$10 * $BA$4, AD$11 * 0.876) * 0.25,
    IF(
        AND($H51 &gt; $BA$7, Tabella01MarzoInverter[[#This Row],[Active power TX2-INV-3]] &lt;= 0),
        Tabella01MarzoInverter[[#This Row],[TX2 - Min Power]] * 0.25,
        0
    )
    +
    IF(
        $N51 &lt; 0.875,
        MAX(0, MIN(($H51 / 1000) * AD$10 * $BA$4, AD$11 * 0.876) - (AD$11 * $N51)) * 0.25,
        0
    )
)</f>
        <v/>
      </c>
      <c r="AE51" s="117">
        <f>IF(
    AND($H51 &gt; $BA$7, Tabella01MarzoInverter[[#This Row],[Active power TX2-INV-4]] &lt;= 0, Tabella01MarzoInverter[[#This Row],[Active power TX3-INV-1]] &lt;= 0),
    MIN(($H51 / 1000) * AE$10 * $BA$4, AE$11 * 0.876) * 0.25,
    IF(
        AND($H51 &gt; $BA$7, Tabella01MarzoInverter[[#This Row],[Active power TX2-INV-4]] &lt;= 0),
        Tabella01MarzoInverter[[#This Row],[Active power TX3-INV-1]] * 0.25,
        0
    )
    +
    IF(
        $N51 &lt; 0.875,
        MAX(0, MIN(($H51 / 1000) * AE$10 * $BA$4, AE$11 * 0.876) - (AE$11 * $N51)) * 0.25,
        0
    )
)</f>
        <v/>
      </c>
      <c r="AF51" s="117">
        <f>IF(
    AND($H51 &gt; $BA$7, Tabella01MarzoInverter[[#This Row],[Active power TX2-INV-5]] &lt;= 0, Tabella01MarzoInverter[[#This Row],[Active power TX3-INV-2]] &lt;= 0),
    MIN(($H51 / 1000) * AF$10 * $BA$4, AF$11 * 0.876) * 0.25,
    IF(
        AND($H51 &gt; $BA$7, Tabella01MarzoInverter[[#This Row],[Active power TX2-INV-5]] &lt;= 0),
        Tabella01MarzoInverter[[#This Row],[Active power TX3-INV-2]] * 0.25,
        0
    )
    +
    IF(
        $N51 &lt; 0.875,
        MAX(0, MIN(($H51 / 1000) * AF$10 * $BA$4, AF$11 * 0.876) - (AF$11 * $N51)) * 0.25,
        0
    )
)</f>
        <v/>
      </c>
      <c r="AG51" s="117">
        <f>IF(
    AND($H51 &gt; $BA$7, Tabella01MarzoInverter[[#This Row],[Active power TX2-INV-6]] &lt;= 0, Tabella01MarzoInverter[[#This Row],[Active power TX3-INV-3]] &lt;= 0),
    MIN(($H51 / 1000) * AG$10 * $BA$4, AG$11 * 0.876) * 0.25,
    IF(
        AND($H51 &gt; $BA$7, Tabella01MarzoInverter[[#This Row],[Active power TX2-INV-6]] &lt;= 0),
        Tabella01MarzoInverter[[#This Row],[Active power TX3-INV-3]] * 0.25,
        0
    )
    +
    IF(
        $N51 &lt; 0.875,
        MAX(0, MIN(($H51 / 1000) * AG$10 * $BA$4, AG$11 * 0.876) - (AG$11 * $N51)) * 0.25,
        0
    )
)</f>
        <v/>
      </c>
      <c r="AH51" s="117">
        <f>IF(
    AND($H51 &gt; $BA$7, Tabella01MarzoInverter[[#This Row],[Active power TX2-INV-7]] &lt;= 0, Tabella01MarzoInverter[[#This Row],[Active power TX3-INV-4]] &lt;= 0),
    MIN(($H51 / 1000) * AH$10 * $BA$4, AH$11 * 0.876) * 0.25,
    IF(
        AND($H51 &gt; $BA$7, Tabella01MarzoInverter[[#This Row],[Active power TX2-INV-7]] &lt;= 0),
        Tabella01MarzoInverter[[#This Row],[Active power TX3-INV-4]] * 0.25,
        0
    )
    +
    IF(
        $N51 &lt; 0.875,
        MAX(0, MIN(($H51 / 1000) * AH$10 * $BA$4, AH$11 * 0.876) - (AH$11 * $N51)) * 0.25,
        0
    )
)</f>
        <v/>
      </c>
      <c r="AI51" s="117">
        <f>IF(
    AND($H51 &gt; $BA$7, Tabella01MarzoInverter[[#This Row],[Active power TX2-INV-8]] &lt;= 0, Tabella01MarzoInverter[[#This Row],[Active power TX3-INV-5]] &lt;= 0),
    MIN(($H51 / 1000) * AI$10 * $BA$4, AI$11 * 0.876) * 0.25,
    IF(
        AND($H51 &gt; $BA$7, Tabella01MarzoInverter[[#This Row],[Active power TX2-INV-8]] &lt;= 0),
        Tabella01MarzoInverter[[#This Row],[Active power TX3-INV-5]] * 0.25,
        0
    )
    +
    IF(
        $N51 &lt; 0.875,
        MAX(0, MIN(($H51 / 1000) * AI$10 * $BA$4, AI$11 * 0.876) - (AI$11 * $N51)) * 0.25,
        0
    )
)</f>
        <v/>
      </c>
      <c r="AJ51" s="117">
        <f>IF(
    AND($H51 &gt; $BA$7, Tabella01MarzoInverter[[#This Row],[Active power TX2-INV-9]] &lt;= 0, Tabella01MarzoInverter[[#This Row],[Active power TX3-INV-6]] &lt;= 0),
    MIN(($H51 / 1000) * AJ$10 * $BA$4, AJ$11 * 0.876) * 0.25,
    IF(
        AND($H51 &gt; $BA$7, Tabella01MarzoInverter[[#This Row],[Active power TX2-INV-9]] &lt;= 0),
        Tabella01MarzoInverter[[#This Row],[Active power TX3-INV-6]] * 0.25,
        0
    )
    +
    IF(
        $N51 &lt; 0.875,
        MAX(0, MIN(($H51 / 1000) * AJ$10 * $BA$4, AJ$11 * 0.876) - (AJ$11 * $N51)) * 0.25,
        0
    )
)</f>
        <v/>
      </c>
      <c r="AK51" s="117">
        <f>IF(
    AND($H51 &gt; $BA$7, Tabella01MarzoInverter[[#This Row],[Active power TX2-INV-10]] &lt;= 0, Tabella01MarzoInverter[[#This Row],[Active power TX3-INV-7]] &lt;= 0),
    MIN(($H51 / 1000) * AK$10 * $BA$4, AK$11 * 0.876) * 0.25,
    IF(
        AND($H51 &gt; $BA$7, Tabella01MarzoInverter[[#This Row],[Active power TX2-INV-10]] &lt;= 0),
        Tabella01MarzoInverter[[#This Row],[Active power TX3-INV-7]] * 0.25,
        0
    )
    +
    IF(
        $N51 &lt; 0.875,
        MAX(0, MIN(($H51 / 1000) * AK$10 * $BA$4, AK$11 * 0.876) - (AK$11 * $N51)) * 0.25,
        0
    )
)</f>
        <v/>
      </c>
      <c r="AL51" s="117">
        <f>IF(
    AND($H51 &gt; $BA$7, Tabella01MarzoInverter[[#This Row],[Active power TX2-INV-11]] &lt;= 0, Tabella01MarzoInverter[[#This Row],[Active power TX3-INV-8]] &lt;= 0),
    MIN(($H51 / 1000) * AL$10 * $BA$4, AL$11 * 0.876) * 0.25,
    IF(
        AND($H51 &gt; $BA$7, Tabella01MarzoInverter[[#This Row],[Active power TX2-INV-11]] &lt;= 0),
        Tabella01MarzoInverter[[#This Row],[Active power TX3-INV-8]] * 0.25,
        0
    )
    +
    IF(
        $N51 &lt; 0.875,
        MAX(0, MIN(($H51 / 1000) * AL$10 * $BA$4, AL$11 * 0.876) - (AL$11 * $N51)) * 0.25,
        0
    )
)</f>
        <v/>
      </c>
      <c r="AM51" s="117">
        <f>IF(
    AND($H51 &gt; $BA$7, Tabella01MarzoInverter[[#This Row],[Active power TX2-INV-12]] &lt;= 0, Tabella01MarzoInverter[[#This Row],[Active power TX3-INV-9]] &lt;= 0),
    MIN(($H51 / 1000) * AM$10 * $BA$4, AM$11 * 0.876) * 0.25,
    IF(
        AND($H51 &gt; $BA$7, Tabella01MarzoInverter[[#This Row],[Active power TX2-INV-12]] &lt;= 0),
        Tabella01MarzoInverter[[#This Row],[Active power TX3-INV-9]] * 0.25,
        0
    )
    +
    IF(
        $N51 &lt; 0.875,
        MAX(0, MIN(($H51 / 1000) * AM$10 * $BA$4, AM$11 * 0.876) - (AM$11 * $N51)) * 0.25,
        0
    )
)</f>
        <v/>
      </c>
      <c r="AN51" s="118">
        <f>SUM(TabellaMar2026[[#This Row],[Colonna39]:[Colonna6]])</f>
        <v/>
      </c>
      <c r="AO51" s="117">
        <f t="array" ref="AO51">IF(
    AND($H51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($H51 / 1000) * AO$10 * $BA$4 * 0.25
    ),
    0
)
+
IF(
    $N51 &lt; 0.875,
    MAX(0, MIN(($H51 / 1000) * AO$10 * $BA$4, AO$11 * 0.876) - (AO$11 * $N51)) * 0.25,
    0
)</f>
        <v/>
      </c>
      <c r="AP51" s="117">
        <f t="array" ref="AP51">IF(
    AND($H51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($H51 / 1000) * AP$10 * $BA$4 * 0.25
    ),
    0
)
+
IF(
    $N51 &lt; 0.875,
    MAX(0, MIN(($H51 / 1000) * AP$10 * $BA$4, AP$11 * 0.876) - (AP$11 * $N51)) * 0.25,
    0
)</f>
        <v/>
      </c>
      <c r="AQ51" s="117">
        <f t="array" ref="AQ51">IF(
    AND($H51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($H51 / 1000) * AQ$10 * $BA$4 * 0.25
    ),
    0
)
+
IF(
    $N51 &lt; 0.875,
    MAX(0, MIN(($H51 / 1000) * AQ$10 * $BA$4, AQ$11 * 0.876) - (AQ$11 * $N51)) * 0.25,
    0
)</f>
        <v/>
      </c>
      <c r="AR51" s="117">
        <f t="array" ref="AR51">IF(
    AND($H51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($H51 / 1000) * AR$10 * $BA$4 * 0.25
    ),
    0
)
+
IF(
    $N51 &lt; 0.875,
    MAX(0, MIN(($H51 / 1000) * AR$10 * $BA$4, AR$11 * 0.876) - (AR$11 * $N51)) * 0.25,
    0
)</f>
        <v/>
      </c>
      <c r="AS51" s="117">
        <f t="array" ref="AS51">IF(
    AND($H51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($H51 / 1000) * AS$10 * $BA$4 * 0.25
    ),
    0
)
+
IF(
    $N51 &lt; 0.875,
    MAX(0, MIN(($H51 / 1000) * AS$10 * $BA$4, AS$11 * 0.876) - (AS$11 * $N51)) * 0.25,
    0
)</f>
        <v/>
      </c>
      <c r="AT51" s="117">
        <f t="array" ref="AT51">IF(
    AND($H51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($H51 / 1000) * AT$10 * $BA$4 * 0.25
    ),
    0
)
+
IF(
    $N51 &lt; 0.875,
    MAX(0, MIN(($H51 / 1000) * AT$10 * $BA$4, AT$11 * 0.876) - (AT$11 * $N51)) * 0.25,
    0
)</f>
        <v/>
      </c>
      <c r="AU51" s="117">
        <f t="array" ref="AU51">IF(
    AND($H51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($H51 / 1000) * AU$10 * $BA$4 * 0.25
    ),
    0
)
+
IF(
    $N51 &lt; 0.875,
    MAX(0, MIN(($H51 / 1000) * AU$10 * $BA$4, AU$11 * 0.876) - (AU$11 * $N51)) * 0.25,
    0
)</f>
        <v/>
      </c>
      <c r="AV51" s="117">
        <f t="array" ref="AV51">IF(
    AND($H51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($H51 / 1000) * AV$10 * $BA$4 * 0.25
    ),
    0
)
+
IF(
    $N51 &lt; 0.875,
    MAX(0, MIN(($H51 / 1000) * AV$10 * $BA$4, AV$11 * 0.876) - (AV$11 * $N51)) * 0.25,
    0
)</f>
        <v/>
      </c>
      <c r="AW51" s="117">
        <f t="array" ref="AW51">IF(
    AND($H51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($H51 / 1000) * AW$10 * $BA$4 * 0.25
    ),
    0
)
+
IF(
    $N51 &lt; 0.875,
    MAX(0, MIN(($H51 / 1000) * AW$10 * $BA$4, AW$11 * 0.876) - (AW$11 * $N51)) * 0.25,
    0
)</f>
        <v/>
      </c>
      <c r="AX51" s="117">
        <f t="array" ref="AX51">IF(
    AND($H51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($H51 / 1000) * AX$10 * $BA$4 * 0.25
    ),
    0
)
+
IF(
    $N51 &lt; 0.875,
    MAX(0, MIN(($H51 / 1000) * AX$10 * $BA$4, AX$11 * 0.876) - (AX$11 * $N51)) * 0.25,
    0
)</f>
        <v/>
      </c>
      <c r="AY51" s="117">
        <f t="array" ref="AY51">IF(
    AND($H51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($H51 / 1000) * AY$10 * $BA$4 * 0.25
    ),
    0
)
+
IF(
    $N51 &lt; 0.875,
    MAX(0, MIN(($H51 / 1000) * AY$10 * $BA$4, AY$11 * 0.876) - (AY$11 * $N51)) * 0.25,
    0
)</f>
        <v/>
      </c>
      <c r="AZ51" s="117">
        <f t="array" ref="AZ51">IF(
    AND($H51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($H51 / 1000) * AZ$10 * $BA$4 * 0.25
    ),
    0
)
+
IF(
    $N51 &lt; 0.875,
    MAX(0, MIN(($H51 / 1000) * AZ$10 * $BA$4, AZ$11 * 0.876) - (AZ$11 * $N51)) * 0.25,
    0
)</f>
        <v/>
      </c>
      <c r="BA51" s="119">
        <f>SUM(TabellaMar2026[[#This Row],[Colonna54]:[Colonna53]])</f>
        <v/>
      </c>
    </row>
    <row r="52">
      <c r="A52" s="112" t="n">
        <v>46143</v>
      </c>
      <c r="B52" t="inlineStr">
        <is>
          <t>09:15:00.000</t>
        </is>
      </c>
      <c r="C52" s="2" t="n">
        <v>793.1</v>
      </c>
      <c r="D52" s="113" t="n">
        <v>0.198275</v>
      </c>
      <c r="E52" s="113" t="n">
        <v>763</v>
      </c>
      <c r="F52" s="113" t="n">
        <v>0.19075</v>
      </c>
      <c r="G52" s="113">
        <f>IFERROR((D52+F52)/2, 0)</f>
        <v/>
      </c>
      <c r="H52" s="114">
        <f>IFERROR(IF(AVERAGE(C52,E52)&gt;$BA$7,AVERAGE(C52,E52),0), 0)</f>
        <v/>
      </c>
      <c r="I52" s="114">
        <f>IFERROR(IF(AND(D52=0,F52=0),0,IF(H52&gt;$BA$6,MAX(D52,F52),G52)), 0)</f>
        <v/>
      </c>
      <c r="J52" s="113">
        <f>IFERROR(IF(AND(D52&gt;0,F52&gt;0),ABS(D52-F52)/AVERAGE(D52,F52),0), 0)</f>
        <v/>
      </c>
      <c r="K52" s="113" t="n">
        <v>30107.1</v>
      </c>
      <c r="L52" s="113" t="n">
        <v>30109.4</v>
      </c>
      <c r="M52" s="115">
        <f>IFERROR((L52-K52)*1000, 0)</f>
        <v/>
      </c>
      <c r="N52" s="113" t="n">
        <v>0.8759999999999999</v>
      </c>
      <c r="O52" s="115">
        <f t="array" ref="O52">IF(
    AND($H52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($H52 / 1000) * O$10 * $BA$4 * 0.25
    ),
    0
)
+
IF(
    $N52 &lt; 0.875,
    MAX(0, MIN(($H52 / 1000) * O$10 * $BA$4, O$11 * 0.876) - (O$11 * $N52)) * 0.25,
    0
)</f>
        <v/>
      </c>
      <c r="P52" s="115">
        <f t="array" ref="P52">IF(
    AND($H52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($H52 / 1000) * P$10 * $BA$4 * 0.25
    ),
    0
)
+
IF(
    $N52 &lt; 0.875,
    MAX(0, MIN(($H52 / 1000) * P$10 * $BA$4, P$11 * 0.876) - (P$11 * $N52)) * 0.25,
    0
)</f>
        <v/>
      </c>
      <c r="Q52" s="115">
        <f t="array" ref="Q52">IF(
    AND($H52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($H52 / 1000) * Q$10 * $BA$4 * 0.25
    ),
    0
)
+
IF(
    $N52 &lt; 0.875,
    MAX(0, MIN(($H52 / 1000) * Q$10 * $BA$4, Q$11 * 0.876) - (Q$11 * $N52)) * 0.25,
    0
)</f>
        <v/>
      </c>
      <c r="R52" s="115">
        <f t="array" ref="R52">IF(
    AND($H52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($H52 / 1000) * R$10 * $BA$4 * 0.25
    ),
    0
)
+
IF(
    $N52 &lt; 0.875,
    MAX(0, MIN(($H52 / 1000) * R$10 * $BA$4, R$11 * 0.876) - (R$11 * $N52)) * 0.25,
    0
)</f>
        <v/>
      </c>
      <c r="S52" s="115">
        <f t="array" ref="S52">IF(
    AND($H52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($H52 / 1000) * S$10 * $BA$4 * 0.25
    ),
    0
)
+
IF(
    $N52 &lt; 0.875,
    MAX(0, MIN(($H52 / 1000) * S$10 * $BA$4, S$11 * 0.876) - (S$11 * $N52)) * 0.25,
    0
)</f>
        <v/>
      </c>
      <c r="T52" s="115">
        <f t="array" ref="T52">IF(
    AND($H52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($H52 / 1000) * T$10 * $BA$4 * 0.25
    ),
    0
)
+
IF(
    $N52 &lt; 0.875,
    MAX(0, MIN(($H52 / 1000) * T$10 * $BA$4, T$11 * 0.876) - (T$11 * $N52)) * 0.25,
    0
)</f>
        <v/>
      </c>
      <c r="U52" s="115">
        <f t="array" ref="U52">IF(
    AND($H52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($H52 / 1000) * U$10 * $BA$4 * 0.25
    ),
    0
)
+
IF(
    $N52 &lt; 0.875,
    MAX(0, MIN(($H52 / 1000) * U$10 * $BA$4, U$11 * 0.876) - (U$11 * $N52)) * 0.25,
    0
)</f>
        <v/>
      </c>
      <c r="V52" s="115">
        <f t="array" ref="V52">IF(
    AND($H52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($H52 / 1000) * V$10 * $BA$4 * 0.25
    ),
    0
)
+
IF(
    $N52 &lt; 0.875,
    MAX(0, MIN(($H52 / 1000) * V$10 * $BA$4, V$11 * 0.876) - (V$11 * $N52)) * 0.25,
    0
)</f>
        <v/>
      </c>
      <c r="W52" s="115">
        <f t="array" ref="W52">IF(
    AND($H52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($H52 / 1000) * W$10 * $BA$4 * 0.25
    ),
    0
)
+
IF(
    $N52 &lt; 0.875,
    MAX(0, MIN(($H52 / 1000) * W$10 * $BA$4, W$11 * 0.876) - (W$11 * $N52)) * 0.25,
    0
)</f>
        <v/>
      </c>
      <c r="X52" s="115">
        <f t="array" ref="X52">IF(
    AND($H52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($H52 / 1000) * X$10 * $BA$4 * 0.25
    ),
    0
)
+
IF(
    $N52 &lt; 0.875,
    MAX(0, MIN(($H52 / 1000) * X$10 * $BA$4, X$11 * 0.876) - (X$11 * $N52)) * 0.25,
    0
)</f>
        <v/>
      </c>
      <c r="Y52" s="115">
        <f t="array" ref="Y52">IF(
    AND($H52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($H52 / 1000) * Y$10 * $BA$4 * 0.25
    ),
    0
)
+
IF(
    $N52 &lt; 0.875,
    MAX(0, MIN(($H52 / 1000) * Y$10 * $BA$4, Y$11 * 0.876) - (Y$11 * $N52)) * 0.25,
    0
)</f>
        <v/>
      </c>
      <c r="Z52" s="115">
        <f t="array" ref="Z52">IF(
    AND($H52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($H52 / 1000) * Z$10 * $BA$4 * 0.25
    ),
    0
)
+
IF(
    $N52 &lt; 0.875,
    MAX(0, MIN(($H52 / 1000) * Z$10 * $BA$4, Z$11 * 0.876) - (Z$11 * $N52)) * 0.25,
    0
)</f>
        <v/>
      </c>
      <c r="AA52" s="116">
        <f>SUM(TabellaMar2026[[#This Row],[Colonna24]:[Colonna20]])</f>
        <v/>
      </c>
      <c r="AB52" s="117">
        <f>IF(
    AND($H52 &gt; $BA$7, Tabella01MarzoInverter[[#This Row],[Active power TX2-INV-1]] &lt;= 0, Tabella01MarzoInverter[[#This Row],[TX2 - Average Power]] &lt;= 0),
    MIN(($H52 / 1000) * AB$10 * $BA$4, AB$11 * 0.876) * 0.25,
    IF(
        AND($H52 &gt; $BA$7, Tabella01MarzoInverter[[#This Row],[Active power TX2-INV-1]] &lt;= 0),
        Tabella01MarzoInverter[[#This Row],[TX2 - Average Power]] * 0.25,
        0
    )
    +
    IF(
        $N52 &lt; 0.875,
        MAX(0, MIN(($H52 / 1000) * AB$10 * $BA$4, AB$11 * 0.876) - (AB$11 * $N52)) * 0.25,
        0
    )
)</f>
        <v/>
      </c>
      <c r="AC52" s="117">
        <f>IF(
    AND($H52 &gt; $BA$7, Tabella01MarzoInverter[[#This Row],[Active power TX2-INV-2]] &lt;= 0, Tabella01MarzoInverter[[#This Row],[TX2 - Max Power]] &lt;= 0),
    MIN(($H52 / 1000) * AC$10 * $BA$4, AC$11 * 0.876) * 0.25,
    IF(
        AND($H52 &gt; $BA$7, Tabella01MarzoInverter[[#This Row],[Active power TX2-INV-2]] &lt;= 0),
        Tabella01MarzoInverter[[#This Row],[TX2 - Max Power]] * 0.25,
        0
    )
    +
    IF(
        $N52 &lt; 0.875,
        MAX(0, MIN(($H52 / 1000) * AC$10 * $BA$4, AC$11 * 0.876) - (AC$11 * $N52)) * 0.25,
        0
    )
)</f>
        <v/>
      </c>
      <c r="AD52" s="117">
        <f>IF(
    AND($H52 &gt; $BA$7, Tabella01MarzoInverter[[#This Row],[Active power TX2-INV-3]] &lt;= 0, Tabella01MarzoInverter[[#This Row],[TX2 - Min Power]] &lt;= 0),
    MIN(($H52 / 1000) * AD$10 * $BA$4, AD$11 * 0.876) * 0.25,
    IF(
        AND($H52 &gt; $BA$7, Tabella01MarzoInverter[[#This Row],[Active power TX2-INV-3]] &lt;= 0),
        Tabella01MarzoInverter[[#This Row],[TX2 - Min Power]] * 0.25,
        0
    )
    +
    IF(
        $N52 &lt; 0.875,
        MAX(0, MIN(($H52 / 1000) * AD$10 * $BA$4, AD$11 * 0.876) - (AD$11 * $N52)) * 0.25,
        0
    )
)</f>
        <v/>
      </c>
      <c r="AE52" s="117">
        <f>IF(
    AND($H52 &gt; $BA$7, Tabella01MarzoInverter[[#This Row],[Active power TX2-INV-4]] &lt;= 0, Tabella01MarzoInverter[[#This Row],[Active power TX3-INV-1]] &lt;= 0),
    MIN(($H52 / 1000) * AE$10 * $BA$4, AE$11 * 0.876) * 0.25,
    IF(
        AND($H52 &gt; $BA$7, Tabella01MarzoInverter[[#This Row],[Active power TX2-INV-4]] &lt;= 0),
        Tabella01MarzoInverter[[#This Row],[Active power TX3-INV-1]] * 0.25,
        0
    )
    +
    IF(
        $N52 &lt; 0.875,
        MAX(0, MIN(($H52 / 1000) * AE$10 * $BA$4, AE$11 * 0.876) - (AE$11 * $N52)) * 0.25,
        0
    )
)</f>
        <v/>
      </c>
      <c r="AF52" s="117">
        <f>IF(
    AND($H52 &gt; $BA$7, Tabella01MarzoInverter[[#This Row],[Active power TX2-INV-5]] &lt;= 0, Tabella01MarzoInverter[[#This Row],[Active power TX3-INV-2]] &lt;= 0),
    MIN(($H52 / 1000) * AF$10 * $BA$4, AF$11 * 0.876) * 0.25,
    IF(
        AND($H52 &gt; $BA$7, Tabella01MarzoInverter[[#This Row],[Active power TX2-INV-5]] &lt;= 0),
        Tabella01MarzoInverter[[#This Row],[Active power TX3-INV-2]] * 0.25,
        0
    )
    +
    IF(
        $N52 &lt; 0.875,
        MAX(0, MIN(($H52 / 1000) * AF$10 * $BA$4, AF$11 * 0.876) - (AF$11 * $N52)) * 0.25,
        0
    )
)</f>
        <v/>
      </c>
      <c r="AG52" s="117">
        <f>IF(
    AND($H52 &gt; $BA$7, Tabella01MarzoInverter[[#This Row],[Active power TX2-INV-6]] &lt;= 0, Tabella01MarzoInverter[[#This Row],[Active power TX3-INV-3]] &lt;= 0),
    MIN(($H52 / 1000) * AG$10 * $BA$4, AG$11 * 0.876) * 0.25,
    IF(
        AND($H52 &gt; $BA$7, Tabella01MarzoInverter[[#This Row],[Active power TX2-INV-6]] &lt;= 0),
        Tabella01MarzoInverter[[#This Row],[Active power TX3-INV-3]] * 0.25,
        0
    )
    +
    IF(
        $N52 &lt; 0.875,
        MAX(0, MIN(($H52 / 1000) * AG$10 * $BA$4, AG$11 * 0.876) - (AG$11 * $N52)) * 0.25,
        0
    )
)</f>
        <v/>
      </c>
      <c r="AH52" s="117">
        <f>IF(
    AND($H52 &gt; $BA$7, Tabella01MarzoInverter[[#This Row],[Active power TX2-INV-7]] &lt;= 0, Tabella01MarzoInverter[[#This Row],[Active power TX3-INV-4]] &lt;= 0),
    MIN(($H52 / 1000) * AH$10 * $BA$4, AH$11 * 0.876) * 0.25,
    IF(
        AND($H52 &gt; $BA$7, Tabella01MarzoInverter[[#This Row],[Active power TX2-INV-7]] &lt;= 0),
        Tabella01MarzoInverter[[#This Row],[Active power TX3-INV-4]] * 0.25,
        0
    )
    +
    IF(
        $N52 &lt; 0.875,
        MAX(0, MIN(($H52 / 1000) * AH$10 * $BA$4, AH$11 * 0.876) - (AH$11 * $N52)) * 0.25,
        0
    )
)</f>
        <v/>
      </c>
      <c r="AI52" s="117">
        <f>IF(
    AND($H52 &gt; $BA$7, Tabella01MarzoInverter[[#This Row],[Active power TX2-INV-8]] &lt;= 0, Tabella01MarzoInverter[[#This Row],[Active power TX3-INV-5]] &lt;= 0),
    MIN(($H52 / 1000) * AI$10 * $BA$4, AI$11 * 0.876) * 0.25,
    IF(
        AND($H52 &gt; $BA$7, Tabella01MarzoInverter[[#This Row],[Active power TX2-INV-8]] &lt;= 0),
        Tabella01MarzoInverter[[#This Row],[Active power TX3-INV-5]] * 0.25,
        0
    )
    +
    IF(
        $N52 &lt; 0.875,
        MAX(0, MIN(($H52 / 1000) * AI$10 * $BA$4, AI$11 * 0.876) - (AI$11 * $N52)) * 0.25,
        0
    )
)</f>
        <v/>
      </c>
      <c r="AJ52" s="117">
        <f>IF(
    AND($H52 &gt; $BA$7, Tabella01MarzoInverter[[#This Row],[Active power TX2-INV-9]] &lt;= 0, Tabella01MarzoInverter[[#This Row],[Active power TX3-INV-6]] &lt;= 0),
    MIN(($H52 / 1000) * AJ$10 * $BA$4, AJ$11 * 0.876) * 0.25,
    IF(
        AND($H52 &gt; $BA$7, Tabella01MarzoInverter[[#This Row],[Active power TX2-INV-9]] &lt;= 0),
        Tabella01MarzoInverter[[#This Row],[Active power TX3-INV-6]] * 0.25,
        0
    )
    +
    IF(
        $N52 &lt; 0.875,
        MAX(0, MIN(($H52 / 1000) * AJ$10 * $BA$4, AJ$11 * 0.876) - (AJ$11 * $N52)) * 0.25,
        0
    )
)</f>
        <v/>
      </c>
      <c r="AK52" s="117">
        <f>IF(
    AND($H52 &gt; $BA$7, Tabella01MarzoInverter[[#This Row],[Active power TX2-INV-10]] &lt;= 0, Tabella01MarzoInverter[[#This Row],[Active power TX3-INV-7]] &lt;= 0),
    MIN(($H52 / 1000) * AK$10 * $BA$4, AK$11 * 0.876) * 0.25,
    IF(
        AND($H52 &gt; $BA$7, Tabella01MarzoInverter[[#This Row],[Active power TX2-INV-10]] &lt;= 0),
        Tabella01MarzoInverter[[#This Row],[Active power TX3-INV-7]] * 0.25,
        0
    )
    +
    IF(
        $N52 &lt; 0.875,
        MAX(0, MIN(($H52 / 1000) * AK$10 * $BA$4, AK$11 * 0.876) - (AK$11 * $N52)) * 0.25,
        0
    )
)</f>
        <v/>
      </c>
      <c r="AL52" s="117">
        <f>IF(
    AND($H52 &gt; $BA$7, Tabella01MarzoInverter[[#This Row],[Active power TX2-INV-11]] &lt;= 0, Tabella01MarzoInverter[[#This Row],[Active power TX3-INV-8]] &lt;= 0),
    MIN(($H52 / 1000) * AL$10 * $BA$4, AL$11 * 0.876) * 0.25,
    IF(
        AND($H52 &gt; $BA$7, Tabella01MarzoInverter[[#This Row],[Active power TX2-INV-11]] &lt;= 0),
        Tabella01MarzoInverter[[#This Row],[Active power TX3-INV-8]] * 0.25,
        0
    )
    +
    IF(
        $N52 &lt; 0.875,
        MAX(0, MIN(($H52 / 1000) * AL$10 * $BA$4, AL$11 * 0.876) - (AL$11 * $N52)) * 0.25,
        0
    )
)</f>
        <v/>
      </c>
      <c r="AM52" s="117">
        <f>IF(
    AND($H52 &gt; $BA$7, Tabella01MarzoInverter[[#This Row],[Active power TX2-INV-12]] &lt;= 0, Tabella01MarzoInverter[[#This Row],[Active power TX3-INV-9]] &lt;= 0),
    MIN(($H52 / 1000) * AM$10 * $BA$4, AM$11 * 0.876) * 0.25,
    IF(
        AND($H52 &gt; $BA$7, Tabella01MarzoInverter[[#This Row],[Active power TX2-INV-12]] &lt;= 0),
        Tabella01MarzoInverter[[#This Row],[Active power TX3-INV-9]] * 0.25,
        0
    )
    +
    IF(
        $N52 &lt; 0.875,
        MAX(0, MIN(($H52 / 1000) * AM$10 * $BA$4, AM$11 * 0.876) - (AM$11 * $N52)) * 0.25,
        0
    )
)</f>
        <v/>
      </c>
      <c r="AN52" s="118">
        <f>SUM(TabellaMar2026[[#This Row],[Colonna39]:[Colonna6]])</f>
        <v/>
      </c>
      <c r="AO52" s="117">
        <f t="array" ref="AO52">IF(
    AND($H52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($H52 / 1000) * AO$10 * $BA$4 * 0.25
    ),
    0
)
+
IF(
    $N52 &lt; 0.875,
    MAX(0, MIN(($H52 / 1000) * AO$10 * $BA$4, AO$11 * 0.876) - (AO$11 * $N52)) * 0.25,
    0
)</f>
        <v/>
      </c>
      <c r="AP52" s="117">
        <f t="array" ref="AP52">IF(
    AND($H52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($H52 / 1000) * AP$10 * $BA$4 * 0.25
    ),
    0
)
+
IF(
    $N52 &lt; 0.875,
    MAX(0, MIN(($H52 / 1000) * AP$10 * $BA$4, AP$11 * 0.876) - (AP$11 * $N52)) * 0.25,
    0
)</f>
        <v/>
      </c>
      <c r="AQ52" s="117">
        <f t="array" ref="AQ52">IF(
    AND($H52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($H52 / 1000) * AQ$10 * $BA$4 * 0.25
    ),
    0
)
+
IF(
    $N52 &lt; 0.875,
    MAX(0, MIN(($H52 / 1000) * AQ$10 * $BA$4, AQ$11 * 0.876) - (AQ$11 * $N52)) * 0.25,
    0
)</f>
        <v/>
      </c>
      <c r="AR52" s="117">
        <f t="array" ref="AR52">IF(
    AND($H52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($H52 / 1000) * AR$10 * $BA$4 * 0.25
    ),
    0
)
+
IF(
    $N52 &lt; 0.875,
    MAX(0, MIN(($H52 / 1000) * AR$10 * $BA$4, AR$11 * 0.876) - (AR$11 * $N52)) * 0.25,
    0
)</f>
        <v/>
      </c>
      <c r="AS52" s="117">
        <f t="array" ref="AS52">IF(
    AND($H52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($H52 / 1000) * AS$10 * $BA$4 * 0.25
    ),
    0
)
+
IF(
    $N52 &lt; 0.875,
    MAX(0, MIN(($H52 / 1000) * AS$10 * $BA$4, AS$11 * 0.876) - (AS$11 * $N52)) * 0.25,
    0
)</f>
        <v/>
      </c>
      <c r="AT52" s="117">
        <f t="array" ref="AT52">IF(
    AND($H52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($H52 / 1000) * AT$10 * $BA$4 * 0.25
    ),
    0
)
+
IF(
    $N52 &lt; 0.875,
    MAX(0, MIN(($H52 / 1000) * AT$10 * $BA$4, AT$11 * 0.876) - (AT$11 * $N52)) * 0.25,
    0
)</f>
        <v/>
      </c>
      <c r="AU52" s="117">
        <f t="array" ref="AU52">IF(
    AND($H52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($H52 / 1000) * AU$10 * $BA$4 * 0.25
    ),
    0
)
+
IF(
    $N52 &lt; 0.875,
    MAX(0, MIN(($H52 / 1000) * AU$10 * $BA$4, AU$11 * 0.876) - (AU$11 * $N52)) * 0.25,
    0
)</f>
        <v/>
      </c>
      <c r="AV52" s="117">
        <f t="array" ref="AV52">IF(
    AND($H52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($H52 / 1000) * AV$10 * $BA$4 * 0.25
    ),
    0
)
+
IF(
    $N52 &lt; 0.875,
    MAX(0, MIN(($H52 / 1000) * AV$10 * $BA$4, AV$11 * 0.876) - (AV$11 * $N52)) * 0.25,
    0
)</f>
        <v/>
      </c>
      <c r="AW52" s="117">
        <f t="array" ref="AW52">IF(
    AND($H52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($H52 / 1000) * AW$10 * $BA$4 * 0.25
    ),
    0
)
+
IF(
    $N52 &lt; 0.875,
    MAX(0, MIN(($H52 / 1000) * AW$10 * $BA$4, AW$11 * 0.876) - (AW$11 * $N52)) * 0.25,
    0
)</f>
        <v/>
      </c>
      <c r="AX52" s="117">
        <f t="array" ref="AX52">IF(
    AND($H52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($H52 / 1000) * AX$10 * $BA$4 * 0.25
    ),
    0
)
+
IF(
    $N52 &lt; 0.875,
    MAX(0, MIN(($H52 / 1000) * AX$10 * $BA$4, AX$11 * 0.876) - (AX$11 * $N52)) * 0.25,
    0
)</f>
        <v/>
      </c>
      <c r="AY52" s="117">
        <f t="array" ref="AY52">IF(
    AND($H52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($H52 / 1000) * AY$10 * $BA$4 * 0.25
    ),
    0
)
+
IF(
    $N52 &lt; 0.875,
    MAX(0, MIN(($H52 / 1000) * AY$10 * $BA$4, AY$11 * 0.876) - (AY$11 * $N52)) * 0.25,
    0
)</f>
        <v/>
      </c>
      <c r="AZ52" s="117">
        <f t="array" ref="AZ52">IF(
    AND($H52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($H52 / 1000) * AZ$10 * $BA$4 * 0.25
    ),
    0
)
+
IF(
    $N52 &lt; 0.875,
    MAX(0, MIN(($H52 / 1000) * AZ$10 * $BA$4, AZ$11 * 0.876) - (AZ$11 * $N52)) * 0.25,
    0
)</f>
        <v/>
      </c>
      <c r="BA52" s="119">
        <f>SUM(TabellaMar2026[[#This Row],[Colonna54]:[Colonna53]])</f>
        <v/>
      </c>
    </row>
    <row r="53">
      <c r="A53" s="112" t="n">
        <v>46143</v>
      </c>
      <c r="B53" t="inlineStr">
        <is>
          <t>09:30:00.000</t>
        </is>
      </c>
      <c r="C53" s="2" t="n">
        <v>590.3</v>
      </c>
      <c r="D53" s="113" t="n">
        <v>0.147575</v>
      </c>
      <c r="E53" s="113" t="n">
        <v>669.1</v>
      </c>
      <c r="F53" s="113" t="n">
        <v>0.167275</v>
      </c>
      <c r="G53" s="113">
        <f>IFERROR((D53+F53)/2, 0)</f>
        <v/>
      </c>
      <c r="H53" s="114">
        <f>IFERROR(IF(AVERAGE(C53,E53)&gt;$BA$7,AVERAGE(C53,E53),0), 0)</f>
        <v/>
      </c>
      <c r="I53" s="114">
        <f>IFERROR(IF(AND(D53=0,F53=0),0,IF(H53&gt;$BA$6,MAX(D53,F53),G53)), 0)</f>
        <v/>
      </c>
      <c r="J53" s="113">
        <f>IFERROR(IF(AND(D53&gt;0,F53&gt;0),ABS(D53-F53)/AVERAGE(D53,F53),0), 0)</f>
        <v/>
      </c>
      <c r="K53" s="113" t="n">
        <v>30109.4</v>
      </c>
      <c r="L53" s="113" t="n">
        <v>30111.3</v>
      </c>
      <c r="M53" s="115">
        <f>IFERROR((L53-K53)*1000, 0)</f>
        <v/>
      </c>
      <c r="N53" s="113" t="n">
        <v>0.8759999999999999</v>
      </c>
      <c r="O53" s="115">
        <f t="array" ref="O53">IF(
    AND($H53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($H53 / 1000) * O$10 * $BA$4 * 0.25
    ),
    0
)
+
IF(
    $N53 &lt; 0.875,
    MAX(0, MIN(($H53 / 1000) * O$10 * $BA$4, O$11 * 0.876) - (O$11 * $N53)) * 0.25,
    0
)</f>
        <v/>
      </c>
      <c r="P53" s="115">
        <f t="array" ref="P53">IF(
    AND($H53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($H53 / 1000) * P$10 * $BA$4 * 0.25
    ),
    0
)
+
IF(
    $N53 &lt; 0.875,
    MAX(0, MIN(($H53 / 1000) * P$10 * $BA$4, P$11 * 0.876) - (P$11 * $N53)) * 0.25,
    0
)</f>
        <v/>
      </c>
      <c r="Q53" s="115">
        <f t="array" ref="Q53">IF(
    AND($H53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($H53 / 1000) * Q$10 * $BA$4 * 0.25
    ),
    0
)
+
IF(
    $N53 &lt; 0.875,
    MAX(0, MIN(($H53 / 1000) * Q$10 * $BA$4, Q$11 * 0.876) - (Q$11 * $N53)) * 0.25,
    0
)</f>
        <v/>
      </c>
      <c r="R53" s="115">
        <f t="array" ref="R53">IF(
    AND($H53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($H53 / 1000) * R$10 * $BA$4 * 0.25
    ),
    0
)
+
IF(
    $N53 &lt; 0.875,
    MAX(0, MIN(($H53 / 1000) * R$10 * $BA$4, R$11 * 0.876) - (R$11 * $N53)) * 0.25,
    0
)</f>
        <v/>
      </c>
      <c r="S53" s="115">
        <f t="array" ref="S53">IF(
    AND($H53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($H53 / 1000) * S$10 * $BA$4 * 0.25
    ),
    0
)
+
IF(
    $N53 &lt; 0.875,
    MAX(0, MIN(($H53 / 1000) * S$10 * $BA$4, S$11 * 0.876) - (S$11 * $N53)) * 0.25,
    0
)</f>
        <v/>
      </c>
      <c r="T53" s="115">
        <f t="array" ref="T53">IF(
    AND($H53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($H53 / 1000) * T$10 * $BA$4 * 0.25
    ),
    0
)
+
IF(
    $N53 &lt; 0.875,
    MAX(0, MIN(($H53 / 1000) * T$10 * $BA$4, T$11 * 0.876) - (T$11 * $N53)) * 0.25,
    0
)</f>
        <v/>
      </c>
      <c r="U53" s="115">
        <f t="array" ref="U53">IF(
    AND($H53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($H53 / 1000) * U$10 * $BA$4 * 0.25
    ),
    0
)
+
IF(
    $N53 &lt; 0.875,
    MAX(0, MIN(($H53 / 1000) * U$10 * $BA$4, U$11 * 0.876) - (U$11 * $N53)) * 0.25,
    0
)</f>
        <v/>
      </c>
      <c r="V53" s="115">
        <f t="array" ref="V53">IF(
    AND($H53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($H53 / 1000) * V$10 * $BA$4 * 0.25
    ),
    0
)
+
IF(
    $N53 &lt; 0.875,
    MAX(0, MIN(($H53 / 1000) * V$10 * $BA$4, V$11 * 0.876) - (V$11 * $N53)) * 0.25,
    0
)</f>
        <v/>
      </c>
      <c r="W53" s="115">
        <f t="array" ref="W53">IF(
    AND($H53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($H53 / 1000) * W$10 * $BA$4 * 0.25
    ),
    0
)
+
IF(
    $N53 &lt; 0.875,
    MAX(0, MIN(($H53 / 1000) * W$10 * $BA$4, W$11 * 0.876) - (W$11 * $N53)) * 0.25,
    0
)</f>
        <v/>
      </c>
      <c r="X53" s="115">
        <f t="array" ref="X53">IF(
    AND($H53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($H53 / 1000) * X$10 * $BA$4 * 0.25
    ),
    0
)
+
IF(
    $N53 &lt; 0.875,
    MAX(0, MIN(($H53 / 1000) * X$10 * $BA$4, X$11 * 0.876) - (X$11 * $N53)) * 0.25,
    0
)</f>
        <v/>
      </c>
      <c r="Y53" s="115">
        <f t="array" ref="Y53">IF(
    AND($H53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($H53 / 1000) * Y$10 * $BA$4 * 0.25
    ),
    0
)
+
IF(
    $N53 &lt; 0.875,
    MAX(0, MIN(($H53 / 1000) * Y$10 * $BA$4, Y$11 * 0.876) - (Y$11 * $N53)) * 0.25,
    0
)</f>
        <v/>
      </c>
      <c r="Z53" s="115">
        <f t="array" ref="Z53">IF(
    AND($H53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($H53 / 1000) * Z$10 * $BA$4 * 0.25
    ),
    0
)
+
IF(
    $N53 &lt; 0.875,
    MAX(0, MIN(($H53 / 1000) * Z$10 * $BA$4, Z$11 * 0.876) - (Z$11 * $N53)) * 0.25,
    0
)</f>
        <v/>
      </c>
      <c r="AA53" s="116">
        <f>SUM(TabellaMar2026[[#This Row],[Colonna24]:[Colonna20]])</f>
        <v/>
      </c>
      <c r="AB53" s="117">
        <f>IF(
    AND($H53 &gt; $BA$7, Tabella01MarzoInverter[[#This Row],[Active power TX2-INV-1]] &lt;= 0, Tabella01MarzoInverter[[#This Row],[TX2 - Average Power]] &lt;= 0),
    MIN(($H53 / 1000) * AB$10 * $BA$4, AB$11 * 0.876) * 0.25,
    IF(
        AND($H53 &gt; $BA$7, Tabella01MarzoInverter[[#This Row],[Active power TX2-INV-1]] &lt;= 0),
        Tabella01MarzoInverter[[#This Row],[TX2 - Average Power]] * 0.25,
        0
    )
    +
    IF(
        $N53 &lt; 0.875,
        MAX(0, MIN(($H53 / 1000) * AB$10 * $BA$4, AB$11 * 0.876) - (AB$11 * $N53)) * 0.25,
        0
    )
)</f>
        <v/>
      </c>
      <c r="AC53" s="117">
        <f>IF(
    AND($H53 &gt; $BA$7, Tabella01MarzoInverter[[#This Row],[Active power TX2-INV-2]] &lt;= 0, Tabella01MarzoInverter[[#This Row],[TX2 - Max Power]] &lt;= 0),
    MIN(($H53 / 1000) * AC$10 * $BA$4, AC$11 * 0.876) * 0.25,
    IF(
        AND($H53 &gt; $BA$7, Tabella01MarzoInverter[[#This Row],[Active power TX2-INV-2]] &lt;= 0),
        Tabella01MarzoInverter[[#This Row],[TX2 - Max Power]] * 0.25,
        0
    )
    +
    IF(
        $N53 &lt; 0.875,
        MAX(0, MIN(($H53 / 1000) * AC$10 * $BA$4, AC$11 * 0.876) - (AC$11 * $N53)) * 0.25,
        0
    )
)</f>
        <v/>
      </c>
      <c r="AD53" s="117">
        <f>IF(
    AND($H53 &gt; $BA$7, Tabella01MarzoInverter[[#This Row],[Active power TX2-INV-3]] &lt;= 0, Tabella01MarzoInverter[[#This Row],[TX2 - Min Power]] &lt;= 0),
    MIN(($H53 / 1000) * AD$10 * $BA$4, AD$11 * 0.876) * 0.25,
    IF(
        AND($H53 &gt; $BA$7, Tabella01MarzoInverter[[#This Row],[Active power TX2-INV-3]] &lt;= 0),
        Tabella01MarzoInverter[[#This Row],[TX2 - Min Power]] * 0.25,
        0
    )
    +
    IF(
        $N53 &lt; 0.875,
        MAX(0, MIN(($H53 / 1000) * AD$10 * $BA$4, AD$11 * 0.876) - (AD$11 * $N53)) * 0.25,
        0
    )
)</f>
        <v/>
      </c>
      <c r="AE53" s="117">
        <f>IF(
    AND($H53 &gt; $BA$7, Tabella01MarzoInverter[[#This Row],[Active power TX2-INV-4]] &lt;= 0, Tabella01MarzoInverter[[#This Row],[Active power TX3-INV-1]] &lt;= 0),
    MIN(($H53 / 1000) * AE$10 * $BA$4, AE$11 * 0.876) * 0.25,
    IF(
        AND($H53 &gt; $BA$7, Tabella01MarzoInverter[[#This Row],[Active power TX2-INV-4]] &lt;= 0),
        Tabella01MarzoInverter[[#This Row],[Active power TX3-INV-1]] * 0.25,
        0
    )
    +
    IF(
        $N53 &lt; 0.875,
        MAX(0, MIN(($H53 / 1000) * AE$10 * $BA$4, AE$11 * 0.876) - (AE$11 * $N53)) * 0.25,
        0
    )
)</f>
        <v/>
      </c>
      <c r="AF53" s="117">
        <f>IF(
    AND($H53 &gt; $BA$7, Tabella01MarzoInverter[[#This Row],[Active power TX2-INV-5]] &lt;= 0, Tabella01MarzoInverter[[#This Row],[Active power TX3-INV-2]] &lt;= 0),
    MIN(($H53 / 1000) * AF$10 * $BA$4, AF$11 * 0.876) * 0.25,
    IF(
        AND($H53 &gt; $BA$7, Tabella01MarzoInverter[[#This Row],[Active power TX2-INV-5]] &lt;= 0),
        Tabella01MarzoInverter[[#This Row],[Active power TX3-INV-2]] * 0.25,
        0
    )
    +
    IF(
        $N53 &lt; 0.875,
        MAX(0, MIN(($H53 / 1000) * AF$10 * $BA$4, AF$11 * 0.876) - (AF$11 * $N53)) * 0.25,
        0
    )
)</f>
        <v/>
      </c>
      <c r="AG53" s="117">
        <f>IF(
    AND($H53 &gt; $BA$7, Tabella01MarzoInverter[[#This Row],[Active power TX2-INV-6]] &lt;= 0, Tabella01MarzoInverter[[#This Row],[Active power TX3-INV-3]] &lt;= 0),
    MIN(($H53 / 1000) * AG$10 * $BA$4, AG$11 * 0.876) * 0.25,
    IF(
        AND($H53 &gt; $BA$7, Tabella01MarzoInverter[[#This Row],[Active power TX2-INV-6]] &lt;= 0),
        Tabella01MarzoInverter[[#This Row],[Active power TX3-INV-3]] * 0.25,
        0
    )
    +
    IF(
        $N53 &lt; 0.875,
        MAX(0, MIN(($H53 / 1000) * AG$10 * $BA$4, AG$11 * 0.876) - (AG$11 * $N53)) * 0.25,
        0
    )
)</f>
        <v/>
      </c>
      <c r="AH53" s="117">
        <f>IF(
    AND($H53 &gt; $BA$7, Tabella01MarzoInverter[[#This Row],[Active power TX2-INV-7]] &lt;= 0, Tabella01MarzoInverter[[#This Row],[Active power TX3-INV-4]] &lt;= 0),
    MIN(($H53 / 1000) * AH$10 * $BA$4, AH$11 * 0.876) * 0.25,
    IF(
        AND($H53 &gt; $BA$7, Tabella01MarzoInverter[[#This Row],[Active power TX2-INV-7]] &lt;= 0),
        Tabella01MarzoInverter[[#This Row],[Active power TX3-INV-4]] * 0.25,
        0
    )
    +
    IF(
        $N53 &lt; 0.875,
        MAX(0, MIN(($H53 / 1000) * AH$10 * $BA$4, AH$11 * 0.876) - (AH$11 * $N53)) * 0.25,
        0
    )
)</f>
        <v/>
      </c>
      <c r="AI53" s="117">
        <f>IF(
    AND($H53 &gt; $BA$7, Tabella01MarzoInverter[[#This Row],[Active power TX2-INV-8]] &lt;= 0, Tabella01MarzoInverter[[#This Row],[Active power TX3-INV-5]] &lt;= 0),
    MIN(($H53 / 1000) * AI$10 * $BA$4, AI$11 * 0.876) * 0.25,
    IF(
        AND($H53 &gt; $BA$7, Tabella01MarzoInverter[[#This Row],[Active power TX2-INV-8]] &lt;= 0),
        Tabella01MarzoInverter[[#This Row],[Active power TX3-INV-5]] * 0.25,
        0
    )
    +
    IF(
        $N53 &lt; 0.875,
        MAX(0, MIN(($H53 / 1000) * AI$10 * $BA$4, AI$11 * 0.876) - (AI$11 * $N53)) * 0.25,
        0
    )
)</f>
        <v/>
      </c>
      <c r="AJ53" s="117">
        <f>IF(
    AND($H53 &gt; $BA$7, Tabella01MarzoInverter[[#This Row],[Active power TX2-INV-9]] &lt;= 0, Tabella01MarzoInverter[[#This Row],[Active power TX3-INV-6]] &lt;= 0),
    MIN(($H53 / 1000) * AJ$10 * $BA$4, AJ$11 * 0.876) * 0.25,
    IF(
        AND($H53 &gt; $BA$7, Tabella01MarzoInverter[[#This Row],[Active power TX2-INV-9]] &lt;= 0),
        Tabella01MarzoInverter[[#This Row],[Active power TX3-INV-6]] * 0.25,
        0
    )
    +
    IF(
        $N53 &lt; 0.875,
        MAX(0, MIN(($H53 / 1000) * AJ$10 * $BA$4, AJ$11 * 0.876) - (AJ$11 * $N53)) * 0.25,
        0
    )
)</f>
        <v/>
      </c>
      <c r="AK53" s="117">
        <f>IF(
    AND($H53 &gt; $BA$7, Tabella01MarzoInverter[[#This Row],[Active power TX2-INV-10]] &lt;= 0, Tabella01MarzoInverter[[#This Row],[Active power TX3-INV-7]] &lt;= 0),
    MIN(($H53 / 1000) * AK$10 * $BA$4, AK$11 * 0.876) * 0.25,
    IF(
        AND($H53 &gt; $BA$7, Tabella01MarzoInverter[[#This Row],[Active power TX2-INV-10]] &lt;= 0),
        Tabella01MarzoInverter[[#This Row],[Active power TX3-INV-7]] * 0.25,
        0
    )
    +
    IF(
        $N53 &lt; 0.875,
        MAX(0, MIN(($H53 / 1000) * AK$10 * $BA$4, AK$11 * 0.876) - (AK$11 * $N53)) * 0.25,
        0
    )
)</f>
        <v/>
      </c>
      <c r="AL53" s="117">
        <f>IF(
    AND($H53 &gt; $BA$7, Tabella01MarzoInverter[[#This Row],[Active power TX2-INV-11]] &lt;= 0, Tabella01MarzoInverter[[#This Row],[Active power TX3-INV-8]] &lt;= 0),
    MIN(($H53 / 1000) * AL$10 * $BA$4, AL$11 * 0.876) * 0.25,
    IF(
        AND($H53 &gt; $BA$7, Tabella01MarzoInverter[[#This Row],[Active power TX2-INV-11]] &lt;= 0),
        Tabella01MarzoInverter[[#This Row],[Active power TX3-INV-8]] * 0.25,
        0
    )
    +
    IF(
        $N53 &lt; 0.875,
        MAX(0, MIN(($H53 / 1000) * AL$10 * $BA$4, AL$11 * 0.876) - (AL$11 * $N53)) * 0.25,
        0
    )
)</f>
        <v/>
      </c>
      <c r="AM53" s="117">
        <f>IF(
    AND($H53 &gt; $BA$7, Tabella01MarzoInverter[[#This Row],[Active power TX2-INV-12]] &lt;= 0, Tabella01MarzoInverter[[#This Row],[Active power TX3-INV-9]] &lt;= 0),
    MIN(($H53 / 1000) * AM$10 * $BA$4, AM$11 * 0.876) * 0.25,
    IF(
        AND($H53 &gt; $BA$7, Tabella01MarzoInverter[[#This Row],[Active power TX2-INV-12]] &lt;= 0),
        Tabella01MarzoInverter[[#This Row],[Active power TX3-INV-9]] * 0.25,
        0
    )
    +
    IF(
        $N53 &lt; 0.875,
        MAX(0, MIN(($H53 / 1000) * AM$10 * $BA$4, AM$11 * 0.876) - (AM$11 * $N53)) * 0.25,
        0
    )
)</f>
        <v/>
      </c>
      <c r="AN53" s="118">
        <f>SUM(TabellaMar2026[[#This Row],[Colonna39]:[Colonna6]])</f>
        <v/>
      </c>
      <c r="AO53" s="117">
        <f t="array" ref="AO53">IF(
    AND($H53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($H53 / 1000) * AO$10 * $BA$4 * 0.25
    ),
    0
)
+
IF(
    $N53 &lt; 0.875,
    MAX(0, MIN(($H53 / 1000) * AO$10 * $BA$4, AO$11 * 0.876) - (AO$11 * $N53)) * 0.25,
    0
)</f>
        <v/>
      </c>
      <c r="AP53" s="117">
        <f t="array" ref="AP53">IF(
    AND($H53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($H53 / 1000) * AP$10 * $BA$4 * 0.25
    ),
    0
)
+
IF(
    $N53 &lt; 0.875,
    MAX(0, MIN(($H53 / 1000) * AP$10 * $BA$4, AP$11 * 0.876) - (AP$11 * $N53)) * 0.25,
    0
)</f>
        <v/>
      </c>
      <c r="AQ53" s="117">
        <f t="array" ref="AQ53">IF(
    AND($H53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($H53 / 1000) * AQ$10 * $BA$4 * 0.25
    ),
    0
)
+
IF(
    $N53 &lt; 0.875,
    MAX(0, MIN(($H53 / 1000) * AQ$10 * $BA$4, AQ$11 * 0.876) - (AQ$11 * $N53)) * 0.25,
    0
)</f>
        <v/>
      </c>
      <c r="AR53" s="117">
        <f t="array" ref="AR53">IF(
    AND($H53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($H53 / 1000) * AR$10 * $BA$4 * 0.25
    ),
    0
)
+
IF(
    $N53 &lt; 0.875,
    MAX(0, MIN(($H53 / 1000) * AR$10 * $BA$4, AR$11 * 0.876) - (AR$11 * $N53)) * 0.25,
    0
)</f>
        <v/>
      </c>
      <c r="AS53" s="117">
        <f t="array" ref="AS53">IF(
    AND($H53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($H53 / 1000) * AS$10 * $BA$4 * 0.25
    ),
    0
)
+
IF(
    $N53 &lt; 0.875,
    MAX(0, MIN(($H53 / 1000) * AS$10 * $BA$4, AS$11 * 0.876) - (AS$11 * $N53)) * 0.25,
    0
)</f>
        <v/>
      </c>
      <c r="AT53" s="117">
        <f t="array" ref="AT53">IF(
    AND($H53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($H53 / 1000) * AT$10 * $BA$4 * 0.25
    ),
    0
)
+
IF(
    $N53 &lt; 0.875,
    MAX(0, MIN(($H53 / 1000) * AT$10 * $BA$4, AT$11 * 0.876) - (AT$11 * $N53)) * 0.25,
    0
)</f>
        <v/>
      </c>
      <c r="AU53" s="117">
        <f t="array" ref="AU53">IF(
    AND($H53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($H53 / 1000) * AU$10 * $BA$4 * 0.25
    ),
    0
)
+
IF(
    $N53 &lt; 0.875,
    MAX(0, MIN(($H53 / 1000) * AU$10 * $BA$4, AU$11 * 0.876) - (AU$11 * $N53)) * 0.25,
    0
)</f>
        <v/>
      </c>
      <c r="AV53" s="117">
        <f t="array" ref="AV53">IF(
    AND($H53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($H53 / 1000) * AV$10 * $BA$4 * 0.25
    ),
    0
)
+
IF(
    $N53 &lt; 0.875,
    MAX(0, MIN(($H53 / 1000) * AV$10 * $BA$4, AV$11 * 0.876) - (AV$11 * $N53)) * 0.25,
    0
)</f>
        <v/>
      </c>
      <c r="AW53" s="117">
        <f t="array" ref="AW53">IF(
    AND($H53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($H53 / 1000) * AW$10 * $BA$4 * 0.25
    ),
    0
)
+
IF(
    $N53 &lt; 0.875,
    MAX(0, MIN(($H53 / 1000) * AW$10 * $BA$4, AW$11 * 0.876) - (AW$11 * $N53)) * 0.25,
    0
)</f>
        <v/>
      </c>
      <c r="AX53" s="117">
        <f t="array" ref="AX53">IF(
    AND($H53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($H53 / 1000) * AX$10 * $BA$4 * 0.25
    ),
    0
)
+
IF(
    $N53 &lt; 0.875,
    MAX(0, MIN(($H53 / 1000) * AX$10 * $BA$4, AX$11 * 0.876) - (AX$11 * $N53)) * 0.25,
    0
)</f>
        <v/>
      </c>
      <c r="AY53" s="117">
        <f t="array" ref="AY53">IF(
    AND($H53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($H53 / 1000) * AY$10 * $BA$4 * 0.25
    ),
    0
)
+
IF(
    $N53 &lt; 0.875,
    MAX(0, MIN(($H53 / 1000) * AY$10 * $BA$4, AY$11 * 0.876) - (AY$11 * $N53)) * 0.25,
    0
)</f>
        <v/>
      </c>
      <c r="AZ53" s="117">
        <f t="array" ref="AZ53">IF(
    AND($H53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($H53 / 1000) * AZ$10 * $BA$4 * 0.25
    ),
    0
)
+
IF(
    $N53 &lt; 0.875,
    MAX(0, MIN(($H53 / 1000) * AZ$10 * $BA$4, AZ$11 * 0.876) - (AZ$11 * $N53)) * 0.25,
    0
)</f>
        <v/>
      </c>
      <c r="BA53" s="119">
        <f>SUM(TabellaMar2026[[#This Row],[Colonna54]:[Colonna53]])</f>
        <v/>
      </c>
    </row>
    <row r="54">
      <c r="A54" s="112" t="n">
        <v>46143</v>
      </c>
      <c r="B54" t="inlineStr">
        <is>
          <t>09:45:00.000</t>
        </is>
      </c>
      <c r="C54" s="2" t="n">
        <v>911.1</v>
      </c>
      <c r="D54" s="113" t="n">
        <v>0.227775</v>
      </c>
      <c r="E54" s="113" t="n">
        <v>874.7</v>
      </c>
      <c r="F54" s="113" t="n">
        <v>0.218675</v>
      </c>
      <c r="G54" s="113">
        <f>IFERROR((D54+F54)/2, 0)</f>
        <v/>
      </c>
      <c r="H54" s="114">
        <f>IFERROR(IF(AVERAGE(C54,E54)&gt;$BA$7,AVERAGE(C54,E54),0), 0)</f>
        <v/>
      </c>
      <c r="I54" s="114">
        <f>IFERROR(IF(AND(D54=0,F54=0),0,IF(H54&gt;$BA$6,MAX(D54,F54),G54)), 0)</f>
        <v/>
      </c>
      <c r="J54" s="113">
        <f>IFERROR(IF(AND(D54&gt;0,F54&gt;0),ABS(D54-F54)/AVERAGE(D54,F54),0), 0)</f>
        <v/>
      </c>
      <c r="K54" s="113" t="n">
        <v>30111.3</v>
      </c>
      <c r="L54" s="113" t="n">
        <v>30113.4</v>
      </c>
      <c r="M54" s="115">
        <f>IFERROR((L54-K54)*1000, 0)</f>
        <v/>
      </c>
      <c r="N54" s="113" t="n">
        <v>0.8759999999999999</v>
      </c>
      <c r="O54" s="115">
        <f t="array" ref="O54">IF(
    AND($H54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($H54 / 1000) * O$10 * $BA$4 * 0.25
    ),
    0
)
+
IF(
    $N54 &lt; 0.875,
    MAX(0, MIN(($H54 / 1000) * O$10 * $BA$4, O$11 * 0.876) - (O$11 * $N54)) * 0.25,
    0
)</f>
        <v/>
      </c>
      <c r="P54" s="115">
        <f t="array" ref="P54">IF(
    AND($H54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($H54 / 1000) * P$10 * $BA$4 * 0.25
    ),
    0
)
+
IF(
    $N54 &lt; 0.875,
    MAX(0, MIN(($H54 / 1000) * P$10 * $BA$4, P$11 * 0.876) - (P$11 * $N54)) * 0.25,
    0
)</f>
        <v/>
      </c>
      <c r="Q54" s="115">
        <f t="array" ref="Q54">IF(
    AND($H54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($H54 / 1000) * Q$10 * $BA$4 * 0.25
    ),
    0
)
+
IF(
    $N54 &lt; 0.875,
    MAX(0, MIN(($H54 / 1000) * Q$10 * $BA$4, Q$11 * 0.876) - (Q$11 * $N54)) * 0.25,
    0
)</f>
        <v/>
      </c>
      <c r="R54" s="115">
        <f t="array" ref="R54">IF(
    AND($H54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($H54 / 1000) * R$10 * $BA$4 * 0.25
    ),
    0
)
+
IF(
    $N54 &lt; 0.875,
    MAX(0, MIN(($H54 / 1000) * R$10 * $BA$4, R$11 * 0.876) - (R$11 * $N54)) * 0.25,
    0
)</f>
        <v/>
      </c>
      <c r="S54" s="115">
        <f t="array" ref="S54">IF(
    AND($H54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($H54 / 1000) * S$10 * $BA$4 * 0.25
    ),
    0
)
+
IF(
    $N54 &lt; 0.875,
    MAX(0, MIN(($H54 / 1000) * S$10 * $BA$4, S$11 * 0.876) - (S$11 * $N54)) * 0.25,
    0
)</f>
        <v/>
      </c>
      <c r="T54" s="115">
        <f t="array" ref="T54">IF(
    AND($H54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($H54 / 1000) * T$10 * $BA$4 * 0.25
    ),
    0
)
+
IF(
    $N54 &lt; 0.875,
    MAX(0, MIN(($H54 / 1000) * T$10 * $BA$4, T$11 * 0.876) - (T$11 * $N54)) * 0.25,
    0
)</f>
        <v/>
      </c>
      <c r="U54" s="115">
        <f t="array" ref="U54">IF(
    AND($H54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($H54 / 1000) * U$10 * $BA$4 * 0.25
    ),
    0
)
+
IF(
    $N54 &lt; 0.875,
    MAX(0, MIN(($H54 / 1000) * U$10 * $BA$4, U$11 * 0.876) - (U$11 * $N54)) * 0.25,
    0
)</f>
        <v/>
      </c>
      <c r="V54" s="115">
        <f t="array" ref="V54">IF(
    AND($H54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($H54 / 1000) * V$10 * $BA$4 * 0.25
    ),
    0
)
+
IF(
    $N54 &lt; 0.875,
    MAX(0, MIN(($H54 / 1000) * V$10 * $BA$4, V$11 * 0.876) - (V$11 * $N54)) * 0.25,
    0
)</f>
        <v/>
      </c>
      <c r="W54" s="115">
        <f t="array" ref="W54">IF(
    AND($H54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($H54 / 1000) * W$10 * $BA$4 * 0.25
    ),
    0
)
+
IF(
    $N54 &lt; 0.875,
    MAX(0, MIN(($H54 / 1000) * W$10 * $BA$4, W$11 * 0.876) - (W$11 * $N54)) * 0.25,
    0
)</f>
        <v/>
      </c>
      <c r="X54" s="115">
        <f t="array" ref="X54">IF(
    AND($H54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($H54 / 1000) * X$10 * $BA$4 * 0.25
    ),
    0
)
+
IF(
    $N54 &lt; 0.875,
    MAX(0, MIN(($H54 / 1000) * X$10 * $BA$4, X$11 * 0.876) - (X$11 * $N54)) * 0.25,
    0
)</f>
        <v/>
      </c>
      <c r="Y54" s="115">
        <f t="array" ref="Y54">IF(
    AND($H54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($H54 / 1000) * Y$10 * $BA$4 * 0.25
    ),
    0
)
+
IF(
    $N54 &lt; 0.875,
    MAX(0, MIN(($H54 / 1000) * Y$10 * $BA$4, Y$11 * 0.876) - (Y$11 * $N54)) * 0.25,
    0
)</f>
        <v/>
      </c>
      <c r="Z54" s="115">
        <f t="array" ref="Z54">IF(
    AND($H54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($H54 / 1000) * Z$10 * $BA$4 * 0.25
    ),
    0
)
+
IF(
    $N54 &lt; 0.875,
    MAX(0, MIN(($H54 / 1000) * Z$10 * $BA$4, Z$11 * 0.876) - (Z$11 * $N54)) * 0.25,
    0
)</f>
        <v/>
      </c>
      <c r="AA54" s="116">
        <f>SUM(TabellaMar2026[[#This Row],[Colonna24]:[Colonna20]])</f>
        <v/>
      </c>
      <c r="AB54" s="117">
        <f>IF(
    AND($H54 &gt; $BA$7, Tabella01MarzoInverter[[#This Row],[Active power TX2-INV-1]] &lt;= 0, Tabella01MarzoInverter[[#This Row],[TX2 - Average Power]] &lt;= 0),
    MIN(($H54 / 1000) * AB$10 * $BA$4, AB$11 * 0.876) * 0.25,
    IF(
        AND($H54 &gt; $BA$7, Tabella01MarzoInverter[[#This Row],[Active power TX2-INV-1]] &lt;= 0),
        Tabella01MarzoInverter[[#This Row],[TX2 - Average Power]] * 0.25,
        0
    )
    +
    IF(
        $N54 &lt; 0.875,
        MAX(0, MIN(($H54 / 1000) * AB$10 * $BA$4, AB$11 * 0.876) - (AB$11 * $N54)) * 0.25,
        0
    )
)</f>
        <v/>
      </c>
      <c r="AC54" s="117">
        <f>IF(
    AND($H54 &gt; $BA$7, Tabella01MarzoInverter[[#This Row],[Active power TX2-INV-2]] &lt;= 0, Tabella01MarzoInverter[[#This Row],[TX2 - Max Power]] &lt;= 0),
    MIN(($H54 / 1000) * AC$10 * $BA$4, AC$11 * 0.876) * 0.25,
    IF(
        AND($H54 &gt; $BA$7, Tabella01MarzoInverter[[#This Row],[Active power TX2-INV-2]] &lt;= 0),
        Tabella01MarzoInverter[[#This Row],[TX2 - Max Power]] * 0.25,
        0
    )
    +
    IF(
        $N54 &lt; 0.875,
        MAX(0, MIN(($H54 / 1000) * AC$10 * $BA$4, AC$11 * 0.876) - (AC$11 * $N54)) * 0.25,
        0
    )
)</f>
        <v/>
      </c>
      <c r="AD54" s="117">
        <f>IF(
    AND($H54 &gt; $BA$7, Tabella01MarzoInverter[[#This Row],[Active power TX2-INV-3]] &lt;= 0, Tabella01MarzoInverter[[#This Row],[TX2 - Min Power]] &lt;= 0),
    MIN(($H54 / 1000) * AD$10 * $BA$4, AD$11 * 0.876) * 0.25,
    IF(
        AND($H54 &gt; $BA$7, Tabella01MarzoInverter[[#This Row],[Active power TX2-INV-3]] &lt;= 0),
        Tabella01MarzoInverter[[#This Row],[TX2 - Min Power]] * 0.25,
        0
    )
    +
    IF(
        $N54 &lt; 0.875,
        MAX(0, MIN(($H54 / 1000) * AD$10 * $BA$4, AD$11 * 0.876) - (AD$11 * $N54)) * 0.25,
        0
    )
)</f>
        <v/>
      </c>
      <c r="AE54" s="117">
        <f>IF(
    AND($H54 &gt; $BA$7, Tabella01MarzoInverter[[#This Row],[Active power TX2-INV-4]] &lt;= 0, Tabella01MarzoInverter[[#This Row],[Active power TX3-INV-1]] &lt;= 0),
    MIN(($H54 / 1000) * AE$10 * $BA$4, AE$11 * 0.876) * 0.25,
    IF(
        AND($H54 &gt; $BA$7, Tabella01MarzoInverter[[#This Row],[Active power TX2-INV-4]] &lt;= 0),
        Tabella01MarzoInverter[[#This Row],[Active power TX3-INV-1]] * 0.25,
        0
    )
    +
    IF(
        $N54 &lt; 0.875,
        MAX(0, MIN(($H54 / 1000) * AE$10 * $BA$4, AE$11 * 0.876) - (AE$11 * $N54)) * 0.25,
        0
    )
)</f>
        <v/>
      </c>
      <c r="AF54" s="117">
        <f>IF(
    AND($H54 &gt; $BA$7, Tabella01MarzoInverter[[#This Row],[Active power TX2-INV-5]] &lt;= 0, Tabella01MarzoInverter[[#This Row],[Active power TX3-INV-2]] &lt;= 0),
    MIN(($H54 / 1000) * AF$10 * $BA$4, AF$11 * 0.876) * 0.25,
    IF(
        AND($H54 &gt; $BA$7, Tabella01MarzoInverter[[#This Row],[Active power TX2-INV-5]] &lt;= 0),
        Tabella01MarzoInverter[[#This Row],[Active power TX3-INV-2]] * 0.25,
        0
    )
    +
    IF(
        $N54 &lt; 0.875,
        MAX(0, MIN(($H54 / 1000) * AF$10 * $BA$4, AF$11 * 0.876) - (AF$11 * $N54)) * 0.25,
        0
    )
)</f>
        <v/>
      </c>
      <c r="AG54" s="117">
        <f>IF(
    AND($H54 &gt; $BA$7, Tabella01MarzoInverter[[#This Row],[Active power TX2-INV-6]] &lt;= 0, Tabella01MarzoInverter[[#This Row],[Active power TX3-INV-3]] &lt;= 0),
    MIN(($H54 / 1000) * AG$10 * $BA$4, AG$11 * 0.876) * 0.25,
    IF(
        AND($H54 &gt; $BA$7, Tabella01MarzoInverter[[#This Row],[Active power TX2-INV-6]] &lt;= 0),
        Tabella01MarzoInverter[[#This Row],[Active power TX3-INV-3]] * 0.25,
        0
    )
    +
    IF(
        $N54 &lt; 0.875,
        MAX(0, MIN(($H54 / 1000) * AG$10 * $BA$4, AG$11 * 0.876) - (AG$11 * $N54)) * 0.25,
        0
    )
)</f>
        <v/>
      </c>
      <c r="AH54" s="117">
        <f>IF(
    AND($H54 &gt; $BA$7, Tabella01MarzoInverter[[#This Row],[Active power TX2-INV-7]] &lt;= 0, Tabella01MarzoInverter[[#This Row],[Active power TX3-INV-4]] &lt;= 0),
    MIN(($H54 / 1000) * AH$10 * $BA$4, AH$11 * 0.876) * 0.25,
    IF(
        AND($H54 &gt; $BA$7, Tabella01MarzoInverter[[#This Row],[Active power TX2-INV-7]] &lt;= 0),
        Tabella01MarzoInverter[[#This Row],[Active power TX3-INV-4]] * 0.25,
        0
    )
    +
    IF(
        $N54 &lt; 0.875,
        MAX(0, MIN(($H54 / 1000) * AH$10 * $BA$4, AH$11 * 0.876) - (AH$11 * $N54)) * 0.25,
        0
    )
)</f>
        <v/>
      </c>
      <c r="AI54" s="117">
        <f>IF(
    AND($H54 &gt; $BA$7, Tabella01MarzoInverter[[#This Row],[Active power TX2-INV-8]] &lt;= 0, Tabella01MarzoInverter[[#This Row],[Active power TX3-INV-5]] &lt;= 0),
    MIN(($H54 / 1000) * AI$10 * $BA$4, AI$11 * 0.876) * 0.25,
    IF(
        AND($H54 &gt; $BA$7, Tabella01MarzoInverter[[#This Row],[Active power TX2-INV-8]] &lt;= 0),
        Tabella01MarzoInverter[[#This Row],[Active power TX3-INV-5]] * 0.25,
        0
    )
    +
    IF(
        $N54 &lt; 0.875,
        MAX(0, MIN(($H54 / 1000) * AI$10 * $BA$4, AI$11 * 0.876) - (AI$11 * $N54)) * 0.25,
        0
    )
)</f>
        <v/>
      </c>
      <c r="AJ54" s="117">
        <f>IF(
    AND($H54 &gt; $BA$7, Tabella01MarzoInverter[[#This Row],[Active power TX2-INV-9]] &lt;= 0, Tabella01MarzoInverter[[#This Row],[Active power TX3-INV-6]] &lt;= 0),
    MIN(($H54 / 1000) * AJ$10 * $BA$4, AJ$11 * 0.876) * 0.25,
    IF(
        AND($H54 &gt; $BA$7, Tabella01MarzoInverter[[#This Row],[Active power TX2-INV-9]] &lt;= 0),
        Tabella01MarzoInverter[[#This Row],[Active power TX3-INV-6]] * 0.25,
        0
    )
    +
    IF(
        $N54 &lt; 0.875,
        MAX(0, MIN(($H54 / 1000) * AJ$10 * $BA$4, AJ$11 * 0.876) - (AJ$11 * $N54)) * 0.25,
        0
    )
)</f>
        <v/>
      </c>
      <c r="AK54" s="117">
        <f>IF(
    AND($H54 &gt; $BA$7, Tabella01MarzoInverter[[#This Row],[Active power TX2-INV-10]] &lt;= 0, Tabella01MarzoInverter[[#This Row],[Active power TX3-INV-7]] &lt;= 0),
    MIN(($H54 / 1000) * AK$10 * $BA$4, AK$11 * 0.876) * 0.25,
    IF(
        AND($H54 &gt; $BA$7, Tabella01MarzoInverter[[#This Row],[Active power TX2-INV-10]] &lt;= 0),
        Tabella01MarzoInverter[[#This Row],[Active power TX3-INV-7]] * 0.25,
        0
    )
    +
    IF(
        $N54 &lt; 0.875,
        MAX(0, MIN(($H54 / 1000) * AK$10 * $BA$4, AK$11 * 0.876) - (AK$11 * $N54)) * 0.25,
        0
    )
)</f>
        <v/>
      </c>
      <c r="AL54" s="117">
        <f>IF(
    AND($H54 &gt; $BA$7, Tabella01MarzoInverter[[#This Row],[Active power TX2-INV-11]] &lt;= 0, Tabella01MarzoInverter[[#This Row],[Active power TX3-INV-8]] &lt;= 0),
    MIN(($H54 / 1000) * AL$10 * $BA$4, AL$11 * 0.876) * 0.25,
    IF(
        AND($H54 &gt; $BA$7, Tabella01MarzoInverter[[#This Row],[Active power TX2-INV-11]] &lt;= 0),
        Tabella01MarzoInverter[[#This Row],[Active power TX3-INV-8]] * 0.25,
        0
    )
    +
    IF(
        $N54 &lt; 0.875,
        MAX(0, MIN(($H54 / 1000) * AL$10 * $BA$4, AL$11 * 0.876) - (AL$11 * $N54)) * 0.25,
        0
    )
)</f>
        <v/>
      </c>
      <c r="AM54" s="117">
        <f>IF(
    AND($H54 &gt; $BA$7, Tabella01MarzoInverter[[#This Row],[Active power TX2-INV-12]] &lt;= 0, Tabella01MarzoInverter[[#This Row],[Active power TX3-INV-9]] &lt;= 0),
    MIN(($H54 / 1000) * AM$10 * $BA$4, AM$11 * 0.876) * 0.25,
    IF(
        AND($H54 &gt; $BA$7, Tabella01MarzoInverter[[#This Row],[Active power TX2-INV-12]] &lt;= 0),
        Tabella01MarzoInverter[[#This Row],[Active power TX3-INV-9]] * 0.25,
        0
    )
    +
    IF(
        $N54 &lt; 0.875,
        MAX(0, MIN(($H54 / 1000) * AM$10 * $BA$4, AM$11 * 0.876) - (AM$11 * $N54)) * 0.25,
        0
    )
)</f>
        <v/>
      </c>
      <c r="AN54" s="118">
        <f>SUM(TabellaMar2026[[#This Row],[Colonna39]:[Colonna6]])</f>
        <v/>
      </c>
      <c r="AO54" s="117">
        <f t="array" ref="AO54">IF(
    AND($H54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($H54 / 1000) * AO$10 * $BA$4 * 0.25
    ),
    0
)
+
IF(
    $N54 &lt; 0.875,
    MAX(0, MIN(($H54 / 1000) * AO$10 * $BA$4, AO$11 * 0.876) - (AO$11 * $N54)) * 0.25,
    0
)</f>
        <v/>
      </c>
      <c r="AP54" s="117">
        <f t="array" ref="AP54">IF(
    AND($H54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($H54 / 1000) * AP$10 * $BA$4 * 0.25
    ),
    0
)
+
IF(
    $N54 &lt; 0.875,
    MAX(0, MIN(($H54 / 1000) * AP$10 * $BA$4, AP$11 * 0.876) - (AP$11 * $N54)) * 0.25,
    0
)</f>
        <v/>
      </c>
      <c r="AQ54" s="117">
        <f t="array" ref="AQ54">IF(
    AND($H54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($H54 / 1000) * AQ$10 * $BA$4 * 0.25
    ),
    0
)
+
IF(
    $N54 &lt; 0.875,
    MAX(0, MIN(($H54 / 1000) * AQ$10 * $BA$4, AQ$11 * 0.876) - (AQ$11 * $N54)) * 0.25,
    0
)</f>
        <v/>
      </c>
      <c r="AR54" s="117">
        <f t="array" ref="AR54">IF(
    AND($H54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($H54 / 1000) * AR$10 * $BA$4 * 0.25
    ),
    0
)
+
IF(
    $N54 &lt; 0.875,
    MAX(0, MIN(($H54 / 1000) * AR$10 * $BA$4, AR$11 * 0.876) - (AR$11 * $N54)) * 0.25,
    0
)</f>
        <v/>
      </c>
      <c r="AS54" s="117">
        <f t="array" ref="AS54">IF(
    AND($H54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($H54 / 1000) * AS$10 * $BA$4 * 0.25
    ),
    0
)
+
IF(
    $N54 &lt; 0.875,
    MAX(0, MIN(($H54 / 1000) * AS$10 * $BA$4, AS$11 * 0.876) - (AS$11 * $N54)) * 0.25,
    0
)</f>
        <v/>
      </c>
      <c r="AT54" s="117">
        <f t="array" ref="AT54">IF(
    AND($H54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($H54 / 1000) * AT$10 * $BA$4 * 0.25
    ),
    0
)
+
IF(
    $N54 &lt; 0.875,
    MAX(0, MIN(($H54 / 1000) * AT$10 * $BA$4, AT$11 * 0.876) - (AT$11 * $N54)) * 0.25,
    0
)</f>
        <v/>
      </c>
      <c r="AU54" s="117">
        <f t="array" ref="AU54">IF(
    AND($H54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($H54 / 1000) * AU$10 * $BA$4 * 0.25
    ),
    0
)
+
IF(
    $N54 &lt; 0.875,
    MAX(0, MIN(($H54 / 1000) * AU$10 * $BA$4, AU$11 * 0.876) - (AU$11 * $N54)) * 0.25,
    0
)</f>
        <v/>
      </c>
      <c r="AV54" s="117">
        <f t="array" ref="AV54">IF(
    AND($H54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($H54 / 1000) * AV$10 * $BA$4 * 0.25
    ),
    0
)
+
IF(
    $N54 &lt; 0.875,
    MAX(0, MIN(($H54 / 1000) * AV$10 * $BA$4, AV$11 * 0.876) - (AV$11 * $N54)) * 0.25,
    0
)</f>
        <v/>
      </c>
      <c r="AW54" s="117">
        <f t="array" ref="AW54">IF(
    AND($H54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($H54 / 1000) * AW$10 * $BA$4 * 0.25
    ),
    0
)
+
IF(
    $N54 &lt; 0.875,
    MAX(0, MIN(($H54 / 1000) * AW$10 * $BA$4, AW$11 * 0.876) - (AW$11 * $N54)) * 0.25,
    0
)</f>
        <v/>
      </c>
      <c r="AX54" s="117">
        <f t="array" ref="AX54">IF(
    AND($H54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($H54 / 1000) * AX$10 * $BA$4 * 0.25
    ),
    0
)
+
IF(
    $N54 &lt; 0.875,
    MAX(0, MIN(($H54 / 1000) * AX$10 * $BA$4, AX$11 * 0.876) - (AX$11 * $N54)) * 0.25,
    0
)</f>
        <v/>
      </c>
      <c r="AY54" s="117">
        <f t="array" ref="AY54">IF(
    AND($H54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($H54 / 1000) * AY$10 * $BA$4 * 0.25
    ),
    0
)
+
IF(
    $N54 &lt; 0.875,
    MAX(0, MIN(($H54 / 1000) * AY$10 * $BA$4, AY$11 * 0.876) - (AY$11 * $N54)) * 0.25,
    0
)</f>
        <v/>
      </c>
      <c r="AZ54" s="117">
        <f t="array" ref="AZ54">IF(
    AND($H54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($H54 / 1000) * AZ$10 * $BA$4 * 0.25
    ),
    0
)
+
IF(
    $N54 &lt; 0.875,
    MAX(0, MIN(($H54 / 1000) * AZ$10 * $BA$4, AZ$11 * 0.876) - (AZ$11 * $N54)) * 0.25,
    0
)</f>
        <v/>
      </c>
      <c r="BA54" s="119">
        <f>SUM(TabellaMar2026[[#This Row],[Colonna54]:[Colonna53]])</f>
        <v/>
      </c>
    </row>
    <row r="55">
      <c r="A55" s="112" t="n">
        <v>46143</v>
      </c>
      <c r="B55" t="inlineStr">
        <is>
          <t>10:00:00.000</t>
        </is>
      </c>
      <c r="C55" s="2" t="n">
        <v>850.2</v>
      </c>
      <c r="D55" s="113" t="n">
        <v>0.21255</v>
      </c>
      <c r="E55" s="113" t="n">
        <v>803.3</v>
      </c>
      <c r="F55" s="113" t="n">
        <v>0.200825</v>
      </c>
      <c r="G55" s="113">
        <f>IFERROR((D55+F55)/2, 0)</f>
        <v/>
      </c>
      <c r="H55" s="114">
        <f>IFERROR(IF(AVERAGE(C55,E55)&gt;$BA$7,AVERAGE(C55,E55),0), 0)</f>
        <v/>
      </c>
      <c r="I55" s="114">
        <f>IFERROR(IF(AND(D55=0,F55=0),0,IF(H55&gt;$BA$6,MAX(D55,F55),G55)), 0)</f>
        <v/>
      </c>
      <c r="J55" s="113">
        <f>IFERROR(IF(AND(D55&gt;0,F55&gt;0),ABS(D55-F55)/AVERAGE(D55,F55),0), 0)</f>
        <v/>
      </c>
      <c r="K55" s="113" t="n">
        <v>30113.4</v>
      </c>
      <c r="L55" s="113" t="n">
        <v>30115.2</v>
      </c>
      <c r="M55" s="115">
        <f>IFERROR((L55-K55)*1000, 0)</f>
        <v/>
      </c>
      <c r="N55" s="113" t="n">
        <v>0.8759999999999999</v>
      </c>
      <c r="O55" s="115">
        <f t="array" ref="O55">IF(
    AND($H55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($H55 / 1000) * O$10 * $BA$4 * 0.25
    ),
    0
)
+
IF(
    $N55 &lt; 0.875,
    MAX(0, MIN(($H55 / 1000) * O$10 * $BA$4, O$11 * 0.876) - (O$11 * $N55)) * 0.25,
    0
)</f>
        <v/>
      </c>
      <c r="P55" s="115">
        <f t="array" ref="P55">IF(
    AND($H55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($H55 / 1000) * P$10 * $BA$4 * 0.25
    ),
    0
)
+
IF(
    $N55 &lt; 0.875,
    MAX(0, MIN(($H55 / 1000) * P$10 * $BA$4, P$11 * 0.876) - (P$11 * $N55)) * 0.25,
    0
)</f>
        <v/>
      </c>
      <c r="Q55" s="115">
        <f t="array" ref="Q55">IF(
    AND($H55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($H55 / 1000) * Q$10 * $BA$4 * 0.25
    ),
    0
)
+
IF(
    $N55 &lt; 0.875,
    MAX(0, MIN(($H55 / 1000) * Q$10 * $BA$4, Q$11 * 0.876) - (Q$11 * $N55)) * 0.25,
    0
)</f>
        <v/>
      </c>
      <c r="R55" s="115">
        <f t="array" ref="R55">IF(
    AND($H55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($H55 / 1000) * R$10 * $BA$4 * 0.25
    ),
    0
)
+
IF(
    $N55 &lt; 0.875,
    MAX(0, MIN(($H55 / 1000) * R$10 * $BA$4, R$11 * 0.876) - (R$11 * $N55)) * 0.25,
    0
)</f>
        <v/>
      </c>
      <c r="S55" s="115">
        <f t="array" ref="S55">IF(
    AND($H55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($H55 / 1000) * S$10 * $BA$4 * 0.25
    ),
    0
)
+
IF(
    $N55 &lt; 0.875,
    MAX(0, MIN(($H55 / 1000) * S$10 * $BA$4, S$11 * 0.876) - (S$11 * $N55)) * 0.25,
    0
)</f>
        <v/>
      </c>
      <c r="T55" s="115">
        <f t="array" ref="T55">IF(
    AND($H55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($H55 / 1000) * T$10 * $BA$4 * 0.25
    ),
    0
)
+
IF(
    $N55 &lt; 0.875,
    MAX(0, MIN(($H55 / 1000) * T$10 * $BA$4, T$11 * 0.876) - (T$11 * $N55)) * 0.25,
    0
)</f>
        <v/>
      </c>
      <c r="U55" s="115">
        <f t="array" ref="U55">IF(
    AND($H55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($H55 / 1000) * U$10 * $BA$4 * 0.25
    ),
    0
)
+
IF(
    $N55 &lt; 0.875,
    MAX(0, MIN(($H55 / 1000) * U$10 * $BA$4, U$11 * 0.876) - (U$11 * $N55)) * 0.25,
    0
)</f>
        <v/>
      </c>
      <c r="V55" s="115">
        <f t="array" ref="V55">IF(
    AND($H55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($H55 / 1000) * V$10 * $BA$4 * 0.25
    ),
    0
)
+
IF(
    $N55 &lt; 0.875,
    MAX(0, MIN(($H55 / 1000) * V$10 * $BA$4, V$11 * 0.876) - (V$11 * $N55)) * 0.25,
    0
)</f>
        <v/>
      </c>
      <c r="W55" s="115">
        <f t="array" ref="W55">IF(
    AND($H55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($H55 / 1000) * W$10 * $BA$4 * 0.25
    ),
    0
)
+
IF(
    $N55 &lt; 0.875,
    MAX(0, MIN(($H55 / 1000) * W$10 * $BA$4, W$11 * 0.876) - (W$11 * $N55)) * 0.25,
    0
)</f>
        <v/>
      </c>
      <c r="X55" s="115">
        <f t="array" ref="X55">IF(
    AND($H55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($H55 / 1000) * X$10 * $BA$4 * 0.25
    ),
    0
)
+
IF(
    $N55 &lt; 0.875,
    MAX(0, MIN(($H55 / 1000) * X$10 * $BA$4, X$11 * 0.876) - (X$11 * $N55)) * 0.25,
    0
)</f>
        <v/>
      </c>
      <c r="Y55" s="115">
        <f t="array" ref="Y55">IF(
    AND($H55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($H55 / 1000) * Y$10 * $BA$4 * 0.25
    ),
    0
)
+
IF(
    $N55 &lt; 0.875,
    MAX(0, MIN(($H55 / 1000) * Y$10 * $BA$4, Y$11 * 0.876) - (Y$11 * $N55)) * 0.25,
    0
)</f>
        <v/>
      </c>
      <c r="Z55" s="115">
        <f t="array" ref="Z55">IF(
    AND($H55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($H55 / 1000) * Z$10 * $BA$4 * 0.25
    ),
    0
)
+
IF(
    $N55 &lt; 0.875,
    MAX(0, MIN(($H55 / 1000) * Z$10 * $BA$4, Z$11 * 0.876) - (Z$11 * $N55)) * 0.25,
    0
)</f>
        <v/>
      </c>
      <c r="AA55" s="116">
        <f>SUM(TabellaMar2026[[#This Row],[Colonna24]:[Colonna20]])</f>
        <v/>
      </c>
      <c r="AB55" s="117">
        <f>IF(
    AND($H55 &gt; $BA$7, Tabella01MarzoInverter[[#This Row],[Active power TX2-INV-1]] &lt;= 0, Tabella01MarzoInverter[[#This Row],[TX2 - Average Power]] &lt;= 0),
    MIN(($H55 / 1000) * AB$10 * $BA$4, AB$11 * 0.876) * 0.25,
    IF(
        AND($H55 &gt; $BA$7, Tabella01MarzoInverter[[#This Row],[Active power TX2-INV-1]] &lt;= 0),
        Tabella01MarzoInverter[[#This Row],[TX2 - Average Power]] * 0.25,
        0
    )
    +
    IF(
        $N55 &lt; 0.875,
        MAX(0, MIN(($H55 / 1000) * AB$10 * $BA$4, AB$11 * 0.876) - (AB$11 * $N55)) * 0.25,
        0
    )
)</f>
        <v/>
      </c>
      <c r="AC55" s="117">
        <f>IF(
    AND($H55 &gt; $BA$7, Tabella01MarzoInverter[[#This Row],[Active power TX2-INV-2]] &lt;= 0, Tabella01MarzoInverter[[#This Row],[TX2 - Max Power]] &lt;= 0),
    MIN(($H55 / 1000) * AC$10 * $BA$4, AC$11 * 0.876) * 0.25,
    IF(
        AND($H55 &gt; $BA$7, Tabella01MarzoInverter[[#This Row],[Active power TX2-INV-2]] &lt;= 0),
        Tabella01MarzoInverter[[#This Row],[TX2 - Max Power]] * 0.25,
        0
    )
    +
    IF(
        $N55 &lt; 0.875,
        MAX(0, MIN(($H55 / 1000) * AC$10 * $BA$4, AC$11 * 0.876) - (AC$11 * $N55)) * 0.25,
        0
    )
)</f>
        <v/>
      </c>
      <c r="AD55" s="117">
        <f>IF(
    AND($H55 &gt; $BA$7, Tabella01MarzoInverter[[#This Row],[Active power TX2-INV-3]] &lt;= 0, Tabella01MarzoInverter[[#This Row],[TX2 - Min Power]] &lt;= 0),
    MIN(($H55 / 1000) * AD$10 * $BA$4, AD$11 * 0.876) * 0.25,
    IF(
        AND($H55 &gt; $BA$7, Tabella01MarzoInverter[[#This Row],[Active power TX2-INV-3]] &lt;= 0),
        Tabella01MarzoInverter[[#This Row],[TX2 - Min Power]] * 0.25,
        0
    )
    +
    IF(
        $N55 &lt; 0.875,
        MAX(0, MIN(($H55 / 1000) * AD$10 * $BA$4, AD$11 * 0.876) - (AD$11 * $N55)) * 0.25,
        0
    )
)</f>
        <v/>
      </c>
      <c r="AE55" s="117">
        <f>IF(
    AND($H55 &gt; $BA$7, Tabella01MarzoInverter[[#This Row],[Active power TX2-INV-4]] &lt;= 0, Tabella01MarzoInverter[[#This Row],[Active power TX3-INV-1]] &lt;= 0),
    MIN(($H55 / 1000) * AE$10 * $BA$4, AE$11 * 0.876) * 0.25,
    IF(
        AND($H55 &gt; $BA$7, Tabella01MarzoInverter[[#This Row],[Active power TX2-INV-4]] &lt;= 0),
        Tabella01MarzoInverter[[#This Row],[Active power TX3-INV-1]] * 0.25,
        0
    )
    +
    IF(
        $N55 &lt; 0.875,
        MAX(0, MIN(($H55 / 1000) * AE$10 * $BA$4, AE$11 * 0.876) - (AE$11 * $N55)) * 0.25,
        0
    )
)</f>
        <v/>
      </c>
      <c r="AF55" s="117">
        <f>IF(
    AND($H55 &gt; $BA$7, Tabella01MarzoInverter[[#This Row],[Active power TX2-INV-5]] &lt;= 0, Tabella01MarzoInverter[[#This Row],[Active power TX3-INV-2]] &lt;= 0),
    MIN(($H55 / 1000) * AF$10 * $BA$4, AF$11 * 0.876) * 0.25,
    IF(
        AND($H55 &gt; $BA$7, Tabella01MarzoInverter[[#This Row],[Active power TX2-INV-5]] &lt;= 0),
        Tabella01MarzoInverter[[#This Row],[Active power TX3-INV-2]] * 0.25,
        0
    )
    +
    IF(
        $N55 &lt; 0.875,
        MAX(0, MIN(($H55 / 1000) * AF$10 * $BA$4, AF$11 * 0.876) - (AF$11 * $N55)) * 0.25,
        0
    )
)</f>
        <v/>
      </c>
      <c r="AG55" s="117">
        <f>IF(
    AND($H55 &gt; $BA$7, Tabella01MarzoInverter[[#This Row],[Active power TX2-INV-6]] &lt;= 0, Tabella01MarzoInverter[[#This Row],[Active power TX3-INV-3]] &lt;= 0),
    MIN(($H55 / 1000) * AG$10 * $BA$4, AG$11 * 0.876) * 0.25,
    IF(
        AND($H55 &gt; $BA$7, Tabella01MarzoInverter[[#This Row],[Active power TX2-INV-6]] &lt;= 0),
        Tabella01MarzoInverter[[#This Row],[Active power TX3-INV-3]] * 0.25,
        0
    )
    +
    IF(
        $N55 &lt; 0.875,
        MAX(0, MIN(($H55 / 1000) * AG$10 * $BA$4, AG$11 * 0.876) - (AG$11 * $N55)) * 0.25,
        0
    )
)</f>
        <v/>
      </c>
      <c r="AH55" s="117">
        <f>IF(
    AND($H55 &gt; $BA$7, Tabella01MarzoInverter[[#This Row],[Active power TX2-INV-7]] &lt;= 0, Tabella01MarzoInverter[[#This Row],[Active power TX3-INV-4]] &lt;= 0),
    MIN(($H55 / 1000) * AH$10 * $BA$4, AH$11 * 0.876) * 0.25,
    IF(
        AND($H55 &gt; $BA$7, Tabella01MarzoInverter[[#This Row],[Active power TX2-INV-7]] &lt;= 0),
        Tabella01MarzoInverter[[#This Row],[Active power TX3-INV-4]] * 0.25,
        0
    )
    +
    IF(
        $N55 &lt; 0.875,
        MAX(0, MIN(($H55 / 1000) * AH$10 * $BA$4, AH$11 * 0.876) - (AH$11 * $N55)) * 0.25,
        0
    )
)</f>
        <v/>
      </c>
      <c r="AI55" s="117">
        <f>IF(
    AND($H55 &gt; $BA$7, Tabella01MarzoInverter[[#This Row],[Active power TX2-INV-8]] &lt;= 0, Tabella01MarzoInverter[[#This Row],[Active power TX3-INV-5]] &lt;= 0),
    MIN(($H55 / 1000) * AI$10 * $BA$4, AI$11 * 0.876) * 0.25,
    IF(
        AND($H55 &gt; $BA$7, Tabella01MarzoInverter[[#This Row],[Active power TX2-INV-8]] &lt;= 0),
        Tabella01MarzoInverter[[#This Row],[Active power TX3-INV-5]] * 0.25,
        0
    )
    +
    IF(
        $N55 &lt; 0.875,
        MAX(0, MIN(($H55 / 1000) * AI$10 * $BA$4, AI$11 * 0.876) - (AI$11 * $N55)) * 0.25,
        0
    )
)</f>
        <v/>
      </c>
      <c r="AJ55" s="117">
        <f>IF(
    AND($H55 &gt; $BA$7, Tabella01MarzoInverter[[#This Row],[Active power TX2-INV-9]] &lt;= 0, Tabella01MarzoInverter[[#This Row],[Active power TX3-INV-6]] &lt;= 0),
    MIN(($H55 / 1000) * AJ$10 * $BA$4, AJ$11 * 0.876) * 0.25,
    IF(
        AND($H55 &gt; $BA$7, Tabella01MarzoInverter[[#This Row],[Active power TX2-INV-9]] &lt;= 0),
        Tabella01MarzoInverter[[#This Row],[Active power TX3-INV-6]] * 0.25,
        0
    )
    +
    IF(
        $N55 &lt; 0.875,
        MAX(0, MIN(($H55 / 1000) * AJ$10 * $BA$4, AJ$11 * 0.876) - (AJ$11 * $N55)) * 0.25,
        0
    )
)</f>
        <v/>
      </c>
      <c r="AK55" s="117">
        <f>IF(
    AND($H55 &gt; $BA$7, Tabella01MarzoInverter[[#This Row],[Active power TX2-INV-10]] &lt;= 0, Tabella01MarzoInverter[[#This Row],[Active power TX3-INV-7]] &lt;= 0),
    MIN(($H55 / 1000) * AK$10 * $BA$4, AK$11 * 0.876) * 0.25,
    IF(
        AND($H55 &gt; $BA$7, Tabella01MarzoInverter[[#This Row],[Active power TX2-INV-10]] &lt;= 0),
        Tabella01MarzoInverter[[#This Row],[Active power TX3-INV-7]] * 0.25,
        0
    )
    +
    IF(
        $N55 &lt; 0.875,
        MAX(0, MIN(($H55 / 1000) * AK$10 * $BA$4, AK$11 * 0.876) - (AK$11 * $N55)) * 0.25,
        0
    )
)</f>
        <v/>
      </c>
      <c r="AL55" s="117">
        <f>IF(
    AND($H55 &gt; $BA$7, Tabella01MarzoInverter[[#This Row],[Active power TX2-INV-11]] &lt;= 0, Tabella01MarzoInverter[[#This Row],[Active power TX3-INV-8]] &lt;= 0),
    MIN(($H55 / 1000) * AL$10 * $BA$4, AL$11 * 0.876) * 0.25,
    IF(
        AND($H55 &gt; $BA$7, Tabella01MarzoInverter[[#This Row],[Active power TX2-INV-11]] &lt;= 0),
        Tabella01MarzoInverter[[#This Row],[Active power TX3-INV-8]] * 0.25,
        0
    )
    +
    IF(
        $N55 &lt; 0.875,
        MAX(0, MIN(($H55 / 1000) * AL$10 * $BA$4, AL$11 * 0.876) - (AL$11 * $N55)) * 0.25,
        0
    )
)</f>
        <v/>
      </c>
      <c r="AM55" s="117">
        <f>IF(
    AND($H55 &gt; $BA$7, Tabella01MarzoInverter[[#This Row],[Active power TX2-INV-12]] &lt;= 0, Tabella01MarzoInverter[[#This Row],[Active power TX3-INV-9]] &lt;= 0),
    MIN(($H55 / 1000) * AM$10 * $BA$4, AM$11 * 0.876) * 0.25,
    IF(
        AND($H55 &gt; $BA$7, Tabella01MarzoInverter[[#This Row],[Active power TX2-INV-12]] &lt;= 0),
        Tabella01MarzoInverter[[#This Row],[Active power TX3-INV-9]] * 0.25,
        0
    )
    +
    IF(
        $N55 &lt; 0.875,
        MAX(0, MIN(($H55 / 1000) * AM$10 * $BA$4, AM$11 * 0.876) - (AM$11 * $N55)) * 0.25,
        0
    )
)</f>
        <v/>
      </c>
      <c r="AN55" s="118">
        <f>SUM(TabellaMar2026[[#This Row],[Colonna39]:[Colonna6]])</f>
        <v/>
      </c>
      <c r="AO55" s="117">
        <f t="array" ref="AO55">IF(
    AND($H55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($H55 / 1000) * AO$10 * $BA$4 * 0.25
    ),
    0
)
+
IF(
    $N55 &lt; 0.875,
    MAX(0, MIN(($H55 / 1000) * AO$10 * $BA$4, AO$11 * 0.876) - (AO$11 * $N55)) * 0.25,
    0
)</f>
        <v/>
      </c>
      <c r="AP55" s="117">
        <f t="array" ref="AP55">IF(
    AND($H55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($H55 / 1000) * AP$10 * $BA$4 * 0.25
    ),
    0
)
+
IF(
    $N55 &lt; 0.875,
    MAX(0, MIN(($H55 / 1000) * AP$10 * $BA$4, AP$11 * 0.876) - (AP$11 * $N55)) * 0.25,
    0
)</f>
        <v/>
      </c>
      <c r="AQ55" s="117">
        <f t="array" ref="AQ55">IF(
    AND($H55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($H55 / 1000) * AQ$10 * $BA$4 * 0.25
    ),
    0
)
+
IF(
    $N55 &lt; 0.875,
    MAX(0, MIN(($H55 / 1000) * AQ$10 * $BA$4, AQ$11 * 0.876) - (AQ$11 * $N55)) * 0.25,
    0
)</f>
        <v/>
      </c>
      <c r="AR55" s="117">
        <f t="array" ref="AR55">IF(
    AND($H55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($H55 / 1000) * AR$10 * $BA$4 * 0.25
    ),
    0
)
+
IF(
    $N55 &lt; 0.875,
    MAX(0, MIN(($H55 / 1000) * AR$10 * $BA$4, AR$11 * 0.876) - (AR$11 * $N55)) * 0.25,
    0
)</f>
        <v/>
      </c>
      <c r="AS55" s="117">
        <f t="array" ref="AS55">IF(
    AND($H55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($H55 / 1000) * AS$10 * $BA$4 * 0.25
    ),
    0
)
+
IF(
    $N55 &lt; 0.875,
    MAX(0, MIN(($H55 / 1000) * AS$10 * $BA$4, AS$11 * 0.876) - (AS$11 * $N55)) * 0.25,
    0
)</f>
        <v/>
      </c>
      <c r="AT55" s="117">
        <f t="array" ref="AT55">IF(
    AND($H55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($H55 / 1000) * AT$10 * $BA$4 * 0.25
    ),
    0
)
+
IF(
    $N55 &lt; 0.875,
    MAX(0, MIN(($H55 / 1000) * AT$10 * $BA$4, AT$11 * 0.876) - (AT$11 * $N55)) * 0.25,
    0
)</f>
        <v/>
      </c>
      <c r="AU55" s="117">
        <f t="array" ref="AU55">IF(
    AND($H55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($H55 / 1000) * AU$10 * $BA$4 * 0.25
    ),
    0
)
+
IF(
    $N55 &lt; 0.875,
    MAX(0, MIN(($H55 / 1000) * AU$10 * $BA$4, AU$11 * 0.876) - (AU$11 * $N55)) * 0.25,
    0
)</f>
        <v/>
      </c>
      <c r="AV55" s="117">
        <f t="array" ref="AV55">IF(
    AND($H55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($H55 / 1000) * AV$10 * $BA$4 * 0.25
    ),
    0
)
+
IF(
    $N55 &lt; 0.875,
    MAX(0, MIN(($H55 / 1000) * AV$10 * $BA$4, AV$11 * 0.876) - (AV$11 * $N55)) * 0.25,
    0
)</f>
        <v/>
      </c>
      <c r="AW55" s="117">
        <f t="array" ref="AW55">IF(
    AND($H55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($H55 / 1000) * AW$10 * $BA$4 * 0.25
    ),
    0
)
+
IF(
    $N55 &lt; 0.875,
    MAX(0, MIN(($H55 / 1000) * AW$10 * $BA$4, AW$11 * 0.876) - (AW$11 * $N55)) * 0.25,
    0
)</f>
        <v/>
      </c>
      <c r="AX55" s="117">
        <f t="array" ref="AX55">IF(
    AND($H55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($H55 / 1000) * AX$10 * $BA$4 * 0.25
    ),
    0
)
+
IF(
    $N55 &lt; 0.875,
    MAX(0, MIN(($H55 / 1000) * AX$10 * $BA$4, AX$11 * 0.876) - (AX$11 * $N55)) * 0.25,
    0
)</f>
        <v/>
      </c>
      <c r="AY55" s="117">
        <f t="array" ref="AY55">IF(
    AND($H55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($H55 / 1000) * AY$10 * $BA$4 * 0.25
    ),
    0
)
+
IF(
    $N55 &lt; 0.875,
    MAX(0, MIN(($H55 / 1000) * AY$10 * $BA$4, AY$11 * 0.876) - (AY$11 * $N55)) * 0.25,
    0
)</f>
        <v/>
      </c>
      <c r="AZ55" s="117">
        <f t="array" ref="AZ55">IF(
    AND($H55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($H55 / 1000) * AZ$10 * $BA$4 * 0.25
    ),
    0
)
+
IF(
    $N55 &lt; 0.875,
    MAX(0, MIN(($H55 / 1000) * AZ$10 * $BA$4, AZ$11 * 0.876) - (AZ$11 * $N55)) * 0.25,
    0
)</f>
        <v/>
      </c>
      <c r="BA55" s="119">
        <f>SUM(TabellaMar2026[[#This Row],[Colonna54]:[Colonna53]])</f>
        <v/>
      </c>
    </row>
    <row r="56">
      <c r="A56" s="112" t="n">
        <v>46143</v>
      </c>
      <c r="B56" t="inlineStr">
        <is>
          <t>10:15:00.000</t>
        </is>
      </c>
      <c r="C56" s="2" t="n">
        <v>882.5</v>
      </c>
      <c r="D56" s="113" t="n">
        <v>0.220625</v>
      </c>
      <c r="E56" s="113" t="n">
        <v>865.1</v>
      </c>
      <c r="F56" s="113" t="n">
        <v>0.216275</v>
      </c>
      <c r="G56" s="113">
        <f>IFERROR((D56+F56)/2, 0)</f>
        <v/>
      </c>
      <c r="H56" s="114">
        <f>IFERROR(IF(AVERAGE(C56,E56)&gt;$BA$7,AVERAGE(C56,E56),0), 0)</f>
        <v/>
      </c>
      <c r="I56" s="114">
        <f>IFERROR(IF(AND(D56=0,F56=0),0,IF(H56&gt;$BA$6,MAX(D56,F56),G56)), 0)</f>
        <v/>
      </c>
      <c r="J56" s="113">
        <f>IFERROR(IF(AND(D56&gt;0,F56&gt;0),ABS(D56-F56)/AVERAGE(D56,F56),0), 0)</f>
        <v/>
      </c>
      <c r="K56" s="113" t="n">
        <v>30115.2</v>
      </c>
      <c r="L56" s="113" t="n">
        <v>30117.6</v>
      </c>
      <c r="M56" s="115">
        <f>IFERROR((L56-K56)*1000, 0)</f>
        <v/>
      </c>
      <c r="N56" s="113" t="n">
        <v>0.8759999999999999</v>
      </c>
      <c r="O56" s="115">
        <f t="array" ref="O56">IF(
    AND($H56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($H56 / 1000) * O$10 * $BA$4 * 0.25
    ),
    0
)
+
IF(
    $N56 &lt; 0.875,
    MAX(0, MIN(($H56 / 1000) * O$10 * $BA$4, O$11 * 0.876) - (O$11 * $N56)) * 0.25,
    0
)</f>
        <v/>
      </c>
      <c r="P56" s="115">
        <f t="array" ref="P56">IF(
    AND($H56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($H56 / 1000) * P$10 * $BA$4 * 0.25
    ),
    0
)
+
IF(
    $N56 &lt; 0.875,
    MAX(0, MIN(($H56 / 1000) * P$10 * $BA$4, P$11 * 0.876) - (P$11 * $N56)) * 0.25,
    0
)</f>
        <v/>
      </c>
      <c r="Q56" s="115">
        <f t="array" ref="Q56">IF(
    AND($H56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($H56 / 1000) * Q$10 * $BA$4 * 0.25
    ),
    0
)
+
IF(
    $N56 &lt; 0.875,
    MAX(0, MIN(($H56 / 1000) * Q$10 * $BA$4, Q$11 * 0.876) - (Q$11 * $N56)) * 0.25,
    0
)</f>
        <v/>
      </c>
      <c r="R56" s="115">
        <f t="array" ref="R56">IF(
    AND($H56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($H56 / 1000) * R$10 * $BA$4 * 0.25
    ),
    0
)
+
IF(
    $N56 &lt; 0.875,
    MAX(0, MIN(($H56 / 1000) * R$10 * $BA$4, R$11 * 0.876) - (R$11 * $N56)) * 0.25,
    0
)</f>
        <v/>
      </c>
      <c r="S56" s="115">
        <f t="array" ref="S56">IF(
    AND($H56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($H56 / 1000) * S$10 * $BA$4 * 0.25
    ),
    0
)
+
IF(
    $N56 &lt; 0.875,
    MAX(0, MIN(($H56 / 1000) * S$10 * $BA$4, S$11 * 0.876) - (S$11 * $N56)) * 0.25,
    0
)</f>
        <v/>
      </c>
      <c r="T56" s="115">
        <f t="array" ref="T56">IF(
    AND($H56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($H56 / 1000) * T$10 * $BA$4 * 0.25
    ),
    0
)
+
IF(
    $N56 &lt; 0.875,
    MAX(0, MIN(($H56 / 1000) * T$10 * $BA$4, T$11 * 0.876) - (T$11 * $N56)) * 0.25,
    0
)</f>
        <v/>
      </c>
      <c r="U56" s="115">
        <f t="array" ref="U56">IF(
    AND($H56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($H56 / 1000) * U$10 * $BA$4 * 0.25
    ),
    0
)
+
IF(
    $N56 &lt; 0.875,
    MAX(0, MIN(($H56 / 1000) * U$10 * $BA$4, U$11 * 0.876) - (U$11 * $N56)) * 0.25,
    0
)</f>
        <v/>
      </c>
      <c r="V56" s="115">
        <f t="array" ref="V56">IF(
    AND($H56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($H56 / 1000) * V$10 * $BA$4 * 0.25
    ),
    0
)
+
IF(
    $N56 &lt; 0.875,
    MAX(0, MIN(($H56 / 1000) * V$10 * $BA$4, V$11 * 0.876) - (V$11 * $N56)) * 0.25,
    0
)</f>
        <v/>
      </c>
      <c r="W56" s="115">
        <f t="array" ref="W56">IF(
    AND($H56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($H56 / 1000) * W$10 * $BA$4 * 0.25
    ),
    0
)
+
IF(
    $N56 &lt; 0.875,
    MAX(0, MIN(($H56 / 1000) * W$10 * $BA$4, W$11 * 0.876) - (W$11 * $N56)) * 0.25,
    0
)</f>
        <v/>
      </c>
      <c r="X56" s="115">
        <f t="array" ref="X56">IF(
    AND($H56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($H56 / 1000) * X$10 * $BA$4 * 0.25
    ),
    0
)
+
IF(
    $N56 &lt; 0.875,
    MAX(0, MIN(($H56 / 1000) * X$10 * $BA$4, X$11 * 0.876) - (X$11 * $N56)) * 0.25,
    0
)</f>
        <v/>
      </c>
      <c r="Y56" s="115">
        <f t="array" ref="Y56">IF(
    AND($H56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($H56 / 1000) * Y$10 * $BA$4 * 0.25
    ),
    0
)
+
IF(
    $N56 &lt; 0.875,
    MAX(0, MIN(($H56 / 1000) * Y$10 * $BA$4, Y$11 * 0.876) - (Y$11 * $N56)) * 0.25,
    0
)</f>
        <v/>
      </c>
      <c r="Z56" s="115">
        <f t="array" ref="Z56">IF(
    AND($H56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($H56 / 1000) * Z$10 * $BA$4 * 0.25
    ),
    0
)
+
IF(
    $N56 &lt; 0.875,
    MAX(0, MIN(($H56 / 1000) * Z$10 * $BA$4, Z$11 * 0.876) - (Z$11 * $N56)) * 0.25,
    0
)</f>
        <v/>
      </c>
      <c r="AA56" s="116">
        <f>SUM(TabellaMar2026[[#This Row],[Colonna24]:[Colonna20]])</f>
        <v/>
      </c>
      <c r="AB56" s="117">
        <f>IF(
    AND($H56 &gt; $BA$7, Tabella01MarzoInverter[[#This Row],[Active power TX2-INV-1]] &lt;= 0, Tabella01MarzoInverter[[#This Row],[TX2 - Average Power]] &lt;= 0),
    MIN(($H56 / 1000) * AB$10 * $BA$4, AB$11 * 0.876) * 0.25,
    IF(
        AND($H56 &gt; $BA$7, Tabella01MarzoInverter[[#This Row],[Active power TX2-INV-1]] &lt;= 0),
        Tabella01MarzoInverter[[#This Row],[TX2 - Average Power]] * 0.25,
        0
    )
    +
    IF(
        $N56 &lt; 0.875,
        MAX(0, MIN(($H56 / 1000) * AB$10 * $BA$4, AB$11 * 0.876) - (AB$11 * $N56)) * 0.25,
        0
    )
)</f>
        <v/>
      </c>
      <c r="AC56" s="117">
        <f>IF(
    AND($H56 &gt; $BA$7, Tabella01MarzoInverter[[#This Row],[Active power TX2-INV-2]] &lt;= 0, Tabella01MarzoInverter[[#This Row],[TX2 - Max Power]] &lt;= 0),
    MIN(($H56 / 1000) * AC$10 * $BA$4, AC$11 * 0.876) * 0.25,
    IF(
        AND($H56 &gt; $BA$7, Tabella01MarzoInverter[[#This Row],[Active power TX2-INV-2]] &lt;= 0),
        Tabella01MarzoInverter[[#This Row],[TX2 - Max Power]] * 0.25,
        0
    )
    +
    IF(
        $N56 &lt; 0.875,
        MAX(0, MIN(($H56 / 1000) * AC$10 * $BA$4, AC$11 * 0.876) - (AC$11 * $N56)) * 0.25,
        0
    )
)</f>
        <v/>
      </c>
      <c r="AD56" s="117">
        <f>IF(
    AND($H56 &gt; $BA$7, Tabella01MarzoInverter[[#This Row],[Active power TX2-INV-3]] &lt;= 0, Tabella01MarzoInverter[[#This Row],[TX2 - Min Power]] &lt;= 0),
    MIN(($H56 / 1000) * AD$10 * $BA$4, AD$11 * 0.876) * 0.25,
    IF(
        AND($H56 &gt; $BA$7, Tabella01MarzoInverter[[#This Row],[Active power TX2-INV-3]] &lt;= 0),
        Tabella01MarzoInverter[[#This Row],[TX2 - Min Power]] * 0.25,
        0
    )
    +
    IF(
        $N56 &lt; 0.875,
        MAX(0, MIN(($H56 / 1000) * AD$10 * $BA$4, AD$11 * 0.876) - (AD$11 * $N56)) * 0.25,
        0
    )
)</f>
        <v/>
      </c>
      <c r="AE56" s="117">
        <f>IF(
    AND($H56 &gt; $BA$7, Tabella01MarzoInverter[[#This Row],[Active power TX2-INV-4]] &lt;= 0, Tabella01MarzoInverter[[#This Row],[Active power TX3-INV-1]] &lt;= 0),
    MIN(($H56 / 1000) * AE$10 * $BA$4, AE$11 * 0.876) * 0.25,
    IF(
        AND($H56 &gt; $BA$7, Tabella01MarzoInverter[[#This Row],[Active power TX2-INV-4]] &lt;= 0),
        Tabella01MarzoInverter[[#This Row],[Active power TX3-INV-1]] * 0.25,
        0
    )
    +
    IF(
        $N56 &lt; 0.875,
        MAX(0, MIN(($H56 / 1000) * AE$10 * $BA$4, AE$11 * 0.876) - (AE$11 * $N56)) * 0.25,
        0
    )
)</f>
        <v/>
      </c>
      <c r="AF56" s="117">
        <f>IF(
    AND($H56 &gt; $BA$7, Tabella01MarzoInverter[[#This Row],[Active power TX2-INV-5]] &lt;= 0, Tabella01MarzoInverter[[#This Row],[Active power TX3-INV-2]] &lt;= 0),
    MIN(($H56 / 1000) * AF$10 * $BA$4, AF$11 * 0.876) * 0.25,
    IF(
        AND($H56 &gt; $BA$7, Tabella01MarzoInverter[[#This Row],[Active power TX2-INV-5]] &lt;= 0),
        Tabella01MarzoInverter[[#This Row],[Active power TX3-INV-2]] * 0.25,
        0
    )
    +
    IF(
        $N56 &lt; 0.875,
        MAX(0, MIN(($H56 / 1000) * AF$10 * $BA$4, AF$11 * 0.876) - (AF$11 * $N56)) * 0.25,
        0
    )
)</f>
        <v/>
      </c>
      <c r="AG56" s="117">
        <f>IF(
    AND($H56 &gt; $BA$7, Tabella01MarzoInverter[[#This Row],[Active power TX2-INV-6]] &lt;= 0, Tabella01MarzoInverter[[#This Row],[Active power TX3-INV-3]] &lt;= 0),
    MIN(($H56 / 1000) * AG$10 * $BA$4, AG$11 * 0.876) * 0.25,
    IF(
        AND($H56 &gt; $BA$7, Tabella01MarzoInverter[[#This Row],[Active power TX2-INV-6]] &lt;= 0),
        Tabella01MarzoInverter[[#This Row],[Active power TX3-INV-3]] * 0.25,
        0
    )
    +
    IF(
        $N56 &lt; 0.875,
        MAX(0, MIN(($H56 / 1000) * AG$10 * $BA$4, AG$11 * 0.876) - (AG$11 * $N56)) * 0.25,
        0
    )
)</f>
        <v/>
      </c>
      <c r="AH56" s="117">
        <f>IF(
    AND($H56 &gt; $BA$7, Tabella01MarzoInverter[[#This Row],[Active power TX2-INV-7]] &lt;= 0, Tabella01MarzoInverter[[#This Row],[Active power TX3-INV-4]] &lt;= 0),
    MIN(($H56 / 1000) * AH$10 * $BA$4, AH$11 * 0.876) * 0.25,
    IF(
        AND($H56 &gt; $BA$7, Tabella01MarzoInverter[[#This Row],[Active power TX2-INV-7]] &lt;= 0),
        Tabella01MarzoInverter[[#This Row],[Active power TX3-INV-4]] * 0.25,
        0
    )
    +
    IF(
        $N56 &lt; 0.875,
        MAX(0, MIN(($H56 / 1000) * AH$10 * $BA$4, AH$11 * 0.876) - (AH$11 * $N56)) * 0.25,
        0
    )
)</f>
        <v/>
      </c>
      <c r="AI56" s="117">
        <f>IF(
    AND($H56 &gt; $BA$7, Tabella01MarzoInverter[[#This Row],[Active power TX2-INV-8]] &lt;= 0, Tabella01MarzoInverter[[#This Row],[Active power TX3-INV-5]] &lt;= 0),
    MIN(($H56 / 1000) * AI$10 * $BA$4, AI$11 * 0.876) * 0.25,
    IF(
        AND($H56 &gt; $BA$7, Tabella01MarzoInverter[[#This Row],[Active power TX2-INV-8]] &lt;= 0),
        Tabella01MarzoInverter[[#This Row],[Active power TX3-INV-5]] * 0.25,
        0
    )
    +
    IF(
        $N56 &lt; 0.875,
        MAX(0, MIN(($H56 / 1000) * AI$10 * $BA$4, AI$11 * 0.876) - (AI$11 * $N56)) * 0.25,
        0
    )
)</f>
        <v/>
      </c>
      <c r="AJ56" s="117">
        <f>IF(
    AND($H56 &gt; $BA$7, Tabella01MarzoInverter[[#This Row],[Active power TX2-INV-9]] &lt;= 0, Tabella01MarzoInverter[[#This Row],[Active power TX3-INV-6]] &lt;= 0),
    MIN(($H56 / 1000) * AJ$10 * $BA$4, AJ$11 * 0.876) * 0.25,
    IF(
        AND($H56 &gt; $BA$7, Tabella01MarzoInverter[[#This Row],[Active power TX2-INV-9]] &lt;= 0),
        Tabella01MarzoInverter[[#This Row],[Active power TX3-INV-6]] * 0.25,
        0
    )
    +
    IF(
        $N56 &lt; 0.875,
        MAX(0, MIN(($H56 / 1000) * AJ$10 * $BA$4, AJ$11 * 0.876) - (AJ$11 * $N56)) * 0.25,
        0
    )
)</f>
        <v/>
      </c>
      <c r="AK56" s="117">
        <f>IF(
    AND($H56 &gt; $BA$7, Tabella01MarzoInverter[[#This Row],[Active power TX2-INV-10]] &lt;= 0, Tabella01MarzoInverter[[#This Row],[Active power TX3-INV-7]] &lt;= 0),
    MIN(($H56 / 1000) * AK$10 * $BA$4, AK$11 * 0.876) * 0.25,
    IF(
        AND($H56 &gt; $BA$7, Tabella01MarzoInverter[[#This Row],[Active power TX2-INV-10]] &lt;= 0),
        Tabella01MarzoInverter[[#This Row],[Active power TX3-INV-7]] * 0.25,
        0
    )
    +
    IF(
        $N56 &lt; 0.875,
        MAX(0, MIN(($H56 / 1000) * AK$10 * $BA$4, AK$11 * 0.876) - (AK$11 * $N56)) * 0.25,
        0
    )
)</f>
        <v/>
      </c>
      <c r="AL56" s="117">
        <f>IF(
    AND($H56 &gt; $BA$7, Tabella01MarzoInverter[[#This Row],[Active power TX2-INV-11]] &lt;= 0, Tabella01MarzoInverter[[#This Row],[Active power TX3-INV-8]] &lt;= 0),
    MIN(($H56 / 1000) * AL$10 * $BA$4, AL$11 * 0.876) * 0.25,
    IF(
        AND($H56 &gt; $BA$7, Tabella01MarzoInverter[[#This Row],[Active power TX2-INV-11]] &lt;= 0),
        Tabella01MarzoInverter[[#This Row],[Active power TX3-INV-8]] * 0.25,
        0
    )
    +
    IF(
        $N56 &lt; 0.875,
        MAX(0, MIN(($H56 / 1000) * AL$10 * $BA$4, AL$11 * 0.876) - (AL$11 * $N56)) * 0.25,
        0
    )
)</f>
        <v/>
      </c>
      <c r="AM56" s="117">
        <f>IF(
    AND($H56 &gt; $BA$7, Tabella01MarzoInverter[[#This Row],[Active power TX2-INV-12]] &lt;= 0, Tabella01MarzoInverter[[#This Row],[Active power TX3-INV-9]] &lt;= 0),
    MIN(($H56 / 1000) * AM$10 * $BA$4, AM$11 * 0.876) * 0.25,
    IF(
        AND($H56 &gt; $BA$7, Tabella01MarzoInverter[[#This Row],[Active power TX2-INV-12]] &lt;= 0),
        Tabella01MarzoInverter[[#This Row],[Active power TX3-INV-9]] * 0.25,
        0
    )
    +
    IF(
        $N56 &lt; 0.875,
        MAX(0, MIN(($H56 / 1000) * AM$10 * $BA$4, AM$11 * 0.876) - (AM$11 * $N56)) * 0.25,
        0
    )
)</f>
        <v/>
      </c>
      <c r="AN56" s="118">
        <f>SUM(TabellaMar2026[[#This Row],[Colonna39]:[Colonna6]])</f>
        <v/>
      </c>
      <c r="AO56" s="117">
        <f t="array" ref="AO56">IF(
    AND($H56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($H56 / 1000) * AO$10 * $BA$4 * 0.25
    ),
    0
)
+
IF(
    $N56 &lt; 0.875,
    MAX(0, MIN(($H56 / 1000) * AO$10 * $BA$4, AO$11 * 0.876) - (AO$11 * $N56)) * 0.25,
    0
)</f>
        <v/>
      </c>
      <c r="AP56" s="117">
        <f t="array" ref="AP56">IF(
    AND($H56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($H56 / 1000) * AP$10 * $BA$4 * 0.25
    ),
    0
)
+
IF(
    $N56 &lt; 0.875,
    MAX(0, MIN(($H56 / 1000) * AP$10 * $BA$4, AP$11 * 0.876) - (AP$11 * $N56)) * 0.25,
    0
)</f>
        <v/>
      </c>
      <c r="AQ56" s="117">
        <f t="array" ref="AQ56">IF(
    AND($H56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($H56 / 1000) * AQ$10 * $BA$4 * 0.25
    ),
    0
)
+
IF(
    $N56 &lt; 0.875,
    MAX(0, MIN(($H56 / 1000) * AQ$10 * $BA$4, AQ$11 * 0.876) - (AQ$11 * $N56)) * 0.25,
    0
)</f>
        <v/>
      </c>
      <c r="AR56" s="117">
        <f t="array" ref="AR56">IF(
    AND($H56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($H56 / 1000) * AR$10 * $BA$4 * 0.25
    ),
    0
)
+
IF(
    $N56 &lt; 0.875,
    MAX(0, MIN(($H56 / 1000) * AR$10 * $BA$4, AR$11 * 0.876) - (AR$11 * $N56)) * 0.25,
    0
)</f>
        <v/>
      </c>
      <c r="AS56" s="117">
        <f t="array" ref="AS56">IF(
    AND($H56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($H56 / 1000) * AS$10 * $BA$4 * 0.25
    ),
    0
)
+
IF(
    $N56 &lt; 0.875,
    MAX(0, MIN(($H56 / 1000) * AS$10 * $BA$4, AS$11 * 0.876) - (AS$11 * $N56)) * 0.25,
    0
)</f>
        <v/>
      </c>
      <c r="AT56" s="117">
        <f t="array" ref="AT56">IF(
    AND($H56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($H56 / 1000) * AT$10 * $BA$4 * 0.25
    ),
    0
)
+
IF(
    $N56 &lt; 0.875,
    MAX(0, MIN(($H56 / 1000) * AT$10 * $BA$4, AT$11 * 0.876) - (AT$11 * $N56)) * 0.25,
    0
)</f>
        <v/>
      </c>
      <c r="AU56" s="117">
        <f t="array" ref="AU56">IF(
    AND($H56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($H56 / 1000) * AU$10 * $BA$4 * 0.25
    ),
    0
)
+
IF(
    $N56 &lt; 0.875,
    MAX(0, MIN(($H56 / 1000) * AU$10 * $BA$4, AU$11 * 0.876) - (AU$11 * $N56)) * 0.25,
    0
)</f>
        <v/>
      </c>
      <c r="AV56" s="117">
        <f t="array" ref="AV56">IF(
    AND($H56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($H56 / 1000) * AV$10 * $BA$4 * 0.25
    ),
    0
)
+
IF(
    $N56 &lt; 0.875,
    MAX(0, MIN(($H56 / 1000) * AV$10 * $BA$4, AV$11 * 0.876) - (AV$11 * $N56)) * 0.25,
    0
)</f>
        <v/>
      </c>
      <c r="AW56" s="117">
        <f t="array" ref="AW56">IF(
    AND($H56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($H56 / 1000) * AW$10 * $BA$4 * 0.25
    ),
    0
)
+
IF(
    $N56 &lt; 0.875,
    MAX(0, MIN(($H56 / 1000) * AW$10 * $BA$4, AW$11 * 0.876) - (AW$11 * $N56)) * 0.25,
    0
)</f>
        <v/>
      </c>
      <c r="AX56" s="117">
        <f t="array" ref="AX56">IF(
    AND($H56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($H56 / 1000) * AX$10 * $BA$4 * 0.25
    ),
    0
)
+
IF(
    $N56 &lt; 0.875,
    MAX(0, MIN(($H56 / 1000) * AX$10 * $BA$4, AX$11 * 0.876) - (AX$11 * $N56)) * 0.25,
    0
)</f>
        <v/>
      </c>
      <c r="AY56" s="117">
        <f t="array" ref="AY56">IF(
    AND($H56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($H56 / 1000) * AY$10 * $BA$4 * 0.25
    ),
    0
)
+
IF(
    $N56 &lt; 0.875,
    MAX(0, MIN(($H56 / 1000) * AY$10 * $BA$4, AY$11 * 0.876) - (AY$11 * $N56)) * 0.25,
    0
)</f>
        <v/>
      </c>
      <c r="AZ56" s="117">
        <f t="array" ref="AZ56">IF(
    AND($H56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($H56 / 1000) * AZ$10 * $BA$4 * 0.25
    ),
    0
)
+
IF(
    $N56 &lt; 0.875,
    MAX(0, MIN(($H56 / 1000) * AZ$10 * $BA$4, AZ$11 * 0.876) - (AZ$11 * $N56)) * 0.25,
    0
)</f>
        <v/>
      </c>
      <c r="BA56" s="119">
        <f>SUM(TabellaMar2026[[#This Row],[Colonna54]:[Colonna53]])</f>
        <v/>
      </c>
    </row>
    <row r="57">
      <c r="A57" s="112" t="n">
        <v>46143</v>
      </c>
      <c r="B57" t="inlineStr">
        <is>
          <t>10:30:00.000</t>
        </is>
      </c>
      <c r="C57" s="2" t="n">
        <v>822.1</v>
      </c>
      <c r="D57" s="113" t="n">
        <v>0.205525</v>
      </c>
      <c r="E57" s="113" t="n">
        <v>791.9</v>
      </c>
      <c r="F57" s="113" t="n">
        <v>0.197975</v>
      </c>
      <c r="G57" s="113">
        <f>IFERROR((D57+F57)/2, 0)</f>
        <v/>
      </c>
      <c r="H57" s="114">
        <f>IFERROR(IF(AVERAGE(C57,E57)&gt;$BA$7,AVERAGE(C57,E57),0), 0)</f>
        <v/>
      </c>
      <c r="I57" s="114">
        <f>IFERROR(IF(AND(D57=0,F57=0),0,IF(H57&gt;$BA$6,MAX(D57,F57),G57)), 0)</f>
        <v/>
      </c>
      <c r="J57" s="113">
        <f>IFERROR(IF(AND(D57&gt;0,F57&gt;0),ABS(D57-F57)/AVERAGE(D57,F57),0), 0)</f>
        <v/>
      </c>
      <c r="K57" s="113" t="n">
        <v>30117.6</v>
      </c>
      <c r="L57" s="113" t="n">
        <v>30119.7</v>
      </c>
      <c r="M57" s="115">
        <f>IFERROR((L57-K57)*1000, 0)</f>
        <v/>
      </c>
      <c r="N57" s="113" t="n">
        <v>0.8759999999999999</v>
      </c>
      <c r="O57" s="115">
        <f t="array" ref="O57">IF(
    AND($H57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($H57 / 1000) * O$10 * $BA$4 * 0.25
    ),
    0
)
+
IF(
    $N57 &lt; 0.875,
    MAX(0, MIN(($H57 / 1000) * O$10 * $BA$4, O$11 * 0.876) - (O$11 * $N57)) * 0.25,
    0
)</f>
        <v/>
      </c>
      <c r="P57" s="115">
        <f t="array" ref="P57">IF(
    AND($H57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($H57 / 1000) * P$10 * $BA$4 * 0.25
    ),
    0
)
+
IF(
    $N57 &lt; 0.875,
    MAX(0, MIN(($H57 / 1000) * P$10 * $BA$4, P$11 * 0.876) - (P$11 * $N57)) * 0.25,
    0
)</f>
        <v/>
      </c>
      <c r="Q57" s="115">
        <f t="array" ref="Q57">IF(
    AND($H57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($H57 / 1000) * Q$10 * $BA$4 * 0.25
    ),
    0
)
+
IF(
    $N57 &lt; 0.875,
    MAX(0, MIN(($H57 / 1000) * Q$10 * $BA$4, Q$11 * 0.876) - (Q$11 * $N57)) * 0.25,
    0
)</f>
        <v/>
      </c>
      <c r="R57" s="115">
        <f t="array" ref="R57">IF(
    AND($H57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($H57 / 1000) * R$10 * $BA$4 * 0.25
    ),
    0
)
+
IF(
    $N57 &lt; 0.875,
    MAX(0, MIN(($H57 / 1000) * R$10 * $BA$4, R$11 * 0.876) - (R$11 * $N57)) * 0.25,
    0
)</f>
        <v/>
      </c>
      <c r="S57" s="115">
        <f t="array" ref="S57">IF(
    AND($H57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($H57 / 1000) * S$10 * $BA$4 * 0.25
    ),
    0
)
+
IF(
    $N57 &lt; 0.875,
    MAX(0, MIN(($H57 / 1000) * S$10 * $BA$4, S$11 * 0.876) - (S$11 * $N57)) * 0.25,
    0
)</f>
        <v/>
      </c>
      <c r="T57" s="115">
        <f t="array" ref="T57">IF(
    AND($H57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($H57 / 1000) * T$10 * $BA$4 * 0.25
    ),
    0
)
+
IF(
    $N57 &lt; 0.875,
    MAX(0, MIN(($H57 / 1000) * T$10 * $BA$4, T$11 * 0.876) - (T$11 * $N57)) * 0.25,
    0
)</f>
        <v/>
      </c>
      <c r="U57" s="115">
        <f t="array" ref="U57">IF(
    AND($H57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($H57 / 1000) * U$10 * $BA$4 * 0.25
    ),
    0
)
+
IF(
    $N57 &lt; 0.875,
    MAX(0, MIN(($H57 / 1000) * U$10 * $BA$4, U$11 * 0.876) - (U$11 * $N57)) * 0.25,
    0
)</f>
        <v/>
      </c>
      <c r="V57" s="115">
        <f t="array" ref="V57">IF(
    AND($H57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($H57 / 1000) * V$10 * $BA$4 * 0.25
    ),
    0
)
+
IF(
    $N57 &lt; 0.875,
    MAX(0, MIN(($H57 / 1000) * V$10 * $BA$4, V$11 * 0.876) - (V$11 * $N57)) * 0.25,
    0
)</f>
        <v/>
      </c>
      <c r="W57" s="115">
        <f t="array" ref="W57">IF(
    AND($H57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($H57 / 1000) * W$10 * $BA$4 * 0.25
    ),
    0
)
+
IF(
    $N57 &lt; 0.875,
    MAX(0, MIN(($H57 / 1000) * W$10 * $BA$4, W$11 * 0.876) - (W$11 * $N57)) * 0.25,
    0
)</f>
        <v/>
      </c>
      <c r="X57" s="115">
        <f t="array" ref="X57">IF(
    AND($H57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($H57 / 1000) * X$10 * $BA$4 * 0.25
    ),
    0
)
+
IF(
    $N57 &lt; 0.875,
    MAX(0, MIN(($H57 / 1000) * X$10 * $BA$4, X$11 * 0.876) - (X$11 * $N57)) * 0.25,
    0
)</f>
        <v/>
      </c>
      <c r="Y57" s="115">
        <f t="array" ref="Y57">IF(
    AND($H57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($H57 / 1000) * Y$10 * $BA$4 * 0.25
    ),
    0
)
+
IF(
    $N57 &lt; 0.875,
    MAX(0, MIN(($H57 / 1000) * Y$10 * $BA$4, Y$11 * 0.876) - (Y$11 * $N57)) * 0.25,
    0
)</f>
        <v/>
      </c>
      <c r="Z57" s="115">
        <f t="array" ref="Z57">IF(
    AND($H57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($H57 / 1000) * Z$10 * $BA$4 * 0.25
    ),
    0
)
+
IF(
    $N57 &lt; 0.875,
    MAX(0, MIN(($H57 / 1000) * Z$10 * $BA$4, Z$11 * 0.876) - (Z$11 * $N57)) * 0.25,
    0
)</f>
        <v/>
      </c>
      <c r="AA57" s="116">
        <f>SUM(TabellaMar2026[[#This Row],[Colonna24]:[Colonna20]])</f>
        <v/>
      </c>
      <c r="AB57" s="117">
        <f>IF(
    AND($H57 &gt; $BA$7, Tabella01MarzoInverter[[#This Row],[Active power TX2-INV-1]] &lt;= 0, Tabella01MarzoInverter[[#This Row],[TX2 - Average Power]] &lt;= 0),
    MIN(($H57 / 1000) * AB$10 * $BA$4, AB$11 * 0.876) * 0.25,
    IF(
        AND($H57 &gt; $BA$7, Tabella01MarzoInverter[[#This Row],[Active power TX2-INV-1]] &lt;= 0),
        Tabella01MarzoInverter[[#This Row],[TX2 - Average Power]] * 0.25,
        0
    )
    +
    IF(
        $N57 &lt; 0.875,
        MAX(0, MIN(($H57 / 1000) * AB$10 * $BA$4, AB$11 * 0.876) - (AB$11 * $N57)) * 0.25,
        0
    )
)</f>
        <v/>
      </c>
      <c r="AC57" s="117">
        <f>IF(
    AND($H57 &gt; $BA$7, Tabella01MarzoInverter[[#This Row],[Active power TX2-INV-2]] &lt;= 0, Tabella01MarzoInverter[[#This Row],[TX2 - Max Power]] &lt;= 0),
    MIN(($H57 / 1000) * AC$10 * $BA$4, AC$11 * 0.876) * 0.25,
    IF(
        AND($H57 &gt; $BA$7, Tabella01MarzoInverter[[#This Row],[Active power TX2-INV-2]] &lt;= 0),
        Tabella01MarzoInverter[[#This Row],[TX2 - Max Power]] * 0.25,
        0
    )
    +
    IF(
        $N57 &lt; 0.875,
        MAX(0, MIN(($H57 / 1000) * AC$10 * $BA$4, AC$11 * 0.876) - (AC$11 * $N57)) * 0.25,
        0
    )
)</f>
        <v/>
      </c>
      <c r="AD57" s="117">
        <f>IF(
    AND($H57 &gt; $BA$7, Tabella01MarzoInverter[[#This Row],[Active power TX2-INV-3]] &lt;= 0, Tabella01MarzoInverter[[#This Row],[TX2 - Min Power]] &lt;= 0),
    MIN(($H57 / 1000) * AD$10 * $BA$4, AD$11 * 0.876) * 0.25,
    IF(
        AND($H57 &gt; $BA$7, Tabella01MarzoInverter[[#This Row],[Active power TX2-INV-3]] &lt;= 0),
        Tabella01MarzoInverter[[#This Row],[TX2 - Min Power]] * 0.25,
        0
    )
    +
    IF(
        $N57 &lt; 0.875,
        MAX(0, MIN(($H57 / 1000) * AD$10 * $BA$4, AD$11 * 0.876) - (AD$11 * $N57)) * 0.25,
        0
    )
)</f>
        <v/>
      </c>
      <c r="AE57" s="117">
        <f>IF(
    AND($H57 &gt; $BA$7, Tabella01MarzoInverter[[#This Row],[Active power TX2-INV-4]] &lt;= 0, Tabella01MarzoInverter[[#This Row],[Active power TX3-INV-1]] &lt;= 0),
    MIN(($H57 / 1000) * AE$10 * $BA$4, AE$11 * 0.876) * 0.25,
    IF(
        AND($H57 &gt; $BA$7, Tabella01MarzoInverter[[#This Row],[Active power TX2-INV-4]] &lt;= 0),
        Tabella01MarzoInverter[[#This Row],[Active power TX3-INV-1]] * 0.25,
        0
    )
    +
    IF(
        $N57 &lt; 0.875,
        MAX(0, MIN(($H57 / 1000) * AE$10 * $BA$4, AE$11 * 0.876) - (AE$11 * $N57)) * 0.25,
        0
    )
)</f>
        <v/>
      </c>
      <c r="AF57" s="117">
        <f>IF(
    AND($H57 &gt; $BA$7, Tabella01MarzoInverter[[#This Row],[Active power TX2-INV-5]] &lt;= 0, Tabella01MarzoInverter[[#This Row],[Active power TX3-INV-2]] &lt;= 0),
    MIN(($H57 / 1000) * AF$10 * $BA$4, AF$11 * 0.876) * 0.25,
    IF(
        AND($H57 &gt; $BA$7, Tabella01MarzoInverter[[#This Row],[Active power TX2-INV-5]] &lt;= 0),
        Tabella01MarzoInverter[[#This Row],[Active power TX3-INV-2]] * 0.25,
        0
    )
    +
    IF(
        $N57 &lt; 0.875,
        MAX(0, MIN(($H57 / 1000) * AF$10 * $BA$4, AF$11 * 0.876) - (AF$11 * $N57)) * 0.25,
        0
    )
)</f>
        <v/>
      </c>
      <c r="AG57" s="117">
        <f>IF(
    AND($H57 &gt; $BA$7, Tabella01MarzoInverter[[#This Row],[Active power TX2-INV-6]] &lt;= 0, Tabella01MarzoInverter[[#This Row],[Active power TX3-INV-3]] &lt;= 0),
    MIN(($H57 / 1000) * AG$10 * $BA$4, AG$11 * 0.876) * 0.25,
    IF(
        AND($H57 &gt; $BA$7, Tabella01MarzoInverter[[#This Row],[Active power TX2-INV-6]] &lt;= 0),
        Tabella01MarzoInverter[[#This Row],[Active power TX3-INV-3]] * 0.25,
        0
    )
    +
    IF(
        $N57 &lt; 0.875,
        MAX(0, MIN(($H57 / 1000) * AG$10 * $BA$4, AG$11 * 0.876) - (AG$11 * $N57)) * 0.25,
        0
    )
)</f>
        <v/>
      </c>
      <c r="AH57" s="117">
        <f>IF(
    AND($H57 &gt; $BA$7, Tabella01MarzoInverter[[#This Row],[Active power TX2-INV-7]] &lt;= 0, Tabella01MarzoInverter[[#This Row],[Active power TX3-INV-4]] &lt;= 0),
    MIN(($H57 / 1000) * AH$10 * $BA$4, AH$11 * 0.876) * 0.25,
    IF(
        AND($H57 &gt; $BA$7, Tabella01MarzoInverter[[#This Row],[Active power TX2-INV-7]] &lt;= 0),
        Tabella01MarzoInverter[[#This Row],[Active power TX3-INV-4]] * 0.25,
        0
    )
    +
    IF(
        $N57 &lt; 0.875,
        MAX(0, MIN(($H57 / 1000) * AH$10 * $BA$4, AH$11 * 0.876) - (AH$11 * $N57)) * 0.25,
        0
    )
)</f>
        <v/>
      </c>
      <c r="AI57" s="117">
        <f>IF(
    AND($H57 &gt; $BA$7, Tabella01MarzoInverter[[#This Row],[Active power TX2-INV-8]] &lt;= 0, Tabella01MarzoInverter[[#This Row],[Active power TX3-INV-5]] &lt;= 0),
    MIN(($H57 / 1000) * AI$10 * $BA$4, AI$11 * 0.876) * 0.25,
    IF(
        AND($H57 &gt; $BA$7, Tabella01MarzoInverter[[#This Row],[Active power TX2-INV-8]] &lt;= 0),
        Tabella01MarzoInverter[[#This Row],[Active power TX3-INV-5]] * 0.25,
        0
    )
    +
    IF(
        $N57 &lt; 0.875,
        MAX(0, MIN(($H57 / 1000) * AI$10 * $BA$4, AI$11 * 0.876) - (AI$11 * $N57)) * 0.25,
        0
    )
)</f>
        <v/>
      </c>
      <c r="AJ57" s="117">
        <f>IF(
    AND($H57 &gt; $BA$7, Tabella01MarzoInverter[[#This Row],[Active power TX2-INV-9]] &lt;= 0, Tabella01MarzoInverter[[#This Row],[Active power TX3-INV-6]] &lt;= 0),
    MIN(($H57 / 1000) * AJ$10 * $BA$4, AJ$11 * 0.876) * 0.25,
    IF(
        AND($H57 &gt; $BA$7, Tabella01MarzoInverter[[#This Row],[Active power TX2-INV-9]] &lt;= 0),
        Tabella01MarzoInverter[[#This Row],[Active power TX3-INV-6]] * 0.25,
        0
    )
    +
    IF(
        $N57 &lt; 0.875,
        MAX(0, MIN(($H57 / 1000) * AJ$10 * $BA$4, AJ$11 * 0.876) - (AJ$11 * $N57)) * 0.25,
        0
    )
)</f>
        <v/>
      </c>
      <c r="AK57" s="117">
        <f>IF(
    AND($H57 &gt; $BA$7, Tabella01MarzoInverter[[#This Row],[Active power TX2-INV-10]] &lt;= 0, Tabella01MarzoInverter[[#This Row],[Active power TX3-INV-7]] &lt;= 0),
    MIN(($H57 / 1000) * AK$10 * $BA$4, AK$11 * 0.876) * 0.25,
    IF(
        AND($H57 &gt; $BA$7, Tabella01MarzoInverter[[#This Row],[Active power TX2-INV-10]] &lt;= 0),
        Tabella01MarzoInverter[[#This Row],[Active power TX3-INV-7]] * 0.25,
        0
    )
    +
    IF(
        $N57 &lt; 0.875,
        MAX(0, MIN(($H57 / 1000) * AK$10 * $BA$4, AK$11 * 0.876) - (AK$11 * $N57)) * 0.25,
        0
    )
)</f>
        <v/>
      </c>
      <c r="AL57" s="117">
        <f>IF(
    AND($H57 &gt; $BA$7, Tabella01MarzoInverter[[#This Row],[Active power TX2-INV-11]] &lt;= 0, Tabella01MarzoInverter[[#This Row],[Active power TX3-INV-8]] &lt;= 0),
    MIN(($H57 / 1000) * AL$10 * $BA$4, AL$11 * 0.876) * 0.25,
    IF(
        AND($H57 &gt; $BA$7, Tabella01MarzoInverter[[#This Row],[Active power TX2-INV-11]] &lt;= 0),
        Tabella01MarzoInverter[[#This Row],[Active power TX3-INV-8]] * 0.25,
        0
    )
    +
    IF(
        $N57 &lt; 0.875,
        MAX(0, MIN(($H57 / 1000) * AL$10 * $BA$4, AL$11 * 0.876) - (AL$11 * $N57)) * 0.25,
        0
    )
)</f>
        <v/>
      </c>
      <c r="AM57" s="117">
        <f>IF(
    AND($H57 &gt; $BA$7, Tabella01MarzoInverter[[#This Row],[Active power TX2-INV-12]] &lt;= 0, Tabella01MarzoInverter[[#This Row],[Active power TX3-INV-9]] &lt;= 0),
    MIN(($H57 / 1000) * AM$10 * $BA$4, AM$11 * 0.876) * 0.25,
    IF(
        AND($H57 &gt; $BA$7, Tabella01MarzoInverter[[#This Row],[Active power TX2-INV-12]] &lt;= 0),
        Tabella01MarzoInverter[[#This Row],[Active power TX3-INV-9]] * 0.25,
        0
    )
    +
    IF(
        $N57 &lt; 0.875,
        MAX(0, MIN(($H57 / 1000) * AM$10 * $BA$4, AM$11 * 0.876) - (AM$11 * $N57)) * 0.25,
        0
    )
)</f>
        <v/>
      </c>
      <c r="AN57" s="118">
        <f>SUM(TabellaMar2026[[#This Row],[Colonna39]:[Colonna6]])</f>
        <v/>
      </c>
      <c r="AO57" s="117">
        <f t="array" ref="AO57">IF(
    AND($H57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($H57 / 1000) * AO$10 * $BA$4 * 0.25
    ),
    0
)
+
IF(
    $N57 &lt; 0.875,
    MAX(0, MIN(($H57 / 1000) * AO$10 * $BA$4, AO$11 * 0.876) - (AO$11 * $N57)) * 0.25,
    0
)</f>
        <v/>
      </c>
      <c r="AP57" s="117">
        <f t="array" ref="AP57">IF(
    AND($H57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($H57 / 1000) * AP$10 * $BA$4 * 0.25
    ),
    0
)
+
IF(
    $N57 &lt; 0.875,
    MAX(0, MIN(($H57 / 1000) * AP$10 * $BA$4, AP$11 * 0.876) - (AP$11 * $N57)) * 0.25,
    0
)</f>
        <v/>
      </c>
      <c r="AQ57" s="117">
        <f t="array" ref="AQ57">IF(
    AND($H57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($H57 / 1000) * AQ$10 * $BA$4 * 0.25
    ),
    0
)
+
IF(
    $N57 &lt; 0.875,
    MAX(0, MIN(($H57 / 1000) * AQ$10 * $BA$4, AQ$11 * 0.876) - (AQ$11 * $N57)) * 0.25,
    0
)</f>
        <v/>
      </c>
      <c r="AR57" s="117">
        <f t="array" ref="AR57">IF(
    AND($H57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($H57 / 1000) * AR$10 * $BA$4 * 0.25
    ),
    0
)
+
IF(
    $N57 &lt; 0.875,
    MAX(0, MIN(($H57 / 1000) * AR$10 * $BA$4, AR$11 * 0.876) - (AR$11 * $N57)) * 0.25,
    0
)</f>
        <v/>
      </c>
      <c r="AS57" s="117">
        <f t="array" ref="AS57">IF(
    AND($H57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($H57 / 1000) * AS$10 * $BA$4 * 0.25
    ),
    0
)
+
IF(
    $N57 &lt; 0.875,
    MAX(0, MIN(($H57 / 1000) * AS$10 * $BA$4, AS$11 * 0.876) - (AS$11 * $N57)) * 0.25,
    0
)</f>
        <v/>
      </c>
      <c r="AT57" s="117">
        <f t="array" ref="AT57">IF(
    AND($H57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($H57 / 1000) * AT$10 * $BA$4 * 0.25
    ),
    0
)
+
IF(
    $N57 &lt; 0.875,
    MAX(0, MIN(($H57 / 1000) * AT$10 * $BA$4, AT$11 * 0.876) - (AT$11 * $N57)) * 0.25,
    0
)</f>
        <v/>
      </c>
      <c r="AU57" s="117">
        <f t="array" ref="AU57">IF(
    AND($H57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($H57 / 1000) * AU$10 * $BA$4 * 0.25
    ),
    0
)
+
IF(
    $N57 &lt; 0.875,
    MAX(0, MIN(($H57 / 1000) * AU$10 * $BA$4, AU$11 * 0.876) - (AU$11 * $N57)) * 0.25,
    0
)</f>
        <v/>
      </c>
      <c r="AV57" s="117">
        <f t="array" ref="AV57">IF(
    AND($H57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($H57 / 1000) * AV$10 * $BA$4 * 0.25
    ),
    0
)
+
IF(
    $N57 &lt; 0.875,
    MAX(0, MIN(($H57 / 1000) * AV$10 * $BA$4, AV$11 * 0.876) - (AV$11 * $N57)) * 0.25,
    0
)</f>
        <v/>
      </c>
      <c r="AW57" s="117">
        <f t="array" ref="AW57">IF(
    AND($H57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($H57 / 1000) * AW$10 * $BA$4 * 0.25
    ),
    0
)
+
IF(
    $N57 &lt; 0.875,
    MAX(0, MIN(($H57 / 1000) * AW$10 * $BA$4, AW$11 * 0.876) - (AW$11 * $N57)) * 0.25,
    0
)</f>
        <v/>
      </c>
      <c r="AX57" s="117">
        <f t="array" ref="AX57">IF(
    AND($H57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($H57 / 1000) * AX$10 * $BA$4 * 0.25
    ),
    0
)
+
IF(
    $N57 &lt; 0.875,
    MAX(0, MIN(($H57 / 1000) * AX$10 * $BA$4, AX$11 * 0.876) - (AX$11 * $N57)) * 0.25,
    0
)</f>
        <v/>
      </c>
      <c r="AY57" s="117">
        <f t="array" ref="AY57">IF(
    AND($H57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($H57 / 1000) * AY$10 * $BA$4 * 0.25
    ),
    0
)
+
IF(
    $N57 &lt; 0.875,
    MAX(0, MIN(($H57 / 1000) * AY$10 * $BA$4, AY$11 * 0.876) - (AY$11 * $N57)) * 0.25,
    0
)</f>
        <v/>
      </c>
      <c r="AZ57" s="117">
        <f t="array" ref="AZ57">IF(
    AND($H57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($H57 / 1000) * AZ$10 * $BA$4 * 0.25
    ),
    0
)
+
IF(
    $N57 &lt; 0.875,
    MAX(0, MIN(($H57 / 1000) * AZ$10 * $BA$4, AZ$11 * 0.876) - (AZ$11 * $N57)) * 0.25,
    0
)</f>
        <v/>
      </c>
      <c r="BA57" s="119">
        <f>SUM(TabellaMar2026[[#This Row],[Colonna54]:[Colonna53]])</f>
        <v/>
      </c>
    </row>
    <row r="58">
      <c r="A58" s="112" t="n">
        <v>46143</v>
      </c>
      <c r="B58" t="inlineStr">
        <is>
          <t>10:45:00.000</t>
        </is>
      </c>
      <c r="C58" s="2" t="n">
        <v>960</v>
      </c>
      <c r="D58" s="113" t="n">
        <v>0.24</v>
      </c>
      <c r="E58" s="113" t="n">
        <v>943.6</v>
      </c>
      <c r="F58" s="113" t="n">
        <v>0.2359</v>
      </c>
      <c r="G58" s="113">
        <f>IFERROR((D58+F58)/2, 0)</f>
        <v/>
      </c>
      <c r="H58" s="114">
        <f>IFERROR(IF(AVERAGE(C58,E58)&gt;$BA$7,AVERAGE(C58,E58),0), 0)</f>
        <v/>
      </c>
      <c r="I58" s="114">
        <f>IFERROR(IF(AND(D58=0,F58=0),0,IF(H58&gt;$BA$6,MAX(D58,F58),G58)), 0)</f>
        <v/>
      </c>
      <c r="J58" s="113">
        <f>IFERROR(IF(AND(D58&gt;0,F58&gt;0),ABS(D58-F58)/AVERAGE(D58,F58),0), 0)</f>
        <v/>
      </c>
      <c r="K58" s="113" t="n">
        <v>30119.7</v>
      </c>
      <c r="L58" s="113" t="n">
        <v>30122.1</v>
      </c>
      <c r="M58" s="115">
        <f>IFERROR((L58-K58)*1000, 0)</f>
        <v/>
      </c>
      <c r="N58" s="113" t="n">
        <v>0.8759999999999999</v>
      </c>
      <c r="O58" s="115">
        <f t="array" ref="O58">IF(
    AND($H58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($H58 / 1000) * O$10 * $BA$4 * 0.25
    ),
    0
)
+
IF(
    $N58 &lt; 0.875,
    MAX(0, MIN(($H58 / 1000) * O$10 * $BA$4, O$11 * 0.876) - (O$11 * $N58)) * 0.25,
    0
)</f>
        <v/>
      </c>
      <c r="P58" s="115">
        <f t="array" ref="P58">IF(
    AND($H58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($H58 / 1000) * P$10 * $BA$4 * 0.25
    ),
    0
)
+
IF(
    $N58 &lt; 0.875,
    MAX(0, MIN(($H58 / 1000) * P$10 * $BA$4, P$11 * 0.876) - (P$11 * $N58)) * 0.25,
    0
)</f>
        <v/>
      </c>
      <c r="Q58" s="115">
        <f t="array" ref="Q58">IF(
    AND($H58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($H58 / 1000) * Q$10 * $BA$4 * 0.25
    ),
    0
)
+
IF(
    $N58 &lt; 0.875,
    MAX(0, MIN(($H58 / 1000) * Q$10 * $BA$4, Q$11 * 0.876) - (Q$11 * $N58)) * 0.25,
    0
)</f>
        <v/>
      </c>
      <c r="R58" s="115">
        <f t="array" ref="R58">IF(
    AND($H58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($H58 / 1000) * R$10 * $BA$4 * 0.25
    ),
    0
)
+
IF(
    $N58 &lt; 0.875,
    MAX(0, MIN(($H58 / 1000) * R$10 * $BA$4, R$11 * 0.876) - (R$11 * $N58)) * 0.25,
    0
)</f>
        <v/>
      </c>
      <c r="S58" s="115">
        <f t="array" ref="S58">IF(
    AND($H58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($H58 / 1000) * S$10 * $BA$4 * 0.25
    ),
    0
)
+
IF(
    $N58 &lt; 0.875,
    MAX(0, MIN(($H58 / 1000) * S$10 * $BA$4, S$11 * 0.876) - (S$11 * $N58)) * 0.25,
    0
)</f>
        <v/>
      </c>
      <c r="T58" s="115">
        <f t="array" ref="T58">IF(
    AND($H58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($H58 / 1000) * T$10 * $BA$4 * 0.25
    ),
    0
)
+
IF(
    $N58 &lt; 0.875,
    MAX(0, MIN(($H58 / 1000) * T$10 * $BA$4, T$11 * 0.876) - (T$11 * $N58)) * 0.25,
    0
)</f>
        <v/>
      </c>
      <c r="U58" s="115">
        <f t="array" ref="U58">IF(
    AND($H58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($H58 / 1000) * U$10 * $BA$4 * 0.25
    ),
    0
)
+
IF(
    $N58 &lt; 0.875,
    MAX(0, MIN(($H58 / 1000) * U$10 * $BA$4, U$11 * 0.876) - (U$11 * $N58)) * 0.25,
    0
)</f>
        <v/>
      </c>
      <c r="V58" s="115">
        <f t="array" ref="V58">IF(
    AND($H58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($H58 / 1000) * V$10 * $BA$4 * 0.25
    ),
    0
)
+
IF(
    $N58 &lt; 0.875,
    MAX(0, MIN(($H58 / 1000) * V$10 * $BA$4, V$11 * 0.876) - (V$11 * $N58)) * 0.25,
    0
)</f>
        <v/>
      </c>
      <c r="W58" s="115">
        <f t="array" ref="W58">IF(
    AND($H58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($H58 / 1000) * W$10 * $BA$4 * 0.25
    ),
    0
)
+
IF(
    $N58 &lt; 0.875,
    MAX(0, MIN(($H58 / 1000) * W$10 * $BA$4, W$11 * 0.876) - (W$11 * $N58)) * 0.25,
    0
)</f>
        <v/>
      </c>
      <c r="X58" s="115">
        <f t="array" ref="X58">IF(
    AND($H58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($H58 / 1000) * X$10 * $BA$4 * 0.25
    ),
    0
)
+
IF(
    $N58 &lt; 0.875,
    MAX(0, MIN(($H58 / 1000) * X$10 * $BA$4, X$11 * 0.876) - (X$11 * $N58)) * 0.25,
    0
)</f>
        <v/>
      </c>
      <c r="Y58" s="115">
        <f t="array" ref="Y58">IF(
    AND($H58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($H58 / 1000) * Y$10 * $BA$4 * 0.25
    ),
    0
)
+
IF(
    $N58 &lt; 0.875,
    MAX(0, MIN(($H58 / 1000) * Y$10 * $BA$4, Y$11 * 0.876) - (Y$11 * $N58)) * 0.25,
    0
)</f>
        <v/>
      </c>
      <c r="Z58" s="115">
        <f t="array" ref="Z58">IF(
    AND($H58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($H58 / 1000) * Z$10 * $BA$4 * 0.25
    ),
    0
)
+
IF(
    $N58 &lt; 0.875,
    MAX(0, MIN(($H58 / 1000) * Z$10 * $BA$4, Z$11 * 0.876) - (Z$11 * $N58)) * 0.25,
    0
)</f>
        <v/>
      </c>
      <c r="AA58" s="116">
        <f>SUM(TabellaMar2026[[#This Row],[Colonna24]:[Colonna20]])</f>
        <v/>
      </c>
      <c r="AB58" s="117">
        <f>IF(
    AND($H58 &gt; $BA$7, Tabella01MarzoInverter[[#This Row],[Active power TX2-INV-1]] &lt;= 0, Tabella01MarzoInverter[[#This Row],[TX2 - Average Power]] &lt;= 0),
    MIN(($H58 / 1000) * AB$10 * $BA$4, AB$11 * 0.876) * 0.25,
    IF(
        AND($H58 &gt; $BA$7, Tabella01MarzoInverter[[#This Row],[Active power TX2-INV-1]] &lt;= 0),
        Tabella01MarzoInverter[[#This Row],[TX2 - Average Power]] * 0.25,
        0
    )
    +
    IF(
        $N58 &lt; 0.875,
        MAX(0, MIN(($H58 / 1000) * AB$10 * $BA$4, AB$11 * 0.876) - (AB$11 * $N58)) * 0.25,
        0
    )
)</f>
        <v/>
      </c>
      <c r="AC58" s="117">
        <f>IF(
    AND($H58 &gt; $BA$7, Tabella01MarzoInverter[[#This Row],[Active power TX2-INV-2]] &lt;= 0, Tabella01MarzoInverter[[#This Row],[TX2 - Max Power]] &lt;= 0),
    MIN(($H58 / 1000) * AC$10 * $BA$4, AC$11 * 0.876) * 0.25,
    IF(
        AND($H58 &gt; $BA$7, Tabella01MarzoInverter[[#This Row],[Active power TX2-INV-2]] &lt;= 0),
        Tabella01MarzoInverter[[#This Row],[TX2 - Max Power]] * 0.25,
        0
    )
    +
    IF(
        $N58 &lt; 0.875,
        MAX(0, MIN(($H58 / 1000) * AC$10 * $BA$4, AC$11 * 0.876) - (AC$11 * $N58)) * 0.25,
        0
    )
)</f>
        <v/>
      </c>
      <c r="AD58" s="117">
        <f>IF(
    AND($H58 &gt; $BA$7, Tabella01MarzoInverter[[#This Row],[Active power TX2-INV-3]] &lt;= 0, Tabella01MarzoInverter[[#This Row],[TX2 - Min Power]] &lt;= 0),
    MIN(($H58 / 1000) * AD$10 * $BA$4, AD$11 * 0.876) * 0.25,
    IF(
        AND($H58 &gt; $BA$7, Tabella01MarzoInverter[[#This Row],[Active power TX2-INV-3]] &lt;= 0),
        Tabella01MarzoInverter[[#This Row],[TX2 - Min Power]] * 0.25,
        0
    )
    +
    IF(
        $N58 &lt; 0.875,
        MAX(0, MIN(($H58 / 1000) * AD$10 * $BA$4, AD$11 * 0.876) - (AD$11 * $N58)) * 0.25,
        0
    )
)</f>
        <v/>
      </c>
      <c r="AE58" s="117">
        <f>IF(
    AND($H58 &gt; $BA$7, Tabella01MarzoInverter[[#This Row],[Active power TX2-INV-4]] &lt;= 0, Tabella01MarzoInverter[[#This Row],[Active power TX3-INV-1]] &lt;= 0),
    MIN(($H58 / 1000) * AE$10 * $BA$4, AE$11 * 0.876) * 0.25,
    IF(
        AND($H58 &gt; $BA$7, Tabella01MarzoInverter[[#This Row],[Active power TX2-INV-4]] &lt;= 0),
        Tabella01MarzoInverter[[#This Row],[Active power TX3-INV-1]] * 0.25,
        0
    )
    +
    IF(
        $N58 &lt; 0.875,
        MAX(0, MIN(($H58 / 1000) * AE$10 * $BA$4, AE$11 * 0.876) - (AE$11 * $N58)) * 0.25,
        0
    )
)</f>
        <v/>
      </c>
      <c r="AF58" s="117">
        <f>IF(
    AND($H58 &gt; $BA$7, Tabella01MarzoInverter[[#This Row],[Active power TX2-INV-5]] &lt;= 0, Tabella01MarzoInverter[[#This Row],[Active power TX3-INV-2]] &lt;= 0),
    MIN(($H58 / 1000) * AF$10 * $BA$4, AF$11 * 0.876) * 0.25,
    IF(
        AND($H58 &gt; $BA$7, Tabella01MarzoInverter[[#This Row],[Active power TX2-INV-5]] &lt;= 0),
        Tabella01MarzoInverter[[#This Row],[Active power TX3-INV-2]] * 0.25,
        0
    )
    +
    IF(
        $N58 &lt; 0.875,
        MAX(0, MIN(($H58 / 1000) * AF$10 * $BA$4, AF$11 * 0.876) - (AF$11 * $N58)) * 0.25,
        0
    )
)</f>
        <v/>
      </c>
      <c r="AG58" s="117">
        <f>IF(
    AND($H58 &gt; $BA$7, Tabella01MarzoInverter[[#This Row],[Active power TX2-INV-6]] &lt;= 0, Tabella01MarzoInverter[[#This Row],[Active power TX3-INV-3]] &lt;= 0),
    MIN(($H58 / 1000) * AG$10 * $BA$4, AG$11 * 0.876) * 0.25,
    IF(
        AND($H58 &gt; $BA$7, Tabella01MarzoInverter[[#This Row],[Active power TX2-INV-6]] &lt;= 0),
        Tabella01MarzoInverter[[#This Row],[Active power TX3-INV-3]] * 0.25,
        0
    )
    +
    IF(
        $N58 &lt; 0.875,
        MAX(0, MIN(($H58 / 1000) * AG$10 * $BA$4, AG$11 * 0.876) - (AG$11 * $N58)) * 0.25,
        0
    )
)</f>
        <v/>
      </c>
      <c r="AH58" s="117">
        <f>IF(
    AND($H58 &gt; $BA$7, Tabella01MarzoInverter[[#This Row],[Active power TX2-INV-7]] &lt;= 0, Tabella01MarzoInverter[[#This Row],[Active power TX3-INV-4]] &lt;= 0),
    MIN(($H58 / 1000) * AH$10 * $BA$4, AH$11 * 0.876) * 0.25,
    IF(
        AND($H58 &gt; $BA$7, Tabella01MarzoInverter[[#This Row],[Active power TX2-INV-7]] &lt;= 0),
        Tabella01MarzoInverter[[#This Row],[Active power TX3-INV-4]] * 0.25,
        0
    )
    +
    IF(
        $N58 &lt; 0.875,
        MAX(0, MIN(($H58 / 1000) * AH$10 * $BA$4, AH$11 * 0.876) - (AH$11 * $N58)) * 0.25,
        0
    )
)</f>
        <v/>
      </c>
      <c r="AI58" s="117">
        <f>IF(
    AND($H58 &gt; $BA$7, Tabella01MarzoInverter[[#This Row],[Active power TX2-INV-8]] &lt;= 0, Tabella01MarzoInverter[[#This Row],[Active power TX3-INV-5]] &lt;= 0),
    MIN(($H58 / 1000) * AI$10 * $BA$4, AI$11 * 0.876) * 0.25,
    IF(
        AND($H58 &gt; $BA$7, Tabella01MarzoInverter[[#This Row],[Active power TX2-INV-8]] &lt;= 0),
        Tabella01MarzoInverter[[#This Row],[Active power TX3-INV-5]] * 0.25,
        0
    )
    +
    IF(
        $N58 &lt; 0.875,
        MAX(0, MIN(($H58 / 1000) * AI$10 * $BA$4, AI$11 * 0.876) - (AI$11 * $N58)) * 0.25,
        0
    )
)</f>
        <v/>
      </c>
      <c r="AJ58" s="117">
        <f>IF(
    AND($H58 &gt; $BA$7, Tabella01MarzoInverter[[#This Row],[Active power TX2-INV-9]] &lt;= 0, Tabella01MarzoInverter[[#This Row],[Active power TX3-INV-6]] &lt;= 0),
    MIN(($H58 / 1000) * AJ$10 * $BA$4, AJ$11 * 0.876) * 0.25,
    IF(
        AND($H58 &gt; $BA$7, Tabella01MarzoInverter[[#This Row],[Active power TX2-INV-9]] &lt;= 0),
        Tabella01MarzoInverter[[#This Row],[Active power TX3-INV-6]] * 0.25,
        0
    )
    +
    IF(
        $N58 &lt; 0.875,
        MAX(0, MIN(($H58 / 1000) * AJ$10 * $BA$4, AJ$11 * 0.876) - (AJ$11 * $N58)) * 0.25,
        0
    )
)</f>
        <v/>
      </c>
      <c r="AK58" s="117">
        <f>IF(
    AND($H58 &gt; $BA$7, Tabella01MarzoInverter[[#This Row],[Active power TX2-INV-10]] &lt;= 0, Tabella01MarzoInverter[[#This Row],[Active power TX3-INV-7]] &lt;= 0),
    MIN(($H58 / 1000) * AK$10 * $BA$4, AK$11 * 0.876) * 0.25,
    IF(
        AND($H58 &gt; $BA$7, Tabella01MarzoInverter[[#This Row],[Active power TX2-INV-10]] &lt;= 0),
        Tabella01MarzoInverter[[#This Row],[Active power TX3-INV-7]] * 0.25,
        0
    )
    +
    IF(
        $N58 &lt; 0.875,
        MAX(0, MIN(($H58 / 1000) * AK$10 * $BA$4, AK$11 * 0.876) - (AK$11 * $N58)) * 0.25,
        0
    )
)</f>
        <v/>
      </c>
      <c r="AL58" s="117">
        <f>IF(
    AND($H58 &gt; $BA$7, Tabella01MarzoInverter[[#This Row],[Active power TX2-INV-11]] &lt;= 0, Tabella01MarzoInverter[[#This Row],[Active power TX3-INV-8]] &lt;= 0),
    MIN(($H58 / 1000) * AL$10 * $BA$4, AL$11 * 0.876) * 0.25,
    IF(
        AND($H58 &gt; $BA$7, Tabella01MarzoInverter[[#This Row],[Active power TX2-INV-11]] &lt;= 0),
        Tabella01MarzoInverter[[#This Row],[Active power TX3-INV-8]] * 0.25,
        0
    )
    +
    IF(
        $N58 &lt; 0.875,
        MAX(0, MIN(($H58 / 1000) * AL$10 * $BA$4, AL$11 * 0.876) - (AL$11 * $N58)) * 0.25,
        0
    )
)</f>
        <v/>
      </c>
      <c r="AM58" s="117">
        <f>IF(
    AND($H58 &gt; $BA$7, Tabella01MarzoInverter[[#This Row],[Active power TX2-INV-12]] &lt;= 0, Tabella01MarzoInverter[[#This Row],[Active power TX3-INV-9]] &lt;= 0),
    MIN(($H58 / 1000) * AM$10 * $BA$4, AM$11 * 0.876) * 0.25,
    IF(
        AND($H58 &gt; $BA$7, Tabella01MarzoInverter[[#This Row],[Active power TX2-INV-12]] &lt;= 0),
        Tabella01MarzoInverter[[#This Row],[Active power TX3-INV-9]] * 0.25,
        0
    )
    +
    IF(
        $N58 &lt; 0.875,
        MAX(0, MIN(($H58 / 1000) * AM$10 * $BA$4, AM$11 * 0.876) - (AM$11 * $N58)) * 0.25,
        0
    )
)</f>
        <v/>
      </c>
      <c r="AN58" s="118">
        <f>SUM(TabellaMar2026[[#This Row],[Colonna39]:[Colonna6]])</f>
        <v/>
      </c>
      <c r="AO58" s="117">
        <f t="array" ref="AO58">IF(
    AND($H58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($H58 / 1000) * AO$10 * $BA$4 * 0.25
    ),
    0
)
+
IF(
    $N58 &lt; 0.875,
    MAX(0, MIN(($H58 / 1000) * AO$10 * $BA$4, AO$11 * 0.876) - (AO$11 * $N58)) * 0.25,
    0
)</f>
        <v/>
      </c>
      <c r="AP58" s="117">
        <f t="array" ref="AP58">IF(
    AND($H58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($H58 / 1000) * AP$10 * $BA$4 * 0.25
    ),
    0
)
+
IF(
    $N58 &lt; 0.875,
    MAX(0, MIN(($H58 / 1000) * AP$10 * $BA$4, AP$11 * 0.876) - (AP$11 * $N58)) * 0.25,
    0
)</f>
        <v/>
      </c>
      <c r="AQ58" s="117">
        <f t="array" ref="AQ58">IF(
    AND($H58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($H58 / 1000) * AQ$10 * $BA$4 * 0.25
    ),
    0
)
+
IF(
    $N58 &lt; 0.875,
    MAX(0, MIN(($H58 / 1000) * AQ$10 * $BA$4, AQ$11 * 0.876) - (AQ$11 * $N58)) * 0.25,
    0
)</f>
        <v/>
      </c>
      <c r="AR58" s="117">
        <f t="array" ref="AR58">IF(
    AND($H58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($H58 / 1000) * AR$10 * $BA$4 * 0.25
    ),
    0
)
+
IF(
    $N58 &lt; 0.875,
    MAX(0, MIN(($H58 / 1000) * AR$10 * $BA$4, AR$11 * 0.876) - (AR$11 * $N58)) * 0.25,
    0
)</f>
        <v/>
      </c>
      <c r="AS58" s="117">
        <f t="array" ref="AS58">IF(
    AND($H58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($H58 / 1000) * AS$10 * $BA$4 * 0.25
    ),
    0
)
+
IF(
    $N58 &lt; 0.875,
    MAX(0, MIN(($H58 / 1000) * AS$10 * $BA$4, AS$11 * 0.876) - (AS$11 * $N58)) * 0.25,
    0
)</f>
        <v/>
      </c>
      <c r="AT58" s="117">
        <f t="array" ref="AT58">IF(
    AND($H58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($H58 / 1000) * AT$10 * $BA$4 * 0.25
    ),
    0
)
+
IF(
    $N58 &lt; 0.875,
    MAX(0, MIN(($H58 / 1000) * AT$10 * $BA$4, AT$11 * 0.876) - (AT$11 * $N58)) * 0.25,
    0
)</f>
        <v/>
      </c>
      <c r="AU58" s="117">
        <f t="array" ref="AU58">IF(
    AND($H58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($H58 / 1000) * AU$10 * $BA$4 * 0.25
    ),
    0
)
+
IF(
    $N58 &lt; 0.875,
    MAX(0, MIN(($H58 / 1000) * AU$10 * $BA$4, AU$11 * 0.876) - (AU$11 * $N58)) * 0.25,
    0
)</f>
        <v/>
      </c>
      <c r="AV58" s="117">
        <f t="array" ref="AV58">IF(
    AND($H58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($H58 / 1000) * AV$10 * $BA$4 * 0.25
    ),
    0
)
+
IF(
    $N58 &lt; 0.875,
    MAX(0, MIN(($H58 / 1000) * AV$10 * $BA$4, AV$11 * 0.876) - (AV$11 * $N58)) * 0.25,
    0
)</f>
        <v/>
      </c>
      <c r="AW58" s="117">
        <f t="array" ref="AW58">IF(
    AND($H58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($H58 / 1000) * AW$10 * $BA$4 * 0.25
    ),
    0
)
+
IF(
    $N58 &lt; 0.875,
    MAX(0, MIN(($H58 / 1000) * AW$10 * $BA$4, AW$11 * 0.876) - (AW$11 * $N58)) * 0.25,
    0
)</f>
        <v/>
      </c>
      <c r="AX58" s="117">
        <f t="array" ref="AX58">IF(
    AND($H58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($H58 / 1000) * AX$10 * $BA$4 * 0.25
    ),
    0
)
+
IF(
    $N58 &lt; 0.875,
    MAX(0, MIN(($H58 / 1000) * AX$10 * $BA$4, AX$11 * 0.876) - (AX$11 * $N58)) * 0.25,
    0
)</f>
        <v/>
      </c>
      <c r="AY58" s="117">
        <f t="array" ref="AY58">IF(
    AND($H58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($H58 / 1000) * AY$10 * $BA$4 * 0.25
    ),
    0
)
+
IF(
    $N58 &lt; 0.875,
    MAX(0, MIN(($H58 / 1000) * AY$10 * $BA$4, AY$11 * 0.876) - (AY$11 * $N58)) * 0.25,
    0
)</f>
        <v/>
      </c>
      <c r="AZ58" s="117">
        <f t="array" ref="AZ58">IF(
    AND($H58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($H58 / 1000) * AZ$10 * $BA$4 * 0.25
    ),
    0
)
+
IF(
    $N58 &lt; 0.875,
    MAX(0, MIN(($H58 / 1000) * AZ$10 * $BA$4, AZ$11 * 0.876) - (AZ$11 * $N58)) * 0.25,
    0
)</f>
        <v/>
      </c>
      <c r="BA58" s="119">
        <f>SUM(TabellaMar2026[[#This Row],[Colonna54]:[Colonna53]])</f>
        <v/>
      </c>
    </row>
    <row r="59">
      <c r="A59" s="112" t="n">
        <v>46143</v>
      </c>
      <c r="B59" t="inlineStr">
        <is>
          <t>11:00:00.000</t>
        </is>
      </c>
      <c r="C59" s="2" t="n">
        <v>545.8</v>
      </c>
      <c r="D59" s="113" t="n">
        <v>0.13645</v>
      </c>
      <c r="E59" s="113" t="n">
        <v>547.5</v>
      </c>
      <c r="F59" s="113" t="n">
        <v>0.136875</v>
      </c>
      <c r="G59" s="113">
        <f>IFERROR((D59+F59)/2, 0)</f>
        <v/>
      </c>
      <c r="H59" s="114">
        <f>IFERROR(IF(AVERAGE(C59,E59)&gt;$BA$7,AVERAGE(C59,E59),0), 0)</f>
        <v/>
      </c>
      <c r="I59" s="114">
        <f>IFERROR(IF(AND(D59=0,F59=0),0,IF(H59&gt;$BA$6,MAX(D59,F59),G59)), 0)</f>
        <v/>
      </c>
      <c r="J59" s="113">
        <f>IFERROR(IF(AND(D59&gt;0,F59&gt;0),ABS(D59-F59)/AVERAGE(D59,F59),0), 0)</f>
        <v/>
      </c>
      <c r="K59" s="113" t="n">
        <v>30122.1</v>
      </c>
      <c r="L59" s="113" t="n">
        <v>30123.9</v>
      </c>
      <c r="M59" s="115">
        <f>IFERROR((L59-K59)*1000, 0)</f>
        <v/>
      </c>
      <c r="N59" s="113" t="n">
        <v>0.8759999999999999</v>
      </c>
      <c r="O59" s="115">
        <f t="array" ref="O59">IF(
    AND($H59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($H59 / 1000) * O$10 * $BA$4 * 0.25
    ),
    0
)
+
IF(
    $N59 &lt; 0.875,
    MAX(0, MIN(($H59 / 1000) * O$10 * $BA$4, O$11 * 0.876) - (O$11 * $N59)) * 0.25,
    0
)</f>
        <v/>
      </c>
      <c r="P59" s="115">
        <f t="array" ref="P59">IF(
    AND($H59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($H59 / 1000) * P$10 * $BA$4 * 0.25
    ),
    0
)
+
IF(
    $N59 &lt; 0.875,
    MAX(0, MIN(($H59 / 1000) * P$10 * $BA$4, P$11 * 0.876) - (P$11 * $N59)) * 0.25,
    0
)</f>
        <v/>
      </c>
      <c r="Q59" s="115">
        <f t="array" ref="Q59">IF(
    AND($H59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($H59 / 1000) * Q$10 * $BA$4 * 0.25
    ),
    0
)
+
IF(
    $N59 &lt; 0.875,
    MAX(0, MIN(($H59 / 1000) * Q$10 * $BA$4, Q$11 * 0.876) - (Q$11 * $N59)) * 0.25,
    0
)</f>
        <v/>
      </c>
      <c r="R59" s="115">
        <f t="array" ref="R59">IF(
    AND($H59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($H59 / 1000) * R$10 * $BA$4 * 0.25
    ),
    0
)
+
IF(
    $N59 &lt; 0.875,
    MAX(0, MIN(($H59 / 1000) * R$10 * $BA$4, R$11 * 0.876) - (R$11 * $N59)) * 0.25,
    0
)</f>
        <v/>
      </c>
      <c r="S59" s="115">
        <f t="array" ref="S59">IF(
    AND($H59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($H59 / 1000) * S$10 * $BA$4 * 0.25
    ),
    0
)
+
IF(
    $N59 &lt; 0.875,
    MAX(0, MIN(($H59 / 1000) * S$10 * $BA$4, S$11 * 0.876) - (S$11 * $N59)) * 0.25,
    0
)</f>
        <v/>
      </c>
      <c r="T59" s="115">
        <f t="array" ref="T59">IF(
    AND($H59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($H59 / 1000) * T$10 * $BA$4 * 0.25
    ),
    0
)
+
IF(
    $N59 &lt; 0.875,
    MAX(0, MIN(($H59 / 1000) * T$10 * $BA$4, T$11 * 0.876) - (T$11 * $N59)) * 0.25,
    0
)</f>
        <v/>
      </c>
      <c r="U59" s="115">
        <f t="array" ref="U59">IF(
    AND($H59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($H59 / 1000) * U$10 * $BA$4 * 0.25
    ),
    0
)
+
IF(
    $N59 &lt; 0.875,
    MAX(0, MIN(($H59 / 1000) * U$10 * $BA$4, U$11 * 0.876) - (U$11 * $N59)) * 0.25,
    0
)</f>
        <v/>
      </c>
      <c r="V59" s="115">
        <f t="array" ref="V59">IF(
    AND($H59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($H59 / 1000) * V$10 * $BA$4 * 0.25
    ),
    0
)
+
IF(
    $N59 &lt; 0.875,
    MAX(0, MIN(($H59 / 1000) * V$10 * $BA$4, V$11 * 0.876) - (V$11 * $N59)) * 0.25,
    0
)</f>
        <v/>
      </c>
      <c r="W59" s="115">
        <f t="array" ref="W59">IF(
    AND($H59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($H59 / 1000) * W$10 * $BA$4 * 0.25
    ),
    0
)
+
IF(
    $N59 &lt; 0.875,
    MAX(0, MIN(($H59 / 1000) * W$10 * $BA$4, W$11 * 0.876) - (W$11 * $N59)) * 0.25,
    0
)</f>
        <v/>
      </c>
      <c r="X59" s="115">
        <f t="array" ref="X59">IF(
    AND($H59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($H59 / 1000) * X$10 * $BA$4 * 0.25
    ),
    0
)
+
IF(
    $N59 &lt; 0.875,
    MAX(0, MIN(($H59 / 1000) * X$10 * $BA$4, X$11 * 0.876) - (X$11 * $N59)) * 0.25,
    0
)</f>
        <v/>
      </c>
      <c r="Y59" s="115">
        <f t="array" ref="Y59">IF(
    AND($H59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($H59 / 1000) * Y$10 * $BA$4 * 0.25
    ),
    0
)
+
IF(
    $N59 &lt; 0.875,
    MAX(0, MIN(($H59 / 1000) * Y$10 * $BA$4, Y$11 * 0.876) - (Y$11 * $N59)) * 0.25,
    0
)</f>
        <v/>
      </c>
      <c r="Z59" s="115">
        <f t="array" ref="Z59">IF(
    AND($H59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($H59 / 1000) * Z$10 * $BA$4 * 0.25
    ),
    0
)
+
IF(
    $N59 &lt; 0.875,
    MAX(0, MIN(($H59 / 1000) * Z$10 * $BA$4, Z$11 * 0.876) - (Z$11 * $N59)) * 0.25,
    0
)</f>
        <v/>
      </c>
      <c r="AA59" s="116">
        <f>SUM(TabellaMar2026[[#This Row],[Colonna24]:[Colonna20]])</f>
        <v/>
      </c>
      <c r="AB59" s="117">
        <f>IF(
    AND($H59 &gt; $BA$7, Tabella01MarzoInverter[[#This Row],[Active power TX2-INV-1]] &lt;= 0, Tabella01MarzoInverter[[#This Row],[TX2 - Average Power]] &lt;= 0),
    MIN(($H59 / 1000) * AB$10 * $BA$4, AB$11 * 0.876) * 0.25,
    IF(
        AND($H59 &gt; $BA$7, Tabella01MarzoInverter[[#This Row],[Active power TX2-INV-1]] &lt;= 0),
        Tabella01MarzoInverter[[#This Row],[TX2 - Average Power]] * 0.25,
        0
    )
    +
    IF(
        $N59 &lt; 0.875,
        MAX(0, MIN(($H59 / 1000) * AB$10 * $BA$4, AB$11 * 0.876) - (AB$11 * $N59)) * 0.25,
        0
    )
)</f>
        <v/>
      </c>
      <c r="AC59" s="117">
        <f>IF(
    AND($H59 &gt; $BA$7, Tabella01MarzoInverter[[#This Row],[Active power TX2-INV-2]] &lt;= 0, Tabella01MarzoInverter[[#This Row],[TX2 - Max Power]] &lt;= 0),
    MIN(($H59 / 1000) * AC$10 * $BA$4, AC$11 * 0.876) * 0.25,
    IF(
        AND($H59 &gt; $BA$7, Tabella01MarzoInverter[[#This Row],[Active power TX2-INV-2]] &lt;= 0),
        Tabella01MarzoInverter[[#This Row],[TX2 - Max Power]] * 0.25,
        0
    )
    +
    IF(
        $N59 &lt; 0.875,
        MAX(0, MIN(($H59 / 1000) * AC$10 * $BA$4, AC$11 * 0.876) - (AC$11 * $N59)) * 0.25,
        0
    )
)</f>
        <v/>
      </c>
      <c r="AD59" s="117">
        <f>IF(
    AND($H59 &gt; $BA$7, Tabella01MarzoInverter[[#This Row],[Active power TX2-INV-3]] &lt;= 0, Tabella01MarzoInverter[[#This Row],[TX2 - Min Power]] &lt;= 0),
    MIN(($H59 / 1000) * AD$10 * $BA$4, AD$11 * 0.876) * 0.25,
    IF(
        AND($H59 &gt; $BA$7, Tabella01MarzoInverter[[#This Row],[Active power TX2-INV-3]] &lt;= 0),
        Tabella01MarzoInverter[[#This Row],[TX2 - Min Power]] * 0.25,
        0
    )
    +
    IF(
        $N59 &lt; 0.875,
        MAX(0, MIN(($H59 / 1000) * AD$10 * $BA$4, AD$11 * 0.876) - (AD$11 * $N59)) * 0.25,
        0
    )
)</f>
        <v/>
      </c>
      <c r="AE59" s="117">
        <f>IF(
    AND($H59 &gt; $BA$7, Tabella01MarzoInverter[[#This Row],[Active power TX2-INV-4]] &lt;= 0, Tabella01MarzoInverter[[#This Row],[Active power TX3-INV-1]] &lt;= 0),
    MIN(($H59 / 1000) * AE$10 * $BA$4, AE$11 * 0.876) * 0.25,
    IF(
        AND($H59 &gt; $BA$7, Tabella01MarzoInverter[[#This Row],[Active power TX2-INV-4]] &lt;= 0),
        Tabella01MarzoInverter[[#This Row],[Active power TX3-INV-1]] * 0.25,
        0
    )
    +
    IF(
        $N59 &lt; 0.875,
        MAX(0, MIN(($H59 / 1000) * AE$10 * $BA$4, AE$11 * 0.876) - (AE$11 * $N59)) * 0.25,
        0
    )
)</f>
        <v/>
      </c>
      <c r="AF59" s="117">
        <f>IF(
    AND($H59 &gt; $BA$7, Tabella01MarzoInverter[[#This Row],[Active power TX2-INV-5]] &lt;= 0, Tabella01MarzoInverter[[#This Row],[Active power TX3-INV-2]] &lt;= 0),
    MIN(($H59 / 1000) * AF$10 * $BA$4, AF$11 * 0.876) * 0.25,
    IF(
        AND($H59 &gt; $BA$7, Tabella01MarzoInverter[[#This Row],[Active power TX2-INV-5]] &lt;= 0),
        Tabella01MarzoInverter[[#This Row],[Active power TX3-INV-2]] * 0.25,
        0
    )
    +
    IF(
        $N59 &lt; 0.875,
        MAX(0, MIN(($H59 / 1000) * AF$10 * $BA$4, AF$11 * 0.876) - (AF$11 * $N59)) * 0.25,
        0
    )
)</f>
        <v/>
      </c>
      <c r="AG59" s="117">
        <f>IF(
    AND($H59 &gt; $BA$7, Tabella01MarzoInverter[[#This Row],[Active power TX2-INV-6]] &lt;= 0, Tabella01MarzoInverter[[#This Row],[Active power TX3-INV-3]] &lt;= 0),
    MIN(($H59 / 1000) * AG$10 * $BA$4, AG$11 * 0.876) * 0.25,
    IF(
        AND($H59 &gt; $BA$7, Tabella01MarzoInverter[[#This Row],[Active power TX2-INV-6]] &lt;= 0),
        Tabella01MarzoInverter[[#This Row],[Active power TX3-INV-3]] * 0.25,
        0
    )
    +
    IF(
        $N59 &lt; 0.875,
        MAX(0, MIN(($H59 / 1000) * AG$10 * $BA$4, AG$11 * 0.876) - (AG$11 * $N59)) * 0.25,
        0
    )
)</f>
        <v/>
      </c>
      <c r="AH59" s="117">
        <f>IF(
    AND($H59 &gt; $BA$7, Tabella01MarzoInverter[[#This Row],[Active power TX2-INV-7]] &lt;= 0, Tabella01MarzoInverter[[#This Row],[Active power TX3-INV-4]] &lt;= 0),
    MIN(($H59 / 1000) * AH$10 * $BA$4, AH$11 * 0.876) * 0.25,
    IF(
        AND($H59 &gt; $BA$7, Tabella01MarzoInverter[[#This Row],[Active power TX2-INV-7]] &lt;= 0),
        Tabella01MarzoInverter[[#This Row],[Active power TX3-INV-4]] * 0.25,
        0
    )
    +
    IF(
        $N59 &lt; 0.875,
        MAX(0, MIN(($H59 / 1000) * AH$10 * $BA$4, AH$11 * 0.876) - (AH$11 * $N59)) * 0.25,
        0
    )
)</f>
        <v/>
      </c>
      <c r="AI59" s="117">
        <f>IF(
    AND($H59 &gt; $BA$7, Tabella01MarzoInverter[[#This Row],[Active power TX2-INV-8]] &lt;= 0, Tabella01MarzoInverter[[#This Row],[Active power TX3-INV-5]] &lt;= 0),
    MIN(($H59 / 1000) * AI$10 * $BA$4, AI$11 * 0.876) * 0.25,
    IF(
        AND($H59 &gt; $BA$7, Tabella01MarzoInverter[[#This Row],[Active power TX2-INV-8]] &lt;= 0),
        Tabella01MarzoInverter[[#This Row],[Active power TX3-INV-5]] * 0.25,
        0
    )
    +
    IF(
        $N59 &lt; 0.875,
        MAX(0, MIN(($H59 / 1000) * AI$10 * $BA$4, AI$11 * 0.876) - (AI$11 * $N59)) * 0.25,
        0
    )
)</f>
        <v/>
      </c>
      <c r="AJ59" s="117">
        <f>IF(
    AND($H59 &gt; $BA$7, Tabella01MarzoInverter[[#This Row],[Active power TX2-INV-9]] &lt;= 0, Tabella01MarzoInverter[[#This Row],[Active power TX3-INV-6]] &lt;= 0),
    MIN(($H59 / 1000) * AJ$10 * $BA$4, AJ$11 * 0.876) * 0.25,
    IF(
        AND($H59 &gt; $BA$7, Tabella01MarzoInverter[[#This Row],[Active power TX2-INV-9]] &lt;= 0),
        Tabella01MarzoInverter[[#This Row],[Active power TX3-INV-6]] * 0.25,
        0
    )
    +
    IF(
        $N59 &lt; 0.875,
        MAX(0, MIN(($H59 / 1000) * AJ$10 * $BA$4, AJ$11 * 0.876) - (AJ$11 * $N59)) * 0.25,
        0
    )
)</f>
        <v/>
      </c>
      <c r="AK59" s="117">
        <f>IF(
    AND($H59 &gt; $BA$7, Tabella01MarzoInverter[[#This Row],[Active power TX2-INV-10]] &lt;= 0, Tabella01MarzoInverter[[#This Row],[Active power TX3-INV-7]] &lt;= 0),
    MIN(($H59 / 1000) * AK$10 * $BA$4, AK$11 * 0.876) * 0.25,
    IF(
        AND($H59 &gt; $BA$7, Tabella01MarzoInverter[[#This Row],[Active power TX2-INV-10]] &lt;= 0),
        Tabella01MarzoInverter[[#This Row],[Active power TX3-INV-7]] * 0.25,
        0
    )
    +
    IF(
        $N59 &lt; 0.875,
        MAX(0, MIN(($H59 / 1000) * AK$10 * $BA$4, AK$11 * 0.876) - (AK$11 * $N59)) * 0.25,
        0
    )
)</f>
        <v/>
      </c>
      <c r="AL59" s="117">
        <f>IF(
    AND($H59 &gt; $BA$7, Tabella01MarzoInverter[[#This Row],[Active power TX2-INV-11]] &lt;= 0, Tabella01MarzoInverter[[#This Row],[Active power TX3-INV-8]] &lt;= 0),
    MIN(($H59 / 1000) * AL$10 * $BA$4, AL$11 * 0.876) * 0.25,
    IF(
        AND($H59 &gt; $BA$7, Tabella01MarzoInverter[[#This Row],[Active power TX2-INV-11]] &lt;= 0),
        Tabella01MarzoInverter[[#This Row],[Active power TX3-INV-8]] * 0.25,
        0
    )
    +
    IF(
        $N59 &lt; 0.875,
        MAX(0, MIN(($H59 / 1000) * AL$10 * $BA$4, AL$11 * 0.876) - (AL$11 * $N59)) * 0.25,
        0
    )
)</f>
        <v/>
      </c>
      <c r="AM59" s="117">
        <f>IF(
    AND($H59 &gt; $BA$7, Tabella01MarzoInverter[[#This Row],[Active power TX2-INV-12]] &lt;= 0, Tabella01MarzoInverter[[#This Row],[Active power TX3-INV-9]] &lt;= 0),
    MIN(($H59 / 1000) * AM$10 * $BA$4, AM$11 * 0.876) * 0.25,
    IF(
        AND($H59 &gt; $BA$7, Tabella01MarzoInverter[[#This Row],[Active power TX2-INV-12]] &lt;= 0),
        Tabella01MarzoInverter[[#This Row],[Active power TX3-INV-9]] * 0.25,
        0
    )
    +
    IF(
        $N59 &lt; 0.875,
        MAX(0, MIN(($H59 / 1000) * AM$10 * $BA$4, AM$11 * 0.876) - (AM$11 * $N59)) * 0.25,
        0
    )
)</f>
        <v/>
      </c>
      <c r="AN59" s="118">
        <f>SUM(TabellaMar2026[[#This Row],[Colonna39]:[Colonna6]])</f>
        <v/>
      </c>
      <c r="AO59" s="117">
        <f t="array" ref="AO59">IF(
    AND($H59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($H59 / 1000) * AO$10 * $BA$4 * 0.25
    ),
    0
)
+
IF(
    $N59 &lt; 0.875,
    MAX(0, MIN(($H59 / 1000) * AO$10 * $BA$4, AO$11 * 0.876) - (AO$11 * $N59)) * 0.25,
    0
)</f>
        <v/>
      </c>
      <c r="AP59" s="117">
        <f t="array" ref="AP59">IF(
    AND($H59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($H59 / 1000) * AP$10 * $BA$4 * 0.25
    ),
    0
)
+
IF(
    $N59 &lt; 0.875,
    MAX(0, MIN(($H59 / 1000) * AP$10 * $BA$4, AP$11 * 0.876) - (AP$11 * $N59)) * 0.25,
    0
)</f>
        <v/>
      </c>
      <c r="AQ59" s="117">
        <f t="array" ref="AQ59">IF(
    AND($H59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($H59 / 1000) * AQ$10 * $BA$4 * 0.25
    ),
    0
)
+
IF(
    $N59 &lt; 0.875,
    MAX(0, MIN(($H59 / 1000) * AQ$10 * $BA$4, AQ$11 * 0.876) - (AQ$11 * $N59)) * 0.25,
    0
)</f>
        <v/>
      </c>
      <c r="AR59" s="117">
        <f t="array" ref="AR59">IF(
    AND($H59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($H59 / 1000) * AR$10 * $BA$4 * 0.25
    ),
    0
)
+
IF(
    $N59 &lt; 0.875,
    MAX(0, MIN(($H59 / 1000) * AR$10 * $BA$4, AR$11 * 0.876) - (AR$11 * $N59)) * 0.25,
    0
)</f>
        <v/>
      </c>
      <c r="AS59" s="117">
        <f t="array" ref="AS59">IF(
    AND($H59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($H59 / 1000) * AS$10 * $BA$4 * 0.25
    ),
    0
)
+
IF(
    $N59 &lt; 0.875,
    MAX(0, MIN(($H59 / 1000) * AS$10 * $BA$4, AS$11 * 0.876) - (AS$11 * $N59)) * 0.25,
    0
)</f>
        <v/>
      </c>
      <c r="AT59" s="117">
        <f t="array" ref="AT59">IF(
    AND($H59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($H59 / 1000) * AT$10 * $BA$4 * 0.25
    ),
    0
)
+
IF(
    $N59 &lt; 0.875,
    MAX(0, MIN(($H59 / 1000) * AT$10 * $BA$4, AT$11 * 0.876) - (AT$11 * $N59)) * 0.25,
    0
)</f>
        <v/>
      </c>
      <c r="AU59" s="117">
        <f t="array" ref="AU59">IF(
    AND($H59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($H59 / 1000) * AU$10 * $BA$4 * 0.25
    ),
    0
)
+
IF(
    $N59 &lt; 0.875,
    MAX(0, MIN(($H59 / 1000) * AU$10 * $BA$4, AU$11 * 0.876) - (AU$11 * $N59)) * 0.25,
    0
)</f>
        <v/>
      </c>
      <c r="AV59" s="117">
        <f t="array" ref="AV59">IF(
    AND($H59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($H59 / 1000) * AV$10 * $BA$4 * 0.25
    ),
    0
)
+
IF(
    $N59 &lt; 0.875,
    MAX(0, MIN(($H59 / 1000) * AV$10 * $BA$4, AV$11 * 0.876) - (AV$11 * $N59)) * 0.25,
    0
)</f>
        <v/>
      </c>
      <c r="AW59" s="117">
        <f t="array" ref="AW59">IF(
    AND($H59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($H59 / 1000) * AW$10 * $BA$4 * 0.25
    ),
    0
)
+
IF(
    $N59 &lt; 0.875,
    MAX(0, MIN(($H59 / 1000) * AW$10 * $BA$4, AW$11 * 0.876) - (AW$11 * $N59)) * 0.25,
    0
)</f>
        <v/>
      </c>
      <c r="AX59" s="117">
        <f t="array" ref="AX59">IF(
    AND($H59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($H59 / 1000) * AX$10 * $BA$4 * 0.25
    ),
    0
)
+
IF(
    $N59 &lt; 0.875,
    MAX(0, MIN(($H59 / 1000) * AX$10 * $BA$4, AX$11 * 0.876) - (AX$11 * $N59)) * 0.25,
    0
)</f>
        <v/>
      </c>
      <c r="AY59" s="117">
        <f t="array" ref="AY59">IF(
    AND($H59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($H59 / 1000) * AY$10 * $BA$4 * 0.25
    ),
    0
)
+
IF(
    $N59 &lt; 0.875,
    MAX(0, MIN(($H59 / 1000) * AY$10 * $BA$4, AY$11 * 0.876) - (AY$11 * $N59)) * 0.25,
    0
)</f>
        <v/>
      </c>
      <c r="AZ59" s="117">
        <f t="array" ref="AZ59">IF(
    AND($H59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($H59 / 1000) * AZ$10 * $BA$4 * 0.25
    ),
    0
)
+
IF(
    $N59 &lt; 0.875,
    MAX(0, MIN(($H59 / 1000) * AZ$10 * $BA$4, AZ$11 * 0.876) - (AZ$11 * $N59)) * 0.25,
    0
)</f>
        <v/>
      </c>
      <c r="BA59" s="119">
        <f>SUM(TabellaMar2026[[#This Row],[Colonna54]:[Colonna53]])</f>
        <v/>
      </c>
    </row>
    <row r="60">
      <c r="A60" s="112" t="n">
        <v>46143</v>
      </c>
      <c r="B60" t="inlineStr">
        <is>
          <t>11:15:00.000</t>
        </is>
      </c>
      <c r="C60" s="2" t="n">
        <v>986.5</v>
      </c>
      <c r="D60" s="113" t="n">
        <v>0.246625</v>
      </c>
      <c r="E60" s="113" t="n">
        <v>942.7</v>
      </c>
      <c r="F60" s="113" t="n">
        <v>0.235675</v>
      </c>
      <c r="G60" s="113">
        <f>IFERROR((D60+F60)/2, 0)</f>
        <v/>
      </c>
      <c r="H60" s="114">
        <f>IFERROR(IF(AVERAGE(C60,E60)&gt;$BA$7,AVERAGE(C60,E60),0), 0)</f>
        <v/>
      </c>
      <c r="I60" s="114">
        <f>IFERROR(IF(AND(D60=0,F60=0),0,IF(H60&gt;$BA$6,MAX(D60,F60),G60)), 0)</f>
        <v/>
      </c>
      <c r="J60" s="113">
        <f>IFERROR(IF(AND(D60&gt;0,F60&gt;0),ABS(D60-F60)/AVERAGE(D60,F60),0), 0)</f>
        <v/>
      </c>
      <c r="K60" s="113" t="n">
        <v>30123.9</v>
      </c>
      <c r="L60" s="113" t="n">
        <v>30125.8</v>
      </c>
      <c r="M60" s="115">
        <f>IFERROR((L60-K60)*1000, 0)</f>
        <v/>
      </c>
      <c r="N60" s="113" t="n">
        <v>0.8759999999999999</v>
      </c>
      <c r="O60" s="115">
        <f t="array" ref="O60">IF(
    AND($H60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($H60 / 1000) * O$10 * $BA$4 * 0.25
    ),
    0
)
+
IF(
    $N60 &lt; 0.875,
    MAX(0, MIN(($H60 / 1000) * O$10 * $BA$4, O$11 * 0.876) - (O$11 * $N60)) * 0.25,
    0
)</f>
        <v/>
      </c>
      <c r="P60" s="115">
        <f t="array" ref="P60">IF(
    AND($H60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($H60 / 1000) * P$10 * $BA$4 * 0.25
    ),
    0
)
+
IF(
    $N60 &lt; 0.875,
    MAX(0, MIN(($H60 / 1000) * P$10 * $BA$4, P$11 * 0.876) - (P$11 * $N60)) * 0.25,
    0
)</f>
        <v/>
      </c>
      <c r="Q60" s="115">
        <f t="array" ref="Q60">IF(
    AND($H60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($H60 / 1000) * Q$10 * $BA$4 * 0.25
    ),
    0
)
+
IF(
    $N60 &lt; 0.875,
    MAX(0, MIN(($H60 / 1000) * Q$10 * $BA$4, Q$11 * 0.876) - (Q$11 * $N60)) * 0.25,
    0
)</f>
        <v/>
      </c>
      <c r="R60" s="115">
        <f t="array" ref="R60">IF(
    AND($H60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($H60 / 1000) * R$10 * $BA$4 * 0.25
    ),
    0
)
+
IF(
    $N60 &lt; 0.875,
    MAX(0, MIN(($H60 / 1000) * R$10 * $BA$4, R$11 * 0.876) - (R$11 * $N60)) * 0.25,
    0
)</f>
        <v/>
      </c>
      <c r="S60" s="115">
        <f t="array" ref="S60">IF(
    AND($H60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($H60 / 1000) * S$10 * $BA$4 * 0.25
    ),
    0
)
+
IF(
    $N60 &lt; 0.875,
    MAX(0, MIN(($H60 / 1000) * S$10 * $BA$4, S$11 * 0.876) - (S$11 * $N60)) * 0.25,
    0
)</f>
        <v/>
      </c>
      <c r="T60" s="115">
        <f t="array" ref="T60">IF(
    AND($H60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($H60 / 1000) * T$10 * $BA$4 * 0.25
    ),
    0
)
+
IF(
    $N60 &lt; 0.875,
    MAX(0, MIN(($H60 / 1000) * T$10 * $BA$4, T$11 * 0.876) - (T$11 * $N60)) * 0.25,
    0
)</f>
        <v/>
      </c>
      <c r="U60" s="115">
        <f t="array" ref="U60">IF(
    AND($H60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($H60 / 1000) * U$10 * $BA$4 * 0.25
    ),
    0
)
+
IF(
    $N60 &lt; 0.875,
    MAX(0, MIN(($H60 / 1000) * U$10 * $BA$4, U$11 * 0.876) - (U$11 * $N60)) * 0.25,
    0
)</f>
        <v/>
      </c>
      <c r="V60" s="115">
        <f t="array" ref="V60">IF(
    AND($H60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($H60 / 1000) * V$10 * $BA$4 * 0.25
    ),
    0
)
+
IF(
    $N60 &lt; 0.875,
    MAX(0, MIN(($H60 / 1000) * V$10 * $BA$4, V$11 * 0.876) - (V$11 * $N60)) * 0.25,
    0
)</f>
        <v/>
      </c>
      <c r="W60" s="115">
        <f t="array" ref="W60">IF(
    AND($H60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($H60 / 1000) * W$10 * $BA$4 * 0.25
    ),
    0
)
+
IF(
    $N60 &lt; 0.875,
    MAX(0, MIN(($H60 / 1000) * W$10 * $BA$4, W$11 * 0.876) - (W$11 * $N60)) * 0.25,
    0
)</f>
        <v/>
      </c>
      <c r="X60" s="115">
        <f t="array" ref="X60">IF(
    AND($H60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($H60 / 1000) * X$10 * $BA$4 * 0.25
    ),
    0
)
+
IF(
    $N60 &lt; 0.875,
    MAX(0, MIN(($H60 / 1000) * X$10 * $BA$4, X$11 * 0.876) - (X$11 * $N60)) * 0.25,
    0
)</f>
        <v/>
      </c>
      <c r="Y60" s="115">
        <f t="array" ref="Y60">IF(
    AND($H60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($H60 / 1000) * Y$10 * $BA$4 * 0.25
    ),
    0
)
+
IF(
    $N60 &lt; 0.875,
    MAX(0, MIN(($H60 / 1000) * Y$10 * $BA$4, Y$11 * 0.876) - (Y$11 * $N60)) * 0.25,
    0
)</f>
        <v/>
      </c>
      <c r="Z60" s="115">
        <f t="array" ref="Z60">IF(
    AND($H60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($H60 / 1000) * Z$10 * $BA$4 * 0.25
    ),
    0
)
+
IF(
    $N60 &lt; 0.875,
    MAX(0, MIN(($H60 / 1000) * Z$10 * $BA$4, Z$11 * 0.876) - (Z$11 * $N60)) * 0.25,
    0
)</f>
        <v/>
      </c>
      <c r="AA60" s="116">
        <f>SUM(TabellaMar2026[[#This Row],[Colonna24]:[Colonna20]])</f>
        <v/>
      </c>
      <c r="AB60" s="117">
        <f>IF(
    AND($H60 &gt; $BA$7, Tabella01MarzoInverter[[#This Row],[Active power TX2-INV-1]] &lt;= 0, Tabella01MarzoInverter[[#This Row],[TX2 - Average Power]] &lt;= 0),
    MIN(($H60 / 1000) * AB$10 * $BA$4, AB$11 * 0.876) * 0.25,
    IF(
        AND($H60 &gt; $BA$7, Tabella01MarzoInverter[[#This Row],[Active power TX2-INV-1]] &lt;= 0),
        Tabella01MarzoInverter[[#This Row],[TX2 - Average Power]] * 0.25,
        0
    )
    +
    IF(
        $N60 &lt; 0.875,
        MAX(0, MIN(($H60 / 1000) * AB$10 * $BA$4, AB$11 * 0.876) - (AB$11 * $N60)) * 0.25,
        0
    )
)</f>
        <v/>
      </c>
      <c r="AC60" s="117">
        <f>IF(
    AND($H60 &gt; $BA$7, Tabella01MarzoInverter[[#This Row],[Active power TX2-INV-2]] &lt;= 0, Tabella01MarzoInverter[[#This Row],[TX2 - Max Power]] &lt;= 0),
    MIN(($H60 / 1000) * AC$10 * $BA$4, AC$11 * 0.876) * 0.25,
    IF(
        AND($H60 &gt; $BA$7, Tabella01MarzoInverter[[#This Row],[Active power TX2-INV-2]] &lt;= 0),
        Tabella01MarzoInverter[[#This Row],[TX2 - Max Power]] * 0.25,
        0
    )
    +
    IF(
        $N60 &lt; 0.875,
        MAX(0, MIN(($H60 / 1000) * AC$10 * $BA$4, AC$11 * 0.876) - (AC$11 * $N60)) * 0.25,
        0
    )
)</f>
        <v/>
      </c>
      <c r="AD60" s="117">
        <f>IF(
    AND($H60 &gt; $BA$7, Tabella01MarzoInverter[[#This Row],[Active power TX2-INV-3]] &lt;= 0, Tabella01MarzoInverter[[#This Row],[TX2 - Min Power]] &lt;= 0),
    MIN(($H60 / 1000) * AD$10 * $BA$4, AD$11 * 0.876) * 0.25,
    IF(
        AND($H60 &gt; $BA$7, Tabella01MarzoInverter[[#This Row],[Active power TX2-INV-3]] &lt;= 0),
        Tabella01MarzoInverter[[#This Row],[TX2 - Min Power]] * 0.25,
        0
    )
    +
    IF(
        $N60 &lt; 0.875,
        MAX(0, MIN(($H60 / 1000) * AD$10 * $BA$4, AD$11 * 0.876) - (AD$11 * $N60)) * 0.25,
        0
    )
)</f>
        <v/>
      </c>
      <c r="AE60" s="117">
        <f>IF(
    AND($H60 &gt; $BA$7, Tabella01MarzoInverter[[#This Row],[Active power TX2-INV-4]] &lt;= 0, Tabella01MarzoInverter[[#This Row],[Active power TX3-INV-1]] &lt;= 0),
    MIN(($H60 / 1000) * AE$10 * $BA$4, AE$11 * 0.876) * 0.25,
    IF(
        AND($H60 &gt; $BA$7, Tabella01MarzoInverter[[#This Row],[Active power TX2-INV-4]] &lt;= 0),
        Tabella01MarzoInverter[[#This Row],[Active power TX3-INV-1]] * 0.25,
        0
    )
    +
    IF(
        $N60 &lt; 0.875,
        MAX(0, MIN(($H60 / 1000) * AE$10 * $BA$4, AE$11 * 0.876) - (AE$11 * $N60)) * 0.25,
        0
    )
)</f>
        <v/>
      </c>
      <c r="AF60" s="117">
        <f>IF(
    AND($H60 &gt; $BA$7, Tabella01MarzoInverter[[#This Row],[Active power TX2-INV-5]] &lt;= 0, Tabella01MarzoInverter[[#This Row],[Active power TX3-INV-2]] &lt;= 0),
    MIN(($H60 / 1000) * AF$10 * $BA$4, AF$11 * 0.876) * 0.25,
    IF(
        AND($H60 &gt; $BA$7, Tabella01MarzoInverter[[#This Row],[Active power TX2-INV-5]] &lt;= 0),
        Tabella01MarzoInverter[[#This Row],[Active power TX3-INV-2]] * 0.25,
        0
    )
    +
    IF(
        $N60 &lt; 0.875,
        MAX(0, MIN(($H60 / 1000) * AF$10 * $BA$4, AF$11 * 0.876) - (AF$11 * $N60)) * 0.25,
        0
    )
)</f>
        <v/>
      </c>
      <c r="AG60" s="117">
        <f>IF(
    AND($H60 &gt; $BA$7, Tabella01MarzoInverter[[#This Row],[Active power TX2-INV-6]] &lt;= 0, Tabella01MarzoInverter[[#This Row],[Active power TX3-INV-3]] &lt;= 0),
    MIN(($H60 / 1000) * AG$10 * $BA$4, AG$11 * 0.876) * 0.25,
    IF(
        AND($H60 &gt; $BA$7, Tabella01MarzoInverter[[#This Row],[Active power TX2-INV-6]] &lt;= 0),
        Tabella01MarzoInverter[[#This Row],[Active power TX3-INV-3]] * 0.25,
        0
    )
    +
    IF(
        $N60 &lt; 0.875,
        MAX(0, MIN(($H60 / 1000) * AG$10 * $BA$4, AG$11 * 0.876) - (AG$11 * $N60)) * 0.25,
        0
    )
)</f>
        <v/>
      </c>
      <c r="AH60" s="117">
        <f>IF(
    AND($H60 &gt; $BA$7, Tabella01MarzoInverter[[#This Row],[Active power TX2-INV-7]] &lt;= 0, Tabella01MarzoInverter[[#This Row],[Active power TX3-INV-4]] &lt;= 0),
    MIN(($H60 / 1000) * AH$10 * $BA$4, AH$11 * 0.876) * 0.25,
    IF(
        AND($H60 &gt; $BA$7, Tabella01MarzoInverter[[#This Row],[Active power TX2-INV-7]] &lt;= 0),
        Tabella01MarzoInverter[[#This Row],[Active power TX3-INV-4]] * 0.25,
        0
    )
    +
    IF(
        $N60 &lt; 0.875,
        MAX(0, MIN(($H60 / 1000) * AH$10 * $BA$4, AH$11 * 0.876) - (AH$11 * $N60)) * 0.25,
        0
    )
)</f>
        <v/>
      </c>
      <c r="AI60" s="117">
        <f>IF(
    AND($H60 &gt; $BA$7, Tabella01MarzoInverter[[#This Row],[Active power TX2-INV-8]] &lt;= 0, Tabella01MarzoInverter[[#This Row],[Active power TX3-INV-5]] &lt;= 0),
    MIN(($H60 / 1000) * AI$10 * $BA$4, AI$11 * 0.876) * 0.25,
    IF(
        AND($H60 &gt; $BA$7, Tabella01MarzoInverter[[#This Row],[Active power TX2-INV-8]] &lt;= 0),
        Tabella01MarzoInverter[[#This Row],[Active power TX3-INV-5]] * 0.25,
        0
    )
    +
    IF(
        $N60 &lt; 0.875,
        MAX(0, MIN(($H60 / 1000) * AI$10 * $BA$4, AI$11 * 0.876) - (AI$11 * $N60)) * 0.25,
        0
    )
)</f>
        <v/>
      </c>
      <c r="AJ60" s="117">
        <f>IF(
    AND($H60 &gt; $BA$7, Tabella01MarzoInverter[[#This Row],[Active power TX2-INV-9]] &lt;= 0, Tabella01MarzoInverter[[#This Row],[Active power TX3-INV-6]] &lt;= 0),
    MIN(($H60 / 1000) * AJ$10 * $BA$4, AJ$11 * 0.876) * 0.25,
    IF(
        AND($H60 &gt; $BA$7, Tabella01MarzoInverter[[#This Row],[Active power TX2-INV-9]] &lt;= 0),
        Tabella01MarzoInverter[[#This Row],[Active power TX3-INV-6]] * 0.25,
        0
    )
    +
    IF(
        $N60 &lt; 0.875,
        MAX(0, MIN(($H60 / 1000) * AJ$10 * $BA$4, AJ$11 * 0.876) - (AJ$11 * $N60)) * 0.25,
        0
    )
)</f>
        <v/>
      </c>
      <c r="AK60" s="117">
        <f>IF(
    AND($H60 &gt; $BA$7, Tabella01MarzoInverter[[#This Row],[Active power TX2-INV-10]] &lt;= 0, Tabella01MarzoInverter[[#This Row],[Active power TX3-INV-7]] &lt;= 0),
    MIN(($H60 / 1000) * AK$10 * $BA$4, AK$11 * 0.876) * 0.25,
    IF(
        AND($H60 &gt; $BA$7, Tabella01MarzoInverter[[#This Row],[Active power TX2-INV-10]] &lt;= 0),
        Tabella01MarzoInverter[[#This Row],[Active power TX3-INV-7]] * 0.25,
        0
    )
    +
    IF(
        $N60 &lt; 0.875,
        MAX(0, MIN(($H60 / 1000) * AK$10 * $BA$4, AK$11 * 0.876) - (AK$11 * $N60)) * 0.25,
        0
    )
)</f>
        <v/>
      </c>
      <c r="AL60" s="117">
        <f>IF(
    AND($H60 &gt; $BA$7, Tabella01MarzoInverter[[#This Row],[Active power TX2-INV-11]] &lt;= 0, Tabella01MarzoInverter[[#This Row],[Active power TX3-INV-8]] &lt;= 0),
    MIN(($H60 / 1000) * AL$10 * $BA$4, AL$11 * 0.876) * 0.25,
    IF(
        AND($H60 &gt; $BA$7, Tabella01MarzoInverter[[#This Row],[Active power TX2-INV-11]] &lt;= 0),
        Tabella01MarzoInverter[[#This Row],[Active power TX3-INV-8]] * 0.25,
        0
    )
    +
    IF(
        $N60 &lt; 0.875,
        MAX(0, MIN(($H60 / 1000) * AL$10 * $BA$4, AL$11 * 0.876) - (AL$11 * $N60)) * 0.25,
        0
    )
)</f>
        <v/>
      </c>
      <c r="AM60" s="117">
        <f>IF(
    AND($H60 &gt; $BA$7, Tabella01MarzoInverter[[#This Row],[Active power TX2-INV-12]] &lt;= 0, Tabella01MarzoInverter[[#This Row],[Active power TX3-INV-9]] &lt;= 0),
    MIN(($H60 / 1000) * AM$10 * $BA$4, AM$11 * 0.876) * 0.25,
    IF(
        AND($H60 &gt; $BA$7, Tabella01MarzoInverter[[#This Row],[Active power TX2-INV-12]] &lt;= 0),
        Tabella01MarzoInverter[[#This Row],[Active power TX3-INV-9]] * 0.25,
        0
    )
    +
    IF(
        $N60 &lt; 0.875,
        MAX(0, MIN(($H60 / 1000) * AM$10 * $BA$4, AM$11 * 0.876) - (AM$11 * $N60)) * 0.25,
        0
    )
)</f>
        <v/>
      </c>
      <c r="AN60" s="118">
        <f>SUM(TabellaMar2026[[#This Row],[Colonna39]:[Colonna6]])</f>
        <v/>
      </c>
      <c r="AO60" s="117">
        <f t="array" ref="AO60">IF(
    AND($H60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($H60 / 1000) * AO$10 * $BA$4 * 0.25
    ),
    0
)
+
IF(
    $N60 &lt; 0.875,
    MAX(0, MIN(($H60 / 1000) * AO$10 * $BA$4, AO$11 * 0.876) - (AO$11 * $N60)) * 0.25,
    0
)</f>
        <v/>
      </c>
      <c r="AP60" s="117">
        <f t="array" ref="AP60">IF(
    AND($H60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($H60 / 1000) * AP$10 * $BA$4 * 0.25
    ),
    0
)
+
IF(
    $N60 &lt; 0.875,
    MAX(0, MIN(($H60 / 1000) * AP$10 * $BA$4, AP$11 * 0.876) - (AP$11 * $N60)) * 0.25,
    0
)</f>
        <v/>
      </c>
      <c r="AQ60" s="117">
        <f t="array" ref="AQ60">IF(
    AND($H60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($H60 / 1000) * AQ$10 * $BA$4 * 0.25
    ),
    0
)
+
IF(
    $N60 &lt; 0.875,
    MAX(0, MIN(($H60 / 1000) * AQ$10 * $BA$4, AQ$11 * 0.876) - (AQ$11 * $N60)) * 0.25,
    0
)</f>
        <v/>
      </c>
      <c r="AR60" s="117">
        <f t="array" ref="AR60">IF(
    AND($H60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($H60 / 1000) * AR$10 * $BA$4 * 0.25
    ),
    0
)
+
IF(
    $N60 &lt; 0.875,
    MAX(0, MIN(($H60 / 1000) * AR$10 * $BA$4, AR$11 * 0.876) - (AR$11 * $N60)) * 0.25,
    0
)</f>
        <v/>
      </c>
      <c r="AS60" s="117">
        <f t="array" ref="AS60">IF(
    AND($H60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($H60 / 1000) * AS$10 * $BA$4 * 0.25
    ),
    0
)
+
IF(
    $N60 &lt; 0.875,
    MAX(0, MIN(($H60 / 1000) * AS$10 * $BA$4, AS$11 * 0.876) - (AS$11 * $N60)) * 0.25,
    0
)</f>
        <v/>
      </c>
      <c r="AT60" s="117">
        <f t="array" ref="AT60">IF(
    AND($H60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($H60 / 1000) * AT$10 * $BA$4 * 0.25
    ),
    0
)
+
IF(
    $N60 &lt; 0.875,
    MAX(0, MIN(($H60 / 1000) * AT$10 * $BA$4, AT$11 * 0.876) - (AT$11 * $N60)) * 0.25,
    0
)</f>
        <v/>
      </c>
      <c r="AU60" s="117">
        <f t="array" ref="AU60">IF(
    AND($H60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($H60 / 1000) * AU$10 * $BA$4 * 0.25
    ),
    0
)
+
IF(
    $N60 &lt; 0.875,
    MAX(0, MIN(($H60 / 1000) * AU$10 * $BA$4, AU$11 * 0.876) - (AU$11 * $N60)) * 0.25,
    0
)</f>
        <v/>
      </c>
      <c r="AV60" s="117">
        <f t="array" ref="AV60">IF(
    AND($H60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($H60 / 1000) * AV$10 * $BA$4 * 0.25
    ),
    0
)
+
IF(
    $N60 &lt; 0.875,
    MAX(0, MIN(($H60 / 1000) * AV$10 * $BA$4, AV$11 * 0.876) - (AV$11 * $N60)) * 0.25,
    0
)</f>
        <v/>
      </c>
      <c r="AW60" s="117">
        <f t="array" ref="AW60">IF(
    AND($H60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($H60 / 1000) * AW$10 * $BA$4 * 0.25
    ),
    0
)
+
IF(
    $N60 &lt; 0.875,
    MAX(0, MIN(($H60 / 1000) * AW$10 * $BA$4, AW$11 * 0.876) - (AW$11 * $N60)) * 0.25,
    0
)</f>
        <v/>
      </c>
      <c r="AX60" s="117">
        <f t="array" ref="AX60">IF(
    AND($H60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($H60 / 1000) * AX$10 * $BA$4 * 0.25
    ),
    0
)
+
IF(
    $N60 &lt; 0.875,
    MAX(0, MIN(($H60 / 1000) * AX$10 * $BA$4, AX$11 * 0.876) - (AX$11 * $N60)) * 0.25,
    0
)</f>
        <v/>
      </c>
      <c r="AY60" s="117">
        <f t="array" ref="AY60">IF(
    AND($H60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($H60 / 1000) * AY$10 * $BA$4 * 0.25
    ),
    0
)
+
IF(
    $N60 &lt; 0.875,
    MAX(0, MIN(($H60 / 1000) * AY$10 * $BA$4, AY$11 * 0.876) - (AY$11 * $N60)) * 0.25,
    0
)</f>
        <v/>
      </c>
      <c r="AZ60" s="117">
        <f t="array" ref="AZ60">IF(
    AND($H60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($H60 / 1000) * AZ$10 * $BA$4 * 0.25
    ),
    0
)
+
IF(
    $N60 &lt; 0.875,
    MAX(0, MIN(($H60 / 1000) * AZ$10 * $BA$4, AZ$11 * 0.876) - (AZ$11 * $N60)) * 0.25,
    0
)</f>
        <v/>
      </c>
      <c r="BA60" s="119">
        <f>SUM(TabellaMar2026[[#This Row],[Colonna54]:[Colonna53]])</f>
        <v/>
      </c>
    </row>
    <row r="61">
      <c r="A61" s="112" t="n">
        <v>46143</v>
      </c>
      <c r="B61" t="inlineStr">
        <is>
          <t>11:30:00.000</t>
        </is>
      </c>
      <c r="C61" s="2" t="n">
        <v>1016.6</v>
      </c>
      <c r="D61" s="113" t="n">
        <v>0.25415</v>
      </c>
      <c r="E61" s="113" t="n">
        <v>959.5</v>
      </c>
      <c r="F61" s="113" t="n">
        <v>0.239875</v>
      </c>
      <c r="G61" s="113">
        <f>IFERROR((D61+F61)/2, 0)</f>
        <v/>
      </c>
      <c r="H61" s="114">
        <f>IFERROR(IF(AVERAGE(C61,E61)&gt;$BA$7,AVERAGE(C61,E61),0), 0)</f>
        <v/>
      </c>
      <c r="I61" s="114">
        <f>IFERROR(IF(AND(D61=0,F61=0),0,IF(H61&gt;$BA$6,MAX(D61,F61),G61)), 0)</f>
        <v/>
      </c>
      <c r="J61" s="113">
        <f>IFERROR(IF(AND(D61&gt;0,F61&gt;0),ABS(D61-F61)/AVERAGE(D61,F61),0), 0)</f>
        <v/>
      </c>
      <c r="K61" s="113" t="n">
        <v>30125.8</v>
      </c>
      <c r="L61" s="113" t="n">
        <v>30128.1</v>
      </c>
      <c r="M61" s="115">
        <f>IFERROR((L61-K61)*1000, 0)</f>
        <v/>
      </c>
      <c r="N61" s="113" t="n">
        <v>0.8759999999999999</v>
      </c>
      <c r="O61" s="115">
        <f t="array" ref="O61">IF(
    AND($H61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($H61 / 1000) * O$10 * $BA$4 * 0.25
    ),
    0
)
+
IF(
    $N61 &lt; 0.875,
    MAX(0, MIN(($H61 / 1000) * O$10 * $BA$4, O$11 * 0.876) - (O$11 * $N61)) * 0.25,
    0
)</f>
        <v/>
      </c>
      <c r="P61" s="115">
        <f t="array" ref="P61">IF(
    AND($H61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($H61 / 1000) * P$10 * $BA$4 * 0.25
    ),
    0
)
+
IF(
    $N61 &lt; 0.875,
    MAX(0, MIN(($H61 / 1000) * P$10 * $BA$4, P$11 * 0.876) - (P$11 * $N61)) * 0.25,
    0
)</f>
        <v/>
      </c>
      <c r="Q61" s="115">
        <f t="array" ref="Q61">IF(
    AND($H61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($H61 / 1000) * Q$10 * $BA$4 * 0.25
    ),
    0
)
+
IF(
    $N61 &lt; 0.875,
    MAX(0, MIN(($H61 / 1000) * Q$10 * $BA$4, Q$11 * 0.876) - (Q$11 * $N61)) * 0.25,
    0
)</f>
        <v/>
      </c>
      <c r="R61" s="115">
        <f t="array" ref="R61">IF(
    AND($H61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($H61 / 1000) * R$10 * $BA$4 * 0.25
    ),
    0
)
+
IF(
    $N61 &lt; 0.875,
    MAX(0, MIN(($H61 / 1000) * R$10 * $BA$4, R$11 * 0.876) - (R$11 * $N61)) * 0.25,
    0
)</f>
        <v/>
      </c>
      <c r="S61" s="115">
        <f t="array" ref="S61">IF(
    AND($H61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($H61 / 1000) * S$10 * $BA$4 * 0.25
    ),
    0
)
+
IF(
    $N61 &lt; 0.875,
    MAX(0, MIN(($H61 / 1000) * S$10 * $BA$4, S$11 * 0.876) - (S$11 * $N61)) * 0.25,
    0
)</f>
        <v/>
      </c>
      <c r="T61" s="115">
        <f t="array" ref="T61">IF(
    AND($H61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($H61 / 1000) * T$10 * $BA$4 * 0.25
    ),
    0
)
+
IF(
    $N61 &lt; 0.875,
    MAX(0, MIN(($H61 / 1000) * T$10 * $BA$4, T$11 * 0.876) - (T$11 * $N61)) * 0.25,
    0
)</f>
        <v/>
      </c>
      <c r="U61" s="115">
        <f t="array" ref="U61">IF(
    AND($H61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($H61 / 1000) * U$10 * $BA$4 * 0.25
    ),
    0
)
+
IF(
    $N61 &lt; 0.875,
    MAX(0, MIN(($H61 / 1000) * U$10 * $BA$4, U$11 * 0.876) - (U$11 * $N61)) * 0.25,
    0
)</f>
        <v/>
      </c>
      <c r="V61" s="115">
        <f t="array" ref="V61">IF(
    AND($H61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($H61 / 1000) * V$10 * $BA$4 * 0.25
    ),
    0
)
+
IF(
    $N61 &lt; 0.875,
    MAX(0, MIN(($H61 / 1000) * V$10 * $BA$4, V$11 * 0.876) - (V$11 * $N61)) * 0.25,
    0
)</f>
        <v/>
      </c>
      <c r="W61" s="115">
        <f t="array" ref="W61">IF(
    AND($H61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($H61 / 1000) * W$10 * $BA$4 * 0.25
    ),
    0
)
+
IF(
    $N61 &lt; 0.875,
    MAX(0, MIN(($H61 / 1000) * W$10 * $BA$4, W$11 * 0.876) - (W$11 * $N61)) * 0.25,
    0
)</f>
        <v/>
      </c>
      <c r="X61" s="115">
        <f t="array" ref="X61">IF(
    AND($H61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($H61 / 1000) * X$10 * $BA$4 * 0.25
    ),
    0
)
+
IF(
    $N61 &lt; 0.875,
    MAX(0, MIN(($H61 / 1000) * X$10 * $BA$4, X$11 * 0.876) - (X$11 * $N61)) * 0.25,
    0
)</f>
        <v/>
      </c>
      <c r="Y61" s="115">
        <f t="array" ref="Y61">IF(
    AND($H61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($H61 / 1000) * Y$10 * $BA$4 * 0.25
    ),
    0
)
+
IF(
    $N61 &lt; 0.875,
    MAX(0, MIN(($H61 / 1000) * Y$10 * $BA$4, Y$11 * 0.876) - (Y$11 * $N61)) * 0.25,
    0
)</f>
        <v/>
      </c>
      <c r="Z61" s="115">
        <f t="array" ref="Z61">IF(
    AND($H61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($H61 / 1000) * Z$10 * $BA$4 * 0.25
    ),
    0
)
+
IF(
    $N61 &lt; 0.875,
    MAX(0, MIN(($H61 / 1000) * Z$10 * $BA$4, Z$11 * 0.876) - (Z$11 * $N61)) * 0.25,
    0
)</f>
        <v/>
      </c>
      <c r="AA61" s="116">
        <f>SUM(TabellaMar2026[[#This Row],[Colonna24]:[Colonna20]])</f>
        <v/>
      </c>
      <c r="AB61" s="117">
        <f>IF(
    AND($H61 &gt; $BA$7, Tabella01MarzoInverter[[#This Row],[Active power TX2-INV-1]] &lt;= 0, Tabella01MarzoInverter[[#This Row],[TX2 - Average Power]] &lt;= 0),
    MIN(($H61 / 1000) * AB$10 * $BA$4, AB$11 * 0.876) * 0.25,
    IF(
        AND($H61 &gt; $BA$7, Tabella01MarzoInverter[[#This Row],[Active power TX2-INV-1]] &lt;= 0),
        Tabella01MarzoInverter[[#This Row],[TX2 - Average Power]] * 0.25,
        0
    )
    +
    IF(
        $N61 &lt; 0.875,
        MAX(0, MIN(($H61 / 1000) * AB$10 * $BA$4, AB$11 * 0.876) - (AB$11 * $N61)) * 0.25,
        0
    )
)</f>
        <v/>
      </c>
      <c r="AC61" s="117">
        <f>IF(
    AND($H61 &gt; $BA$7, Tabella01MarzoInverter[[#This Row],[Active power TX2-INV-2]] &lt;= 0, Tabella01MarzoInverter[[#This Row],[TX2 - Max Power]] &lt;= 0),
    MIN(($H61 / 1000) * AC$10 * $BA$4, AC$11 * 0.876) * 0.25,
    IF(
        AND($H61 &gt; $BA$7, Tabella01MarzoInverter[[#This Row],[Active power TX2-INV-2]] &lt;= 0),
        Tabella01MarzoInverter[[#This Row],[TX2 - Max Power]] * 0.25,
        0
    )
    +
    IF(
        $N61 &lt; 0.875,
        MAX(0, MIN(($H61 / 1000) * AC$10 * $BA$4, AC$11 * 0.876) - (AC$11 * $N61)) * 0.25,
        0
    )
)</f>
        <v/>
      </c>
      <c r="AD61" s="117">
        <f>IF(
    AND($H61 &gt; $BA$7, Tabella01MarzoInverter[[#This Row],[Active power TX2-INV-3]] &lt;= 0, Tabella01MarzoInverter[[#This Row],[TX2 - Min Power]] &lt;= 0),
    MIN(($H61 / 1000) * AD$10 * $BA$4, AD$11 * 0.876) * 0.25,
    IF(
        AND($H61 &gt; $BA$7, Tabella01MarzoInverter[[#This Row],[Active power TX2-INV-3]] &lt;= 0),
        Tabella01MarzoInverter[[#This Row],[TX2 - Min Power]] * 0.25,
        0
    )
    +
    IF(
        $N61 &lt; 0.875,
        MAX(0, MIN(($H61 / 1000) * AD$10 * $BA$4, AD$11 * 0.876) - (AD$11 * $N61)) * 0.25,
        0
    )
)</f>
        <v/>
      </c>
      <c r="AE61" s="117">
        <f>IF(
    AND($H61 &gt; $BA$7, Tabella01MarzoInverter[[#This Row],[Active power TX2-INV-4]] &lt;= 0, Tabella01MarzoInverter[[#This Row],[Active power TX3-INV-1]] &lt;= 0),
    MIN(($H61 / 1000) * AE$10 * $BA$4, AE$11 * 0.876) * 0.25,
    IF(
        AND($H61 &gt; $BA$7, Tabella01MarzoInverter[[#This Row],[Active power TX2-INV-4]] &lt;= 0),
        Tabella01MarzoInverter[[#This Row],[Active power TX3-INV-1]] * 0.25,
        0
    )
    +
    IF(
        $N61 &lt; 0.875,
        MAX(0, MIN(($H61 / 1000) * AE$10 * $BA$4, AE$11 * 0.876) - (AE$11 * $N61)) * 0.25,
        0
    )
)</f>
        <v/>
      </c>
      <c r="AF61" s="117">
        <f>IF(
    AND($H61 &gt; $BA$7, Tabella01MarzoInverter[[#This Row],[Active power TX2-INV-5]] &lt;= 0, Tabella01MarzoInverter[[#This Row],[Active power TX3-INV-2]] &lt;= 0),
    MIN(($H61 / 1000) * AF$10 * $BA$4, AF$11 * 0.876) * 0.25,
    IF(
        AND($H61 &gt; $BA$7, Tabella01MarzoInverter[[#This Row],[Active power TX2-INV-5]] &lt;= 0),
        Tabella01MarzoInverter[[#This Row],[Active power TX3-INV-2]] * 0.25,
        0
    )
    +
    IF(
        $N61 &lt; 0.875,
        MAX(0, MIN(($H61 / 1000) * AF$10 * $BA$4, AF$11 * 0.876) - (AF$11 * $N61)) * 0.25,
        0
    )
)</f>
        <v/>
      </c>
      <c r="AG61" s="117">
        <f>IF(
    AND($H61 &gt; $BA$7, Tabella01MarzoInverter[[#This Row],[Active power TX2-INV-6]] &lt;= 0, Tabella01MarzoInverter[[#This Row],[Active power TX3-INV-3]] &lt;= 0),
    MIN(($H61 / 1000) * AG$10 * $BA$4, AG$11 * 0.876) * 0.25,
    IF(
        AND($H61 &gt; $BA$7, Tabella01MarzoInverter[[#This Row],[Active power TX2-INV-6]] &lt;= 0),
        Tabella01MarzoInverter[[#This Row],[Active power TX3-INV-3]] * 0.25,
        0
    )
    +
    IF(
        $N61 &lt; 0.875,
        MAX(0, MIN(($H61 / 1000) * AG$10 * $BA$4, AG$11 * 0.876) - (AG$11 * $N61)) * 0.25,
        0
    )
)</f>
        <v/>
      </c>
      <c r="AH61" s="117">
        <f>IF(
    AND($H61 &gt; $BA$7, Tabella01MarzoInverter[[#This Row],[Active power TX2-INV-7]] &lt;= 0, Tabella01MarzoInverter[[#This Row],[Active power TX3-INV-4]] &lt;= 0),
    MIN(($H61 / 1000) * AH$10 * $BA$4, AH$11 * 0.876) * 0.25,
    IF(
        AND($H61 &gt; $BA$7, Tabella01MarzoInverter[[#This Row],[Active power TX2-INV-7]] &lt;= 0),
        Tabella01MarzoInverter[[#This Row],[Active power TX3-INV-4]] * 0.25,
        0
    )
    +
    IF(
        $N61 &lt; 0.875,
        MAX(0, MIN(($H61 / 1000) * AH$10 * $BA$4, AH$11 * 0.876) - (AH$11 * $N61)) * 0.25,
        0
    )
)</f>
        <v/>
      </c>
      <c r="AI61" s="117">
        <f>IF(
    AND($H61 &gt; $BA$7, Tabella01MarzoInverter[[#This Row],[Active power TX2-INV-8]] &lt;= 0, Tabella01MarzoInverter[[#This Row],[Active power TX3-INV-5]] &lt;= 0),
    MIN(($H61 / 1000) * AI$10 * $BA$4, AI$11 * 0.876) * 0.25,
    IF(
        AND($H61 &gt; $BA$7, Tabella01MarzoInverter[[#This Row],[Active power TX2-INV-8]] &lt;= 0),
        Tabella01MarzoInverter[[#This Row],[Active power TX3-INV-5]] * 0.25,
        0
    )
    +
    IF(
        $N61 &lt; 0.875,
        MAX(0, MIN(($H61 / 1000) * AI$10 * $BA$4, AI$11 * 0.876) - (AI$11 * $N61)) * 0.25,
        0
    )
)</f>
        <v/>
      </c>
      <c r="AJ61" s="117">
        <f>IF(
    AND($H61 &gt; $BA$7, Tabella01MarzoInverter[[#This Row],[Active power TX2-INV-9]] &lt;= 0, Tabella01MarzoInverter[[#This Row],[Active power TX3-INV-6]] &lt;= 0),
    MIN(($H61 / 1000) * AJ$10 * $BA$4, AJ$11 * 0.876) * 0.25,
    IF(
        AND($H61 &gt; $BA$7, Tabella01MarzoInverter[[#This Row],[Active power TX2-INV-9]] &lt;= 0),
        Tabella01MarzoInverter[[#This Row],[Active power TX3-INV-6]] * 0.25,
        0
    )
    +
    IF(
        $N61 &lt; 0.875,
        MAX(0, MIN(($H61 / 1000) * AJ$10 * $BA$4, AJ$11 * 0.876) - (AJ$11 * $N61)) * 0.25,
        0
    )
)</f>
        <v/>
      </c>
      <c r="AK61" s="117">
        <f>IF(
    AND($H61 &gt; $BA$7, Tabella01MarzoInverter[[#This Row],[Active power TX2-INV-10]] &lt;= 0, Tabella01MarzoInverter[[#This Row],[Active power TX3-INV-7]] &lt;= 0),
    MIN(($H61 / 1000) * AK$10 * $BA$4, AK$11 * 0.876) * 0.25,
    IF(
        AND($H61 &gt; $BA$7, Tabella01MarzoInverter[[#This Row],[Active power TX2-INV-10]] &lt;= 0),
        Tabella01MarzoInverter[[#This Row],[Active power TX3-INV-7]] * 0.25,
        0
    )
    +
    IF(
        $N61 &lt; 0.875,
        MAX(0, MIN(($H61 / 1000) * AK$10 * $BA$4, AK$11 * 0.876) - (AK$11 * $N61)) * 0.25,
        0
    )
)</f>
        <v/>
      </c>
      <c r="AL61" s="117">
        <f>IF(
    AND($H61 &gt; $BA$7, Tabella01MarzoInverter[[#This Row],[Active power TX2-INV-11]] &lt;= 0, Tabella01MarzoInverter[[#This Row],[Active power TX3-INV-8]] &lt;= 0),
    MIN(($H61 / 1000) * AL$10 * $BA$4, AL$11 * 0.876) * 0.25,
    IF(
        AND($H61 &gt; $BA$7, Tabella01MarzoInverter[[#This Row],[Active power TX2-INV-11]] &lt;= 0),
        Tabella01MarzoInverter[[#This Row],[Active power TX3-INV-8]] * 0.25,
        0
    )
    +
    IF(
        $N61 &lt; 0.875,
        MAX(0, MIN(($H61 / 1000) * AL$10 * $BA$4, AL$11 * 0.876) - (AL$11 * $N61)) * 0.25,
        0
    )
)</f>
        <v/>
      </c>
      <c r="AM61" s="117">
        <f>IF(
    AND($H61 &gt; $BA$7, Tabella01MarzoInverter[[#This Row],[Active power TX2-INV-12]] &lt;= 0, Tabella01MarzoInverter[[#This Row],[Active power TX3-INV-9]] &lt;= 0),
    MIN(($H61 / 1000) * AM$10 * $BA$4, AM$11 * 0.876) * 0.25,
    IF(
        AND($H61 &gt; $BA$7, Tabella01MarzoInverter[[#This Row],[Active power TX2-INV-12]] &lt;= 0),
        Tabella01MarzoInverter[[#This Row],[Active power TX3-INV-9]] * 0.25,
        0
    )
    +
    IF(
        $N61 &lt; 0.875,
        MAX(0, MIN(($H61 / 1000) * AM$10 * $BA$4, AM$11 * 0.876) - (AM$11 * $N61)) * 0.25,
        0
    )
)</f>
        <v/>
      </c>
      <c r="AN61" s="118">
        <f>SUM(TabellaMar2026[[#This Row],[Colonna39]:[Colonna6]])</f>
        <v/>
      </c>
      <c r="AO61" s="117">
        <f t="array" ref="AO61">IF(
    AND($H61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($H61 / 1000) * AO$10 * $BA$4 * 0.25
    ),
    0
)
+
IF(
    $N61 &lt; 0.875,
    MAX(0, MIN(($H61 / 1000) * AO$10 * $BA$4, AO$11 * 0.876) - (AO$11 * $N61)) * 0.25,
    0
)</f>
        <v/>
      </c>
      <c r="AP61" s="117">
        <f t="array" ref="AP61">IF(
    AND($H61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($H61 / 1000) * AP$10 * $BA$4 * 0.25
    ),
    0
)
+
IF(
    $N61 &lt; 0.875,
    MAX(0, MIN(($H61 / 1000) * AP$10 * $BA$4, AP$11 * 0.876) - (AP$11 * $N61)) * 0.25,
    0
)</f>
        <v/>
      </c>
      <c r="AQ61" s="117">
        <f t="array" ref="AQ61">IF(
    AND($H61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($H61 / 1000) * AQ$10 * $BA$4 * 0.25
    ),
    0
)
+
IF(
    $N61 &lt; 0.875,
    MAX(0, MIN(($H61 / 1000) * AQ$10 * $BA$4, AQ$11 * 0.876) - (AQ$11 * $N61)) * 0.25,
    0
)</f>
        <v/>
      </c>
      <c r="AR61" s="117">
        <f t="array" ref="AR61">IF(
    AND($H61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($H61 / 1000) * AR$10 * $BA$4 * 0.25
    ),
    0
)
+
IF(
    $N61 &lt; 0.875,
    MAX(0, MIN(($H61 / 1000) * AR$10 * $BA$4, AR$11 * 0.876) - (AR$11 * $N61)) * 0.25,
    0
)</f>
        <v/>
      </c>
      <c r="AS61" s="117">
        <f t="array" ref="AS61">IF(
    AND($H61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($H61 / 1000) * AS$10 * $BA$4 * 0.25
    ),
    0
)
+
IF(
    $N61 &lt; 0.875,
    MAX(0, MIN(($H61 / 1000) * AS$10 * $BA$4, AS$11 * 0.876) - (AS$11 * $N61)) * 0.25,
    0
)</f>
        <v/>
      </c>
      <c r="AT61" s="117">
        <f t="array" ref="AT61">IF(
    AND($H61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($H61 / 1000) * AT$10 * $BA$4 * 0.25
    ),
    0
)
+
IF(
    $N61 &lt; 0.875,
    MAX(0, MIN(($H61 / 1000) * AT$10 * $BA$4, AT$11 * 0.876) - (AT$11 * $N61)) * 0.25,
    0
)</f>
        <v/>
      </c>
      <c r="AU61" s="117">
        <f t="array" ref="AU61">IF(
    AND($H61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($H61 / 1000) * AU$10 * $BA$4 * 0.25
    ),
    0
)
+
IF(
    $N61 &lt; 0.875,
    MAX(0, MIN(($H61 / 1000) * AU$10 * $BA$4, AU$11 * 0.876) - (AU$11 * $N61)) * 0.25,
    0
)</f>
        <v/>
      </c>
      <c r="AV61" s="117">
        <f t="array" ref="AV61">IF(
    AND($H61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($H61 / 1000) * AV$10 * $BA$4 * 0.25
    ),
    0
)
+
IF(
    $N61 &lt; 0.875,
    MAX(0, MIN(($H61 / 1000) * AV$10 * $BA$4, AV$11 * 0.876) - (AV$11 * $N61)) * 0.25,
    0
)</f>
        <v/>
      </c>
      <c r="AW61" s="117">
        <f t="array" ref="AW61">IF(
    AND($H61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($H61 / 1000) * AW$10 * $BA$4 * 0.25
    ),
    0
)
+
IF(
    $N61 &lt; 0.875,
    MAX(0, MIN(($H61 / 1000) * AW$10 * $BA$4, AW$11 * 0.876) - (AW$11 * $N61)) * 0.25,
    0
)</f>
        <v/>
      </c>
      <c r="AX61" s="117">
        <f t="array" ref="AX61">IF(
    AND($H61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($H61 / 1000) * AX$10 * $BA$4 * 0.25
    ),
    0
)
+
IF(
    $N61 &lt; 0.875,
    MAX(0, MIN(($H61 / 1000) * AX$10 * $BA$4, AX$11 * 0.876) - (AX$11 * $N61)) * 0.25,
    0
)</f>
        <v/>
      </c>
      <c r="AY61" s="117">
        <f t="array" ref="AY61">IF(
    AND($H61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($H61 / 1000) * AY$10 * $BA$4 * 0.25
    ),
    0
)
+
IF(
    $N61 &lt; 0.875,
    MAX(0, MIN(($H61 / 1000) * AY$10 * $BA$4, AY$11 * 0.876) - (AY$11 * $N61)) * 0.25,
    0
)</f>
        <v/>
      </c>
      <c r="AZ61" s="117">
        <f t="array" ref="AZ61">IF(
    AND($H61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($H61 / 1000) * AZ$10 * $BA$4 * 0.25
    ),
    0
)
+
IF(
    $N61 &lt; 0.875,
    MAX(0, MIN(($H61 / 1000) * AZ$10 * $BA$4, AZ$11 * 0.876) - (AZ$11 * $N61)) * 0.25,
    0
)</f>
        <v/>
      </c>
      <c r="BA61" s="119">
        <f>SUM(TabellaMar2026[[#This Row],[Colonna54]:[Colonna53]])</f>
        <v/>
      </c>
    </row>
    <row r="62">
      <c r="A62" s="112" t="n">
        <v>46143</v>
      </c>
      <c r="B62" t="inlineStr">
        <is>
          <t>11:45:00.000</t>
        </is>
      </c>
      <c r="C62" s="2" t="n">
        <v>928.8</v>
      </c>
      <c r="D62" s="113" t="n">
        <v>0.2322</v>
      </c>
      <c r="E62" s="113" t="n">
        <v>905.3</v>
      </c>
      <c r="F62" s="113" t="n">
        <v>0.226325</v>
      </c>
      <c r="G62" s="113">
        <f>IFERROR((D62+F62)/2, 0)</f>
        <v/>
      </c>
      <c r="H62" s="114">
        <f>IFERROR(IF(AVERAGE(C62,E62)&gt;$BA$7,AVERAGE(C62,E62),0), 0)</f>
        <v/>
      </c>
      <c r="I62" s="114">
        <f>IFERROR(IF(AND(D62=0,F62=0),0,IF(H62&gt;$BA$6,MAX(D62,F62),G62)), 0)</f>
        <v/>
      </c>
      <c r="J62" s="113">
        <f>IFERROR(IF(AND(D62&gt;0,F62&gt;0),ABS(D62-F62)/AVERAGE(D62,F62),0), 0)</f>
        <v/>
      </c>
      <c r="K62" s="113" t="n">
        <v>30128.1</v>
      </c>
      <c r="L62" s="113" t="n">
        <v>30130.5</v>
      </c>
      <c r="M62" s="115">
        <f>IFERROR((L62-K62)*1000, 0)</f>
        <v/>
      </c>
      <c r="N62" s="113" t="n">
        <v>0.8759999999999999</v>
      </c>
      <c r="O62" s="115">
        <f t="array" ref="O62">IF(
    AND($H62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($H62 / 1000) * O$10 * $BA$4 * 0.25
    ),
    0
)
+
IF(
    $N62 &lt; 0.875,
    MAX(0, MIN(($H62 / 1000) * O$10 * $BA$4, O$11 * 0.876) - (O$11 * $N62)) * 0.25,
    0
)</f>
        <v/>
      </c>
      <c r="P62" s="115">
        <f t="array" ref="P62">IF(
    AND($H62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($H62 / 1000) * P$10 * $BA$4 * 0.25
    ),
    0
)
+
IF(
    $N62 &lt; 0.875,
    MAX(0, MIN(($H62 / 1000) * P$10 * $BA$4, P$11 * 0.876) - (P$11 * $N62)) * 0.25,
    0
)</f>
        <v/>
      </c>
      <c r="Q62" s="115">
        <f t="array" ref="Q62">IF(
    AND($H62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($H62 / 1000) * Q$10 * $BA$4 * 0.25
    ),
    0
)
+
IF(
    $N62 &lt; 0.875,
    MAX(0, MIN(($H62 / 1000) * Q$10 * $BA$4, Q$11 * 0.876) - (Q$11 * $N62)) * 0.25,
    0
)</f>
        <v/>
      </c>
      <c r="R62" s="115">
        <f t="array" ref="R62">IF(
    AND($H62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($H62 / 1000) * R$10 * $BA$4 * 0.25
    ),
    0
)
+
IF(
    $N62 &lt; 0.875,
    MAX(0, MIN(($H62 / 1000) * R$10 * $BA$4, R$11 * 0.876) - (R$11 * $N62)) * 0.25,
    0
)</f>
        <v/>
      </c>
      <c r="S62" s="115">
        <f t="array" ref="S62">IF(
    AND($H62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($H62 / 1000) * S$10 * $BA$4 * 0.25
    ),
    0
)
+
IF(
    $N62 &lt; 0.875,
    MAX(0, MIN(($H62 / 1000) * S$10 * $BA$4, S$11 * 0.876) - (S$11 * $N62)) * 0.25,
    0
)</f>
        <v/>
      </c>
      <c r="T62" s="115">
        <f t="array" ref="T62">IF(
    AND($H62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($H62 / 1000) * T$10 * $BA$4 * 0.25
    ),
    0
)
+
IF(
    $N62 &lt; 0.875,
    MAX(0, MIN(($H62 / 1000) * T$10 * $BA$4, T$11 * 0.876) - (T$11 * $N62)) * 0.25,
    0
)</f>
        <v/>
      </c>
      <c r="U62" s="115">
        <f t="array" ref="U62">IF(
    AND($H62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($H62 / 1000) * U$10 * $BA$4 * 0.25
    ),
    0
)
+
IF(
    $N62 &lt; 0.875,
    MAX(0, MIN(($H62 / 1000) * U$10 * $BA$4, U$11 * 0.876) - (U$11 * $N62)) * 0.25,
    0
)</f>
        <v/>
      </c>
      <c r="V62" s="115">
        <f t="array" ref="V62">IF(
    AND($H62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($H62 / 1000) * V$10 * $BA$4 * 0.25
    ),
    0
)
+
IF(
    $N62 &lt; 0.875,
    MAX(0, MIN(($H62 / 1000) * V$10 * $BA$4, V$11 * 0.876) - (V$11 * $N62)) * 0.25,
    0
)</f>
        <v/>
      </c>
      <c r="W62" s="115">
        <f t="array" ref="W62">IF(
    AND($H62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($H62 / 1000) * W$10 * $BA$4 * 0.25
    ),
    0
)
+
IF(
    $N62 &lt; 0.875,
    MAX(0, MIN(($H62 / 1000) * W$10 * $BA$4, W$11 * 0.876) - (W$11 * $N62)) * 0.25,
    0
)</f>
        <v/>
      </c>
      <c r="X62" s="115">
        <f t="array" ref="X62">IF(
    AND($H62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($H62 / 1000) * X$10 * $BA$4 * 0.25
    ),
    0
)
+
IF(
    $N62 &lt; 0.875,
    MAX(0, MIN(($H62 / 1000) * X$10 * $BA$4, X$11 * 0.876) - (X$11 * $N62)) * 0.25,
    0
)</f>
        <v/>
      </c>
      <c r="Y62" s="115">
        <f t="array" ref="Y62">IF(
    AND($H62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($H62 / 1000) * Y$10 * $BA$4 * 0.25
    ),
    0
)
+
IF(
    $N62 &lt; 0.875,
    MAX(0, MIN(($H62 / 1000) * Y$10 * $BA$4, Y$11 * 0.876) - (Y$11 * $N62)) * 0.25,
    0
)</f>
        <v/>
      </c>
      <c r="Z62" s="115">
        <f t="array" ref="Z62">IF(
    AND($H62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($H62 / 1000) * Z$10 * $BA$4 * 0.25
    ),
    0
)
+
IF(
    $N62 &lt; 0.875,
    MAX(0, MIN(($H62 / 1000) * Z$10 * $BA$4, Z$11 * 0.876) - (Z$11 * $N62)) * 0.25,
    0
)</f>
        <v/>
      </c>
      <c r="AA62" s="116">
        <f>SUM(TabellaMar2026[[#This Row],[Colonna24]:[Colonna20]])</f>
        <v/>
      </c>
      <c r="AB62" s="117">
        <f>IF(
    AND($H62 &gt; $BA$7, Tabella01MarzoInverter[[#This Row],[Active power TX2-INV-1]] &lt;= 0, Tabella01MarzoInverter[[#This Row],[TX2 - Average Power]] &lt;= 0),
    MIN(($H62 / 1000) * AB$10 * $BA$4, AB$11 * 0.876) * 0.25,
    IF(
        AND($H62 &gt; $BA$7, Tabella01MarzoInverter[[#This Row],[Active power TX2-INV-1]] &lt;= 0),
        Tabella01MarzoInverter[[#This Row],[TX2 - Average Power]] * 0.25,
        0
    )
    +
    IF(
        $N62 &lt; 0.875,
        MAX(0, MIN(($H62 / 1000) * AB$10 * $BA$4, AB$11 * 0.876) - (AB$11 * $N62)) * 0.25,
        0
    )
)</f>
        <v/>
      </c>
      <c r="AC62" s="117">
        <f>IF(
    AND($H62 &gt; $BA$7, Tabella01MarzoInverter[[#This Row],[Active power TX2-INV-2]] &lt;= 0, Tabella01MarzoInverter[[#This Row],[TX2 - Max Power]] &lt;= 0),
    MIN(($H62 / 1000) * AC$10 * $BA$4, AC$11 * 0.876) * 0.25,
    IF(
        AND($H62 &gt; $BA$7, Tabella01MarzoInverter[[#This Row],[Active power TX2-INV-2]] &lt;= 0),
        Tabella01MarzoInverter[[#This Row],[TX2 - Max Power]] * 0.25,
        0
    )
    +
    IF(
        $N62 &lt; 0.875,
        MAX(0, MIN(($H62 / 1000) * AC$10 * $BA$4, AC$11 * 0.876) - (AC$11 * $N62)) * 0.25,
        0
    )
)</f>
        <v/>
      </c>
      <c r="AD62" s="117">
        <f>IF(
    AND($H62 &gt; $BA$7, Tabella01MarzoInverter[[#This Row],[Active power TX2-INV-3]] &lt;= 0, Tabella01MarzoInverter[[#This Row],[TX2 - Min Power]] &lt;= 0),
    MIN(($H62 / 1000) * AD$10 * $BA$4, AD$11 * 0.876) * 0.25,
    IF(
        AND($H62 &gt; $BA$7, Tabella01MarzoInverter[[#This Row],[Active power TX2-INV-3]] &lt;= 0),
        Tabella01MarzoInverter[[#This Row],[TX2 - Min Power]] * 0.25,
        0
    )
    +
    IF(
        $N62 &lt; 0.875,
        MAX(0, MIN(($H62 / 1000) * AD$10 * $BA$4, AD$11 * 0.876) - (AD$11 * $N62)) * 0.25,
        0
    )
)</f>
        <v/>
      </c>
      <c r="AE62" s="117">
        <f>IF(
    AND($H62 &gt; $BA$7, Tabella01MarzoInverter[[#This Row],[Active power TX2-INV-4]] &lt;= 0, Tabella01MarzoInverter[[#This Row],[Active power TX3-INV-1]] &lt;= 0),
    MIN(($H62 / 1000) * AE$10 * $BA$4, AE$11 * 0.876) * 0.25,
    IF(
        AND($H62 &gt; $BA$7, Tabella01MarzoInverter[[#This Row],[Active power TX2-INV-4]] &lt;= 0),
        Tabella01MarzoInverter[[#This Row],[Active power TX3-INV-1]] * 0.25,
        0
    )
    +
    IF(
        $N62 &lt; 0.875,
        MAX(0, MIN(($H62 / 1000) * AE$10 * $BA$4, AE$11 * 0.876) - (AE$11 * $N62)) * 0.25,
        0
    )
)</f>
        <v/>
      </c>
      <c r="AF62" s="117">
        <f>IF(
    AND($H62 &gt; $BA$7, Tabella01MarzoInverter[[#This Row],[Active power TX2-INV-5]] &lt;= 0, Tabella01MarzoInverter[[#This Row],[Active power TX3-INV-2]] &lt;= 0),
    MIN(($H62 / 1000) * AF$10 * $BA$4, AF$11 * 0.876) * 0.25,
    IF(
        AND($H62 &gt; $BA$7, Tabella01MarzoInverter[[#This Row],[Active power TX2-INV-5]] &lt;= 0),
        Tabella01MarzoInverter[[#This Row],[Active power TX3-INV-2]] * 0.25,
        0
    )
    +
    IF(
        $N62 &lt; 0.875,
        MAX(0, MIN(($H62 / 1000) * AF$10 * $BA$4, AF$11 * 0.876) - (AF$11 * $N62)) * 0.25,
        0
    )
)</f>
        <v/>
      </c>
      <c r="AG62" s="117">
        <f>IF(
    AND($H62 &gt; $BA$7, Tabella01MarzoInverter[[#This Row],[Active power TX2-INV-6]] &lt;= 0, Tabella01MarzoInverter[[#This Row],[Active power TX3-INV-3]] &lt;= 0),
    MIN(($H62 / 1000) * AG$10 * $BA$4, AG$11 * 0.876) * 0.25,
    IF(
        AND($H62 &gt; $BA$7, Tabella01MarzoInverter[[#This Row],[Active power TX2-INV-6]] &lt;= 0),
        Tabella01MarzoInverter[[#This Row],[Active power TX3-INV-3]] * 0.25,
        0
    )
    +
    IF(
        $N62 &lt; 0.875,
        MAX(0, MIN(($H62 / 1000) * AG$10 * $BA$4, AG$11 * 0.876) - (AG$11 * $N62)) * 0.25,
        0
    )
)</f>
        <v/>
      </c>
      <c r="AH62" s="117">
        <f>IF(
    AND($H62 &gt; $BA$7, Tabella01MarzoInverter[[#This Row],[Active power TX2-INV-7]] &lt;= 0, Tabella01MarzoInverter[[#This Row],[Active power TX3-INV-4]] &lt;= 0),
    MIN(($H62 / 1000) * AH$10 * $BA$4, AH$11 * 0.876) * 0.25,
    IF(
        AND($H62 &gt; $BA$7, Tabella01MarzoInverter[[#This Row],[Active power TX2-INV-7]] &lt;= 0),
        Tabella01MarzoInverter[[#This Row],[Active power TX3-INV-4]] * 0.25,
        0
    )
    +
    IF(
        $N62 &lt; 0.875,
        MAX(0, MIN(($H62 / 1000) * AH$10 * $BA$4, AH$11 * 0.876) - (AH$11 * $N62)) * 0.25,
        0
    )
)</f>
        <v/>
      </c>
      <c r="AI62" s="117">
        <f>IF(
    AND($H62 &gt; $BA$7, Tabella01MarzoInverter[[#This Row],[Active power TX2-INV-8]] &lt;= 0, Tabella01MarzoInverter[[#This Row],[Active power TX3-INV-5]] &lt;= 0),
    MIN(($H62 / 1000) * AI$10 * $BA$4, AI$11 * 0.876) * 0.25,
    IF(
        AND($H62 &gt; $BA$7, Tabella01MarzoInverter[[#This Row],[Active power TX2-INV-8]] &lt;= 0),
        Tabella01MarzoInverter[[#This Row],[Active power TX3-INV-5]] * 0.25,
        0
    )
    +
    IF(
        $N62 &lt; 0.875,
        MAX(0, MIN(($H62 / 1000) * AI$10 * $BA$4, AI$11 * 0.876) - (AI$11 * $N62)) * 0.25,
        0
    )
)</f>
        <v/>
      </c>
      <c r="AJ62" s="117">
        <f>IF(
    AND($H62 &gt; $BA$7, Tabella01MarzoInverter[[#This Row],[Active power TX2-INV-9]] &lt;= 0, Tabella01MarzoInverter[[#This Row],[Active power TX3-INV-6]] &lt;= 0),
    MIN(($H62 / 1000) * AJ$10 * $BA$4, AJ$11 * 0.876) * 0.25,
    IF(
        AND($H62 &gt; $BA$7, Tabella01MarzoInverter[[#This Row],[Active power TX2-INV-9]] &lt;= 0),
        Tabella01MarzoInverter[[#This Row],[Active power TX3-INV-6]] * 0.25,
        0
    )
    +
    IF(
        $N62 &lt; 0.875,
        MAX(0, MIN(($H62 / 1000) * AJ$10 * $BA$4, AJ$11 * 0.876) - (AJ$11 * $N62)) * 0.25,
        0
    )
)</f>
        <v/>
      </c>
      <c r="AK62" s="117">
        <f>IF(
    AND($H62 &gt; $BA$7, Tabella01MarzoInverter[[#This Row],[Active power TX2-INV-10]] &lt;= 0, Tabella01MarzoInverter[[#This Row],[Active power TX3-INV-7]] &lt;= 0),
    MIN(($H62 / 1000) * AK$10 * $BA$4, AK$11 * 0.876) * 0.25,
    IF(
        AND($H62 &gt; $BA$7, Tabella01MarzoInverter[[#This Row],[Active power TX2-INV-10]] &lt;= 0),
        Tabella01MarzoInverter[[#This Row],[Active power TX3-INV-7]] * 0.25,
        0
    )
    +
    IF(
        $N62 &lt; 0.875,
        MAX(0, MIN(($H62 / 1000) * AK$10 * $BA$4, AK$11 * 0.876) - (AK$11 * $N62)) * 0.25,
        0
    )
)</f>
        <v/>
      </c>
      <c r="AL62" s="117">
        <f>IF(
    AND($H62 &gt; $BA$7, Tabella01MarzoInverter[[#This Row],[Active power TX2-INV-11]] &lt;= 0, Tabella01MarzoInverter[[#This Row],[Active power TX3-INV-8]] &lt;= 0),
    MIN(($H62 / 1000) * AL$10 * $BA$4, AL$11 * 0.876) * 0.25,
    IF(
        AND($H62 &gt; $BA$7, Tabella01MarzoInverter[[#This Row],[Active power TX2-INV-11]] &lt;= 0),
        Tabella01MarzoInverter[[#This Row],[Active power TX3-INV-8]] * 0.25,
        0
    )
    +
    IF(
        $N62 &lt; 0.875,
        MAX(0, MIN(($H62 / 1000) * AL$10 * $BA$4, AL$11 * 0.876) - (AL$11 * $N62)) * 0.25,
        0
    )
)</f>
        <v/>
      </c>
      <c r="AM62" s="117">
        <f>IF(
    AND($H62 &gt; $BA$7, Tabella01MarzoInverter[[#This Row],[Active power TX2-INV-12]] &lt;= 0, Tabella01MarzoInverter[[#This Row],[Active power TX3-INV-9]] &lt;= 0),
    MIN(($H62 / 1000) * AM$10 * $BA$4, AM$11 * 0.876) * 0.25,
    IF(
        AND($H62 &gt; $BA$7, Tabella01MarzoInverter[[#This Row],[Active power TX2-INV-12]] &lt;= 0),
        Tabella01MarzoInverter[[#This Row],[Active power TX3-INV-9]] * 0.25,
        0
    )
    +
    IF(
        $N62 &lt; 0.875,
        MAX(0, MIN(($H62 / 1000) * AM$10 * $BA$4, AM$11 * 0.876) - (AM$11 * $N62)) * 0.25,
        0
    )
)</f>
        <v/>
      </c>
      <c r="AN62" s="118">
        <f>SUM(TabellaMar2026[[#This Row],[Colonna39]:[Colonna6]])</f>
        <v/>
      </c>
      <c r="AO62" s="117">
        <f t="array" ref="AO62">IF(
    AND($H62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($H62 / 1000) * AO$10 * $BA$4 * 0.25
    ),
    0
)
+
IF(
    $N62 &lt; 0.875,
    MAX(0, MIN(($H62 / 1000) * AO$10 * $BA$4, AO$11 * 0.876) - (AO$11 * $N62)) * 0.25,
    0
)</f>
        <v/>
      </c>
      <c r="AP62" s="117">
        <f t="array" ref="AP62">IF(
    AND($H62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($H62 / 1000) * AP$10 * $BA$4 * 0.25
    ),
    0
)
+
IF(
    $N62 &lt; 0.875,
    MAX(0, MIN(($H62 / 1000) * AP$10 * $BA$4, AP$11 * 0.876) - (AP$11 * $N62)) * 0.25,
    0
)</f>
        <v/>
      </c>
      <c r="AQ62" s="117">
        <f t="array" ref="AQ62">IF(
    AND($H62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($H62 / 1000) * AQ$10 * $BA$4 * 0.25
    ),
    0
)
+
IF(
    $N62 &lt; 0.875,
    MAX(0, MIN(($H62 / 1000) * AQ$10 * $BA$4, AQ$11 * 0.876) - (AQ$11 * $N62)) * 0.25,
    0
)</f>
        <v/>
      </c>
      <c r="AR62" s="117">
        <f t="array" ref="AR62">IF(
    AND($H62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($H62 / 1000) * AR$10 * $BA$4 * 0.25
    ),
    0
)
+
IF(
    $N62 &lt; 0.875,
    MAX(0, MIN(($H62 / 1000) * AR$10 * $BA$4, AR$11 * 0.876) - (AR$11 * $N62)) * 0.25,
    0
)</f>
        <v/>
      </c>
      <c r="AS62" s="117">
        <f t="array" ref="AS62">IF(
    AND($H62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($H62 / 1000) * AS$10 * $BA$4 * 0.25
    ),
    0
)
+
IF(
    $N62 &lt; 0.875,
    MAX(0, MIN(($H62 / 1000) * AS$10 * $BA$4, AS$11 * 0.876) - (AS$11 * $N62)) * 0.25,
    0
)</f>
        <v/>
      </c>
      <c r="AT62" s="117">
        <f t="array" ref="AT62">IF(
    AND($H62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($H62 / 1000) * AT$10 * $BA$4 * 0.25
    ),
    0
)
+
IF(
    $N62 &lt; 0.875,
    MAX(0, MIN(($H62 / 1000) * AT$10 * $BA$4, AT$11 * 0.876) - (AT$11 * $N62)) * 0.25,
    0
)</f>
        <v/>
      </c>
      <c r="AU62" s="117">
        <f t="array" ref="AU62">IF(
    AND($H62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($H62 / 1000) * AU$10 * $BA$4 * 0.25
    ),
    0
)
+
IF(
    $N62 &lt; 0.875,
    MAX(0, MIN(($H62 / 1000) * AU$10 * $BA$4, AU$11 * 0.876) - (AU$11 * $N62)) * 0.25,
    0
)</f>
        <v/>
      </c>
      <c r="AV62" s="117">
        <f t="array" ref="AV62">IF(
    AND($H62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($H62 / 1000) * AV$10 * $BA$4 * 0.25
    ),
    0
)
+
IF(
    $N62 &lt; 0.875,
    MAX(0, MIN(($H62 / 1000) * AV$10 * $BA$4, AV$11 * 0.876) - (AV$11 * $N62)) * 0.25,
    0
)</f>
        <v/>
      </c>
      <c r="AW62" s="117">
        <f t="array" ref="AW62">IF(
    AND($H62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($H62 / 1000) * AW$10 * $BA$4 * 0.25
    ),
    0
)
+
IF(
    $N62 &lt; 0.875,
    MAX(0, MIN(($H62 / 1000) * AW$10 * $BA$4, AW$11 * 0.876) - (AW$11 * $N62)) * 0.25,
    0
)</f>
        <v/>
      </c>
      <c r="AX62" s="117">
        <f t="array" ref="AX62">IF(
    AND($H62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($H62 / 1000) * AX$10 * $BA$4 * 0.25
    ),
    0
)
+
IF(
    $N62 &lt; 0.875,
    MAX(0, MIN(($H62 / 1000) * AX$10 * $BA$4, AX$11 * 0.876) - (AX$11 * $N62)) * 0.25,
    0
)</f>
        <v/>
      </c>
      <c r="AY62" s="117">
        <f t="array" ref="AY62">IF(
    AND($H62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($H62 / 1000) * AY$10 * $BA$4 * 0.25
    ),
    0
)
+
IF(
    $N62 &lt; 0.875,
    MAX(0, MIN(($H62 / 1000) * AY$10 * $BA$4, AY$11 * 0.876) - (AY$11 * $N62)) * 0.25,
    0
)</f>
        <v/>
      </c>
      <c r="AZ62" s="117">
        <f t="array" ref="AZ62">IF(
    AND($H62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($H62 / 1000) * AZ$10 * $BA$4 * 0.25
    ),
    0
)
+
IF(
    $N62 &lt; 0.875,
    MAX(0, MIN(($H62 / 1000) * AZ$10 * $BA$4, AZ$11 * 0.876) - (AZ$11 * $N62)) * 0.25,
    0
)</f>
        <v/>
      </c>
      <c r="BA62" s="119">
        <f>SUM(TabellaMar2026[[#This Row],[Colonna54]:[Colonna53]])</f>
        <v/>
      </c>
    </row>
    <row r="63">
      <c r="A63" s="112" t="n">
        <v>46143</v>
      </c>
      <c r="B63" t="inlineStr">
        <is>
          <t>12:00:00.000</t>
        </is>
      </c>
      <c r="C63" s="2" t="n">
        <v>981</v>
      </c>
      <c r="D63" s="113" t="n">
        <v>0.24525</v>
      </c>
      <c r="E63" s="113" t="n">
        <v>944.2</v>
      </c>
      <c r="F63" s="113" t="n">
        <v>0.23605</v>
      </c>
      <c r="G63" s="113">
        <f>IFERROR((D63+F63)/2, 0)</f>
        <v/>
      </c>
      <c r="H63" s="114">
        <f>IFERROR(IF(AVERAGE(C63,E63)&gt;$BA$7,AVERAGE(C63,E63),0), 0)</f>
        <v/>
      </c>
      <c r="I63" s="114">
        <f>IFERROR(IF(AND(D63=0,F63=0),0,IF(H63&gt;$BA$6,MAX(D63,F63),G63)), 0)</f>
        <v/>
      </c>
      <c r="J63" s="113">
        <f>IFERROR(IF(AND(D63&gt;0,F63&gt;0),ABS(D63-F63)/AVERAGE(D63,F63),0), 0)</f>
        <v/>
      </c>
      <c r="K63" s="113" t="n">
        <v>30130.5</v>
      </c>
      <c r="L63" s="113" t="n">
        <v>30131.6</v>
      </c>
      <c r="M63" s="115">
        <f>IFERROR((L63-K63)*1000, 0)</f>
        <v/>
      </c>
      <c r="N63" s="113" t="n">
        <v>0.0007000000000000001</v>
      </c>
      <c r="O63" s="115">
        <f t="array" ref="O63">IF(
    AND($H63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($H63 / 1000) * O$10 * $BA$4 * 0.25
    ),
    0
)
+
IF(
    $N63 &lt; 0.875,
    MAX(0, MIN(($H63 / 1000) * O$10 * $BA$4, O$11 * 0.876) - (O$11 * $N63)) * 0.25,
    0
)</f>
        <v/>
      </c>
      <c r="P63" s="115">
        <f t="array" ref="P63">IF(
    AND($H63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($H63 / 1000) * P$10 * $BA$4 * 0.25
    ),
    0
)
+
IF(
    $N63 &lt; 0.875,
    MAX(0, MIN(($H63 / 1000) * P$10 * $BA$4, P$11 * 0.876) - (P$11 * $N63)) * 0.25,
    0
)</f>
        <v/>
      </c>
      <c r="Q63" s="115">
        <f t="array" ref="Q63">IF(
    AND($H63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($H63 / 1000) * Q$10 * $BA$4 * 0.25
    ),
    0
)
+
IF(
    $N63 &lt; 0.875,
    MAX(0, MIN(($H63 / 1000) * Q$10 * $BA$4, Q$11 * 0.876) - (Q$11 * $N63)) * 0.25,
    0
)</f>
        <v/>
      </c>
      <c r="R63" s="115">
        <f t="array" ref="R63">IF(
    AND($H63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($H63 / 1000) * R$10 * $BA$4 * 0.25
    ),
    0
)
+
IF(
    $N63 &lt; 0.875,
    MAX(0, MIN(($H63 / 1000) * R$10 * $BA$4, R$11 * 0.876) - (R$11 * $N63)) * 0.25,
    0
)</f>
        <v/>
      </c>
      <c r="S63" s="115">
        <f t="array" ref="S63">IF(
    AND($H63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($H63 / 1000) * S$10 * $BA$4 * 0.25
    ),
    0
)
+
IF(
    $N63 &lt; 0.875,
    MAX(0, MIN(($H63 / 1000) * S$10 * $BA$4, S$11 * 0.876) - (S$11 * $N63)) * 0.25,
    0
)</f>
        <v/>
      </c>
      <c r="T63" s="115">
        <f t="array" ref="T63">IF(
    AND($H63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($H63 / 1000) * T$10 * $BA$4 * 0.25
    ),
    0
)
+
IF(
    $N63 &lt; 0.875,
    MAX(0, MIN(($H63 / 1000) * T$10 * $BA$4, T$11 * 0.876) - (T$11 * $N63)) * 0.25,
    0
)</f>
        <v/>
      </c>
      <c r="U63" s="115">
        <f t="array" ref="U63">IF(
    AND($H63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($H63 / 1000) * U$10 * $BA$4 * 0.25
    ),
    0
)
+
IF(
    $N63 &lt; 0.875,
    MAX(0, MIN(($H63 / 1000) * U$10 * $BA$4, U$11 * 0.876) - (U$11 * $N63)) * 0.25,
    0
)</f>
        <v/>
      </c>
      <c r="V63" s="115">
        <f t="array" ref="V63">IF(
    AND($H63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($H63 / 1000) * V$10 * $BA$4 * 0.25
    ),
    0
)
+
IF(
    $N63 &lt; 0.875,
    MAX(0, MIN(($H63 / 1000) * V$10 * $BA$4, V$11 * 0.876) - (V$11 * $N63)) * 0.25,
    0
)</f>
        <v/>
      </c>
      <c r="W63" s="115">
        <f t="array" ref="W63">IF(
    AND($H63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($H63 / 1000) * W$10 * $BA$4 * 0.25
    ),
    0
)
+
IF(
    $N63 &lt; 0.875,
    MAX(0, MIN(($H63 / 1000) * W$10 * $BA$4, W$11 * 0.876) - (W$11 * $N63)) * 0.25,
    0
)</f>
        <v/>
      </c>
      <c r="X63" s="115">
        <f t="array" ref="X63">IF(
    AND($H63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($H63 / 1000) * X$10 * $BA$4 * 0.25
    ),
    0
)
+
IF(
    $N63 &lt; 0.875,
    MAX(0, MIN(($H63 / 1000) * X$10 * $BA$4, X$11 * 0.876) - (X$11 * $N63)) * 0.25,
    0
)</f>
        <v/>
      </c>
      <c r="Y63" s="115">
        <f t="array" ref="Y63">IF(
    AND($H63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($H63 / 1000) * Y$10 * $BA$4 * 0.25
    ),
    0
)
+
IF(
    $N63 &lt; 0.875,
    MAX(0, MIN(($H63 / 1000) * Y$10 * $BA$4, Y$11 * 0.876) - (Y$11 * $N63)) * 0.25,
    0
)</f>
        <v/>
      </c>
      <c r="Z63" s="115">
        <f t="array" ref="Z63">IF(
    AND($H63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($H63 / 1000) * Z$10 * $BA$4 * 0.25
    ),
    0
)
+
IF(
    $N63 &lt; 0.875,
    MAX(0, MIN(($H63 / 1000) * Z$10 * $BA$4, Z$11 * 0.876) - (Z$11 * $N63)) * 0.25,
    0
)</f>
        <v/>
      </c>
      <c r="AA63" s="116">
        <f>SUM(TabellaMar2026[[#This Row],[Colonna24]:[Colonna20]])</f>
        <v/>
      </c>
      <c r="AB63" s="117">
        <f>IF(
    AND($H63 &gt; $BA$7, Tabella01MarzoInverter[[#This Row],[Active power TX2-INV-1]] &lt;= 0, Tabella01MarzoInverter[[#This Row],[TX2 - Average Power]] &lt;= 0),
    MIN(($H63 / 1000) * AB$10 * $BA$4, AB$11 * 0.876) * 0.25,
    IF(
        AND($H63 &gt; $BA$7, Tabella01MarzoInverter[[#This Row],[Active power TX2-INV-1]] &lt;= 0),
        Tabella01MarzoInverter[[#This Row],[TX2 - Average Power]] * 0.25,
        0
    )
    +
    IF(
        $N63 &lt; 0.875,
        MAX(0, MIN(($H63 / 1000) * AB$10 * $BA$4, AB$11 * 0.876) - (AB$11 * $N63)) * 0.25,
        0
    )
)</f>
        <v/>
      </c>
      <c r="AC63" s="117">
        <f>IF(
    AND($H63 &gt; $BA$7, Tabella01MarzoInverter[[#This Row],[Active power TX2-INV-2]] &lt;= 0, Tabella01MarzoInverter[[#This Row],[TX2 - Max Power]] &lt;= 0),
    MIN(($H63 / 1000) * AC$10 * $BA$4, AC$11 * 0.876) * 0.25,
    IF(
        AND($H63 &gt; $BA$7, Tabella01MarzoInverter[[#This Row],[Active power TX2-INV-2]] &lt;= 0),
        Tabella01MarzoInverter[[#This Row],[TX2 - Max Power]] * 0.25,
        0
    )
    +
    IF(
        $N63 &lt; 0.875,
        MAX(0, MIN(($H63 / 1000) * AC$10 * $BA$4, AC$11 * 0.876) - (AC$11 * $N63)) * 0.25,
        0
    )
)</f>
        <v/>
      </c>
      <c r="AD63" s="117">
        <f>IF(
    AND($H63 &gt; $BA$7, Tabella01MarzoInverter[[#This Row],[Active power TX2-INV-3]] &lt;= 0, Tabella01MarzoInverter[[#This Row],[TX2 - Min Power]] &lt;= 0),
    MIN(($H63 / 1000) * AD$10 * $BA$4, AD$11 * 0.876) * 0.25,
    IF(
        AND($H63 &gt; $BA$7, Tabella01MarzoInverter[[#This Row],[Active power TX2-INV-3]] &lt;= 0),
        Tabella01MarzoInverter[[#This Row],[TX2 - Min Power]] * 0.25,
        0
    )
    +
    IF(
        $N63 &lt; 0.875,
        MAX(0, MIN(($H63 / 1000) * AD$10 * $BA$4, AD$11 * 0.876) - (AD$11 * $N63)) * 0.25,
        0
    )
)</f>
        <v/>
      </c>
      <c r="AE63" s="117">
        <f>IF(
    AND($H63 &gt; $BA$7, Tabella01MarzoInverter[[#This Row],[Active power TX2-INV-4]] &lt;= 0, Tabella01MarzoInverter[[#This Row],[Active power TX3-INV-1]] &lt;= 0),
    MIN(($H63 / 1000) * AE$10 * $BA$4, AE$11 * 0.876) * 0.25,
    IF(
        AND($H63 &gt; $BA$7, Tabella01MarzoInverter[[#This Row],[Active power TX2-INV-4]] &lt;= 0),
        Tabella01MarzoInverter[[#This Row],[Active power TX3-INV-1]] * 0.25,
        0
    )
    +
    IF(
        $N63 &lt; 0.875,
        MAX(0, MIN(($H63 / 1000) * AE$10 * $BA$4, AE$11 * 0.876) - (AE$11 * $N63)) * 0.25,
        0
    )
)</f>
        <v/>
      </c>
      <c r="AF63" s="117">
        <f>IF(
    AND($H63 &gt; $BA$7, Tabella01MarzoInverter[[#This Row],[Active power TX2-INV-5]] &lt;= 0, Tabella01MarzoInverter[[#This Row],[Active power TX3-INV-2]] &lt;= 0),
    MIN(($H63 / 1000) * AF$10 * $BA$4, AF$11 * 0.876) * 0.25,
    IF(
        AND($H63 &gt; $BA$7, Tabella01MarzoInverter[[#This Row],[Active power TX2-INV-5]] &lt;= 0),
        Tabella01MarzoInverter[[#This Row],[Active power TX3-INV-2]] * 0.25,
        0
    )
    +
    IF(
        $N63 &lt; 0.875,
        MAX(0, MIN(($H63 / 1000) * AF$10 * $BA$4, AF$11 * 0.876) - (AF$11 * $N63)) * 0.25,
        0
    )
)</f>
        <v/>
      </c>
      <c r="AG63" s="117">
        <f>IF(
    AND($H63 &gt; $BA$7, Tabella01MarzoInverter[[#This Row],[Active power TX2-INV-6]] &lt;= 0, Tabella01MarzoInverter[[#This Row],[Active power TX3-INV-3]] &lt;= 0),
    MIN(($H63 / 1000) * AG$10 * $BA$4, AG$11 * 0.876) * 0.25,
    IF(
        AND($H63 &gt; $BA$7, Tabella01MarzoInverter[[#This Row],[Active power TX2-INV-6]] &lt;= 0),
        Tabella01MarzoInverter[[#This Row],[Active power TX3-INV-3]] * 0.25,
        0
    )
    +
    IF(
        $N63 &lt; 0.875,
        MAX(0, MIN(($H63 / 1000) * AG$10 * $BA$4, AG$11 * 0.876) - (AG$11 * $N63)) * 0.25,
        0
    )
)</f>
        <v/>
      </c>
      <c r="AH63" s="117">
        <f>IF(
    AND($H63 &gt; $BA$7, Tabella01MarzoInverter[[#This Row],[Active power TX2-INV-7]] &lt;= 0, Tabella01MarzoInverter[[#This Row],[Active power TX3-INV-4]] &lt;= 0),
    MIN(($H63 / 1000) * AH$10 * $BA$4, AH$11 * 0.876) * 0.25,
    IF(
        AND($H63 &gt; $BA$7, Tabella01MarzoInverter[[#This Row],[Active power TX2-INV-7]] &lt;= 0),
        Tabella01MarzoInverter[[#This Row],[Active power TX3-INV-4]] * 0.25,
        0
    )
    +
    IF(
        $N63 &lt; 0.875,
        MAX(0, MIN(($H63 / 1000) * AH$10 * $BA$4, AH$11 * 0.876) - (AH$11 * $N63)) * 0.25,
        0
    )
)</f>
        <v/>
      </c>
      <c r="AI63" s="117">
        <f>IF(
    AND($H63 &gt; $BA$7, Tabella01MarzoInverter[[#This Row],[Active power TX2-INV-8]] &lt;= 0, Tabella01MarzoInverter[[#This Row],[Active power TX3-INV-5]] &lt;= 0),
    MIN(($H63 / 1000) * AI$10 * $BA$4, AI$11 * 0.876) * 0.25,
    IF(
        AND($H63 &gt; $BA$7, Tabella01MarzoInverter[[#This Row],[Active power TX2-INV-8]] &lt;= 0),
        Tabella01MarzoInverter[[#This Row],[Active power TX3-INV-5]] * 0.25,
        0
    )
    +
    IF(
        $N63 &lt; 0.875,
        MAX(0, MIN(($H63 / 1000) * AI$10 * $BA$4, AI$11 * 0.876) - (AI$11 * $N63)) * 0.25,
        0
    )
)</f>
        <v/>
      </c>
      <c r="AJ63" s="117">
        <f>IF(
    AND($H63 &gt; $BA$7, Tabella01MarzoInverter[[#This Row],[Active power TX2-INV-9]] &lt;= 0, Tabella01MarzoInverter[[#This Row],[Active power TX3-INV-6]] &lt;= 0),
    MIN(($H63 / 1000) * AJ$10 * $BA$4, AJ$11 * 0.876) * 0.25,
    IF(
        AND($H63 &gt; $BA$7, Tabella01MarzoInverter[[#This Row],[Active power TX2-INV-9]] &lt;= 0),
        Tabella01MarzoInverter[[#This Row],[Active power TX3-INV-6]] * 0.25,
        0
    )
    +
    IF(
        $N63 &lt; 0.875,
        MAX(0, MIN(($H63 / 1000) * AJ$10 * $BA$4, AJ$11 * 0.876) - (AJ$11 * $N63)) * 0.25,
        0
    )
)</f>
        <v/>
      </c>
      <c r="AK63" s="117">
        <f>IF(
    AND($H63 &gt; $BA$7, Tabella01MarzoInverter[[#This Row],[Active power TX2-INV-10]] &lt;= 0, Tabella01MarzoInverter[[#This Row],[Active power TX3-INV-7]] &lt;= 0),
    MIN(($H63 / 1000) * AK$10 * $BA$4, AK$11 * 0.876) * 0.25,
    IF(
        AND($H63 &gt; $BA$7, Tabella01MarzoInverter[[#This Row],[Active power TX2-INV-10]] &lt;= 0),
        Tabella01MarzoInverter[[#This Row],[Active power TX3-INV-7]] * 0.25,
        0
    )
    +
    IF(
        $N63 &lt; 0.875,
        MAX(0, MIN(($H63 / 1000) * AK$10 * $BA$4, AK$11 * 0.876) - (AK$11 * $N63)) * 0.25,
        0
    )
)</f>
        <v/>
      </c>
      <c r="AL63" s="117">
        <f>IF(
    AND($H63 &gt; $BA$7, Tabella01MarzoInverter[[#This Row],[Active power TX2-INV-11]] &lt;= 0, Tabella01MarzoInverter[[#This Row],[Active power TX3-INV-8]] &lt;= 0),
    MIN(($H63 / 1000) * AL$10 * $BA$4, AL$11 * 0.876) * 0.25,
    IF(
        AND($H63 &gt; $BA$7, Tabella01MarzoInverter[[#This Row],[Active power TX2-INV-11]] &lt;= 0),
        Tabella01MarzoInverter[[#This Row],[Active power TX3-INV-8]] * 0.25,
        0
    )
    +
    IF(
        $N63 &lt; 0.875,
        MAX(0, MIN(($H63 / 1000) * AL$10 * $BA$4, AL$11 * 0.876) - (AL$11 * $N63)) * 0.25,
        0
    )
)</f>
        <v/>
      </c>
      <c r="AM63" s="117">
        <f>IF(
    AND($H63 &gt; $BA$7, Tabella01MarzoInverter[[#This Row],[Active power TX2-INV-12]] &lt;= 0, Tabella01MarzoInverter[[#This Row],[Active power TX3-INV-9]] &lt;= 0),
    MIN(($H63 / 1000) * AM$10 * $BA$4, AM$11 * 0.876) * 0.25,
    IF(
        AND($H63 &gt; $BA$7, Tabella01MarzoInverter[[#This Row],[Active power TX2-INV-12]] &lt;= 0),
        Tabella01MarzoInverter[[#This Row],[Active power TX3-INV-9]] * 0.25,
        0
    )
    +
    IF(
        $N63 &lt; 0.875,
        MAX(0, MIN(($H63 / 1000) * AM$10 * $BA$4, AM$11 * 0.876) - (AM$11 * $N63)) * 0.25,
        0
    )
)</f>
        <v/>
      </c>
      <c r="AN63" s="118">
        <f>SUM(TabellaMar2026[[#This Row],[Colonna39]:[Colonna6]])</f>
        <v/>
      </c>
      <c r="AO63" s="117">
        <f t="array" ref="AO63">IF(
    AND($H63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($H63 / 1000) * AO$10 * $BA$4 * 0.25
    ),
    0
)
+
IF(
    $N63 &lt; 0.875,
    MAX(0, MIN(($H63 / 1000) * AO$10 * $BA$4, AO$11 * 0.876) - (AO$11 * $N63)) * 0.25,
    0
)</f>
        <v/>
      </c>
      <c r="AP63" s="117">
        <f t="array" ref="AP63">IF(
    AND($H63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($H63 / 1000) * AP$10 * $BA$4 * 0.25
    ),
    0
)
+
IF(
    $N63 &lt; 0.875,
    MAX(0, MIN(($H63 / 1000) * AP$10 * $BA$4, AP$11 * 0.876) - (AP$11 * $N63)) * 0.25,
    0
)</f>
        <v/>
      </c>
      <c r="AQ63" s="117">
        <f t="array" ref="AQ63">IF(
    AND($H63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($H63 / 1000) * AQ$10 * $BA$4 * 0.25
    ),
    0
)
+
IF(
    $N63 &lt; 0.875,
    MAX(0, MIN(($H63 / 1000) * AQ$10 * $BA$4, AQ$11 * 0.876) - (AQ$11 * $N63)) * 0.25,
    0
)</f>
        <v/>
      </c>
      <c r="AR63" s="117">
        <f t="array" ref="AR63">IF(
    AND($H63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($H63 / 1000) * AR$10 * $BA$4 * 0.25
    ),
    0
)
+
IF(
    $N63 &lt; 0.875,
    MAX(0, MIN(($H63 / 1000) * AR$10 * $BA$4, AR$11 * 0.876) - (AR$11 * $N63)) * 0.25,
    0
)</f>
        <v/>
      </c>
      <c r="AS63" s="117">
        <f t="array" ref="AS63">IF(
    AND($H63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($H63 / 1000) * AS$10 * $BA$4 * 0.25
    ),
    0
)
+
IF(
    $N63 &lt; 0.875,
    MAX(0, MIN(($H63 / 1000) * AS$10 * $BA$4, AS$11 * 0.876) - (AS$11 * $N63)) * 0.25,
    0
)</f>
        <v/>
      </c>
      <c r="AT63" s="117">
        <f t="array" ref="AT63">IF(
    AND($H63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($H63 / 1000) * AT$10 * $BA$4 * 0.25
    ),
    0
)
+
IF(
    $N63 &lt; 0.875,
    MAX(0, MIN(($H63 / 1000) * AT$10 * $BA$4, AT$11 * 0.876) - (AT$11 * $N63)) * 0.25,
    0
)</f>
        <v/>
      </c>
      <c r="AU63" s="117">
        <f t="array" ref="AU63">IF(
    AND($H63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($H63 / 1000) * AU$10 * $BA$4 * 0.25
    ),
    0
)
+
IF(
    $N63 &lt; 0.875,
    MAX(0, MIN(($H63 / 1000) * AU$10 * $BA$4, AU$11 * 0.876) - (AU$11 * $N63)) * 0.25,
    0
)</f>
        <v/>
      </c>
      <c r="AV63" s="117">
        <f t="array" ref="AV63">IF(
    AND($H63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($H63 / 1000) * AV$10 * $BA$4 * 0.25
    ),
    0
)
+
IF(
    $N63 &lt; 0.875,
    MAX(0, MIN(($H63 / 1000) * AV$10 * $BA$4, AV$11 * 0.876) - (AV$11 * $N63)) * 0.25,
    0
)</f>
        <v/>
      </c>
      <c r="AW63" s="117">
        <f t="array" ref="AW63">IF(
    AND($H63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($H63 / 1000) * AW$10 * $BA$4 * 0.25
    ),
    0
)
+
IF(
    $N63 &lt; 0.875,
    MAX(0, MIN(($H63 / 1000) * AW$10 * $BA$4, AW$11 * 0.876) - (AW$11 * $N63)) * 0.25,
    0
)</f>
        <v/>
      </c>
      <c r="AX63" s="117">
        <f t="array" ref="AX63">IF(
    AND($H63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($H63 / 1000) * AX$10 * $BA$4 * 0.25
    ),
    0
)
+
IF(
    $N63 &lt; 0.875,
    MAX(0, MIN(($H63 / 1000) * AX$10 * $BA$4, AX$11 * 0.876) - (AX$11 * $N63)) * 0.25,
    0
)</f>
        <v/>
      </c>
      <c r="AY63" s="117">
        <f t="array" ref="AY63">IF(
    AND($H63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($H63 / 1000) * AY$10 * $BA$4 * 0.25
    ),
    0
)
+
IF(
    $N63 &lt; 0.875,
    MAX(0, MIN(($H63 / 1000) * AY$10 * $BA$4, AY$11 * 0.876) - (AY$11 * $N63)) * 0.25,
    0
)</f>
        <v/>
      </c>
      <c r="AZ63" s="117">
        <f t="array" ref="AZ63">IF(
    AND($H63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($H63 / 1000) * AZ$10 * $BA$4 * 0.25
    ),
    0
)
+
IF(
    $N63 &lt; 0.875,
    MAX(0, MIN(($H63 / 1000) * AZ$10 * $BA$4, AZ$11 * 0.876) - (AZ$11 * $N63)) * 0.25,
    0
)</f>
        <v/>
      </c>
      <c r="BA63" s="119">
        <f>SUM(TabellaMar2026[[#This Row],[Colonna54]:[Colonna53]])</f>
        <v/>
      </c>
    </row>
    <row r="64">
      <c r="A64" s="112" t="n">
        <v>46143</v>
      </c>
      <c r="B64" t="inlineStr">
        <is>
          <t>12:15:00.000</t>
        </is>
      </c>
      <c r="C64" s="2" t="n">
        <v>806.2</v>
      </c>
      <c r="D64" s="113" t="n">
        <v>0.20155</v>
      </c>
      <c r="E64" s="113" t="n">
        <v>792.1</v>
      </c>
      <c r="F64" s="113" t="n">
        <v>0.198025</v>
      </c>
      <c r="G64" s="113">
        <f>IFERROR((D64+F64)/2, 0)</f>
        <v/>
      </c>
      <c r="H64" s="114">
        <f>IFERROR(IF(AVERAGE(C64,E64)&gt;$BA$7,AVERAGE(C64,E64),0), 0)</f>
        <v/>
      </c>
      <c r="I64" s="114">
        <f>IFERROR(IF(AND(D64=0,F64=0),0,IF(H64&gt;$BA$6,MAX(D64,F64),G64)), 0)</f>
        <v/>
      </c>
      <c r="J64" s="113">
        <f>IFERROR(IF(AND(D64&gt;0,F64&gt;0),ABS(D64-F64)/AVERAGE(D64,F64),0), 0)</f>
        <v/>
      </c>
      <c r="K64" s="113" t="n">
        <v>30131.6</v>
      </c>
      <c r="L64" s="113" t="n">
        <v>30131.6</v>
      </c>
      <c r="M64" s="115">
        <f>IFERROR((L64-K64)*1000, 0)</f>
        <v/>
      </c>
      <c r="N64" s="113" t="n">
        <v>0.0007000000000000001</v>
      </c>
      <c r="O64" s="115">
        <f t="array" ref="O64">IF(
    AND($H64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($H64 / 1000) * O$10 * $BA$4 * 0.25
    ),
    0
)
+
IF(
    $N64 &lt; 0.875,
    MAX(0, MIN(($H64 / 1000) * O$10 * $BA$4, O$11 * 0.876) - (O$11 * $N64)) * 0.25,
    0
)</f>
        <v/>
      </c>
      <c r="P64" s="115">
        <f t="array" ref="P64">IF(
    AND($H64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($H64 / 1000) * P$10 * $BA$4 * 0.25
    ),
    0
)
+
IF(
    $N64 &lt; 0.875,
    MAX(0, MIN(($H64 / 1000) * P$10 * $BA$4, P$11 * 0.876) - (P$11 * $N64)) * 0.25,
    0
)</f>
        <v/>
      </c>
      <c r="Q64" s="115">
        <f t="array" ref="Q64">IF(
    AND($H64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($H64 / 1000) * Q$10 * $BA$4 * 0.25
    ),
    0
)
+
IF(
    $N64 &lt; 0.875,
    MAX(0, MIN(($H64 / 1000) * Q$10 * $BA$4, Q$11 * 0.876) - (Q$11 * $N64)) * 0.25,
    0
)</f>
        <v/>
      </c>
      <c r="R64" s="115">
        <f t="array" ref="R64">IF(
    AND($H64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($H64 / 1000) * R$10 * $BA$4 * 0.25
    ),
    0
)
+
IF(
    $N64 &lt; 0.875,
    MAX(0, MIN(($H64 / 1000) * R$10 * $BA$4, R$11 * 0.876) - (R$11 * $N64)) * 0.25,
    0
)</f>
        <v/>
      </c>
      <c r="S64" s="115">
        <f t="array" ref="S64">IF(
    AND($H64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($H64 / 1000) * S$10 * $BA$4 * 0.25
    ),
    0
)
+
IF(
    $N64 &lt; 0.875,
    MAX(0, MIN(($H64 / 1000) * S$10 * $BA$4, S$11 * 0.876) - (S$11 * $N64)) * 0.25,
    0
)</f>
        <v/>
      </c>
      <c r="T64" s="115">
        <f t="array" ref="T64">IF(
    AND($H64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($H64 / 1000) * T$10 * $BA$4 * 0.25
    ),
    0
)
+
IF(
    $N64 &lt; 0.875,
    MAX(0, MIN(($H64 / 1000) * T$10 * $BA$4, T$11 * 0.876) - (T$11 * $N64)) * 0.25,
    0
)</f>
        <v/>
      </c>
      <c r="U64" s="115">
        <f t="array" ref="U64">IF(
    AND($H64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($H64 / 1000) * U$10 * $BA$4 * 0.25
    ),
    0
)
+
IF(
    $N64 &lt; 0.875,
    MAX(0, MIN(($H64 / 1000) * U$10 * $BA$4, U$11 * 0.876) - (U$11 * $N64)) * 0.25,
    0
)</f>
        <v/>
      </c>
      <c r="V64" s="115">
        <f t="array" ref="V64">IF(
    AND($H64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($H64 / 1000) * V$10 * $BA$4 * 0.25
    ),
    0
)
+
IF(
    $N64 &lt; 0.875,
    MAX(0, MIN(($H64 / 1000) * V$10 * $BA$4, V$11 * 0.876) - (V$11 * $N64)) * 0.25,
    0
)</f>
        <v/>
      </c>
      <c r="W64" s="115">
        <f t="array" ref="W64">IF(
    AND($H64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($H64 / 1000) * W$10 * $BA$4 * 0.25
    ),
    0
)
+
IF(
    $N64 &lt; 0.875,
    MAX(0, MIN(($H64 / 1000) * W$10 * $BA$4, W$11 * 0.876) - (W$11 * $N64)) * 0.25,
    0
)</f>
        <v/>
      </c>
      <c r="X64" s="115">
        <f t="array" ref="X64">IF(
    AND($H64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($H64 / 1000) * X$10 * $BA$4 * 0.25
    ),
    0
)
+
IF(
    $N64 &lt; 0.875,
    MAX(0, MIN(($H64 / 1000) * X$10 * $BA$4, X$11 * 0.876) - (X$11 * $N64)) * 0.25,
    0
)</f>
        <v/>
      </c>
      <c r="Y64" s="115">
        <f t="array" ref="Y64">IF(
    AND($H64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($H64 / 1000) * Y$10 * $BA$4 * 0.25
    ),
    0
)
+
IF(
    $N64 &lt; 0.875,
    MAX(0, MIN(($H64 / 1000) * Y$10 * $BA$4, Y$11 * 0.876) - (Y$11 * $N64)) * 0.25,
    0
)</f>
        <v/>
      </c>
      <c r="Z64" s="115">
        <f t="array" ref="Z64">IF(
    AND($H64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($H64 / 1000) * Z$10 * $BA$4 * 0.25
    ),
    0
)
+
IF(
    $N64 &lt; 0.875,
    MAX(0, MIN(($H64 / 1000) * Z$10 * $BA$4, Z$11 * 0.876) - (Z$11 * $N64)) * 0.25,
    0
)</f>
        <v/>
      </c>
      <c r="AA64" s="116">
        <f>SUM(TabellaMar2026[[#This Row],[Colonna24]:[Colonna20]])</f>
        <v/>
      </c>
      <c r="AB64" s="117">
        <f>IF(
    AND($H64 &gt; $BA$7, Tabella01MarzoInverter[[#This Row],[Active power TX2-INV-1]] &lt;= 0, Tabella01MarzoInverter[[#This Row],[TX2 - Average Power]] &lt;= 0),
    MIN(($H64 / 1000) * AB$10 * $BA$4, AB$11 * 0.876) * 0.25,
    IF(
        AND($H64 &gt; $BA$7, Tabella01MarzoInverter[[#This Row],[Active power TX2-INV-1]] &lt;= 0),
        Tabella01MarzoInverter[[#This Row],[TX2 - Average Power]] * 0.25,
        0
    )
    +
    IF(
        $N64 &lt; 0.875,
        MAX(0, MIN(($H64 / 1000) * AB$10 * $BA$4, AB$11 * 0.876) - (AB$11 * $N64)) * 0.25,
        0
    )
)</f>
        <v/>
      </c>
      <c r="AC64" s="117">
        <f>IF(
    AND($H64 &gt; $BA$7, Tabella01MarzoInverter[[#This Row],[Active power TX2-INV-2]] &lt;= 0, Tabella01MarzoInverter[[#This Row],[TX2 - Max Power]] &lt;= 0),
    MIN(($H64 / 1000) * AC$10 * $BA$4, AC$11 * 0.876) * 0.25,
    IF(
        AND($H64 &gt; $BA$7, Tabella01MarzoInverter[[#This Row],[Active power TX2-INV-2]] &lt;= 0),
        Tabella01MarzoInverter[[#This Row],[TX2 - Max Power]] * 0.25,
        0
    )
    +
    IF(
        $N64 &lt; 0.875,
        MAX(0, MIN(($H64 / 1000) * AC$10 * $BA$4, AC$11 * 0.876) - (AC$11 * $N64)) * 0.25,
        0
    )
)</f>
        <v/>
      </c>
      <c r="AD64" s="117">
        <f>IF(
    AND($H64 &gt; $BA$7, Tabella01MarzoInverter[[#This Row],[Active power TX2-INV-3]] &lt;= 0, Tabella01MarzoInverter[[#This Row],[TX2 - Min Power]] &lt;= 0),
    MIN(($H64 / 1000) * AD$10 * $BA$4, AD$11 * 0.876) * 0.25,
    IF(
        AND($H64 &gt; $BA$7, Tabella01MarzoInverter[[#This Row],[Active power TX2-INV-3]] &lt;= 0),
        Tabella01MarzoInverter[[#This Row],[TX2 - Min Power]] * 0.25,
        0
    )
    +
    IF(
        $N64 &lt; 0.875,
        MAX(0, MIN(($H64 / 1000) * AD$10 * $BA$4, AD$11 * 0.876) - (AD$11 * $N64)) * 0.25,
        0
    )
)</f>
        <v/>
      </c>
      <c r="AE64" s="117">
        <f>IF(
    AND($H64 &gt; $BA$7, Tabella01MarzoInverter[[#This Row],[Active power TX2-INV-4]] &lt;= 0, Tabella01MarzoInverter[[#This Row],[Active power TX3-INV-1]] &lt;= 0),
    MIN(($H64 / 1000) * AE$10 * $BA$4, AE$11 * 0.876) * 0.25,
    IF(
        AND($H64 &gt; $BA$7, Tabella01MarzoInverter[[#This Row],[Active power TX2-INV-4]] &lt;= 0),
        Tabella01MarzoInverter[[#This Row],[Active power TX3-INV-1]] * 0.25,
        0
    )
    +
    IF(
        $N64 &lt; 0.875,
        MAX(0, MIN(($H64 / 1000) * AE$10 * $BA$4, AE$11 * 0.876) - (AE$11 * $N64)) * 0.25,
        0
    )
)</f>
        <v/>
      </c>
      <c r="AF64" s="117">
        <f>IF(
    AND($H64 &gt; $BA$7, Tabella01MarzoInverter[[#This Row],[Active power TX2-INV-5]] &lt;= 0, Tabella01MarzoInverter[[#This Row],[Active power TX3-INV-2]] &lt;= 0),
    MIN(($H64 / 1000) * AF$10 * $BA$4, AF$11 * 0.876) * 0.25,
    IF(
        AND($H64 &gt; $BA$7, Tabella01MarzoInverter[[#This Row],[Active power TX2-INV-5]] &lt;= 0),
        Tabella01MarzoInverter[[#This Row],[Active power TX3-INV-2]] * 0.25,
        0
    )
    +
    IF(
        $N64 &lt; 0.875,
        MAX(0, MIN(($H64 / 1000) * AF$10 * $BA$4, AF$11 * 0.876) - (AF$11 * $N64)) * 0.25,
        0
    )
)</f>
        <v/>
      </c>
      <c r="AG64" s="117">
        <f>IF(
    AND($H64 &gt; $BA$7, Tabella01MarzoInverter[[#This Row],[Active power TX2-INV-6]] &lt;= 0, Tabella01MarzoInverter[[#This Row],[Active power TX3-INV-3]] &lt;= 0),
    MIN(($H64 / 1000) * AG$10 * $BA$4, AG$11 * 0.876) * 0.25,
    IF(
        AND($H64 &gt; $BA$7, Tabella01MarzoInverter[[#This Row],[Active power TX2-INV-6]] &lt;= 0),
        Tabella01MarzoInverter[[#This Row],[Active power TX3-INV-3]] * 0.25,
        0
    )
    +
    IF(
        $N64 &lt; 0.875,
        MAX(0, MIN(($H64 / 1000) * AG$10 * $BA$4, AG$11 * 0.876) - (AG$11 * $N64)) * 0.25,
        0
    )
)</f>
        <v/>
      </c>
      <c r="AH64" s="117">
        <f>IF(
    AND($H64 &gt; $BA$7, Tabella01MarzoInverter[[#This Row],[Active power TX2-INV-7]] &lt;= 0, Tabella01MarzoInverter[[#This Row],[Active power TX3-INV-4]] &lt;= 0),
    MIN(($H64 / 1000) * AH$10 * $BA$4, AH$11 * 0.876) * 0.25,
    IF(
        AND($H64 &gt; $BA$7, Tabella01MarzoInverter[[#This Row],[Active power TX2-INV-7]] &lt;= 0),
        Tabella01MarzoInverter[[#This Row],[Active power TX3-INV-4]] * 0.25,
        0
    )
    +
    IF(
        $N64 &lt; 0.875,
        MAX(0, MIN(($H64 / 1000) * AH$10 * $BA$4, AH$11 * 0.876) - (AH$11 * $N64)) * 0.25,
        0
    )
)</f>
        <v/>
      </c>
      <c r="AI64" s="117">
        <f>IF(
    AND($H64 &gt; $BA$7, Tabella01MarzoInverter[[#This Row],[Active power TX2-INV-8]] &lt;= 0, Tabella01MarzoInverter[[#This Row],[Active power TX3-INV-5]] &lt;= 0),
    MIN(($H64 / 1000) * AI$10 * $BA$4, AI$11 * 0.876) * 0.25,
    IF(
        AND($H64 &gt; $BA$7, Tabella01MarzoInverter[[#This Row],[Active power TX2-INV-8]] &lt;= 0),
        Tabella01MarzoInverter[[#This Row],[Active power TX3-INV-5]] * 0.25,
        0
    )
    +
    IF(
        $N64 &lt; 0.875,
        MAX(0, MIN(($H64 / 1000) * AI$10 * $BA$4, AI$11 * 0.876) - (AI$11 * $N64)) * 0.25,
        0
    )
)</f>
        <v/>
      </c>
      <c r="AJ64" s="117">
        <f>IF(
    AND($H64 &gt; $BA$7, Tabella01MarzoInverter[[#This Row],[Active power TX2-INV-9]] &lt;= 0, Tabella01MarzoInverter[[#This Row],[Active power TX3-INV-6]] &lt;= 0),
    MIN(($H64 / 1000) * AJ$10 * $BA$4, AJ$11 * 0.876) * 0.25,
    IF(
        AND($H64 &gt; $BA$7, Tabella01MarzoInverter[[#This Row],[Active power TX2-INV-9]] &lt;= 0),
        Tabella01MarzoInverter[[#This Row],[Active power TX3-INV-6]] * 0.25,
        0
    )
    +
    IF(
        $N64 &lt; 0.875,
        MAX(0, MIN(($H64 / 1000) * AJ$10 * $BA$4, AJ$11 * 0.876) - (AJ$11 * $N64)) * 0.25,
        0
    )
)</f>
        <v/>
      </c>
      <c r="AK64" s="117">
        <f>IF(
    AND($H64 &gt; $BA$7, Tabella01MarzoInverter[[#This Row],[Active power TX2-INV-10]] &lt;= 0, Tabella01MarzoInverter[[#This Row],[Active power TX3-INV-7]] &lt;= 0),
    MIN(($H64 / 1000) * AK$10 * $BA$4, AK$11 * 0.876) * 0.25,
    IF(
        AND($H64 &gt; $BA$7, Tabella01MarzoInverter[[#This Row],[Active power TX2-INV-10]] &lt;= 0),
        Tabella01MarzoInverter[[#This Row],[Active power TX3-INV-7]] * 0.25,
        0
    )
    +
    IF(
        $N64 &lt; 0.875,
        MAX(0, MIN(($H64 / 1000) * AK$10 * $BA$4, AK$11 * 0.876) - (AK$11 * $N64)) * 0.25,
        0
    )
)</f>
        <v/>
      </c>
      <c r="AL64" s="117">
        <f>IF(
    AND($H64 &gt; $BA$7, Tabella01MarzoInverter[[#This Row],[Active power TX2-INV-11]] &lt;= 0, Tabella01MarzoInverter[[#This Row],[Active power TX3-INV-8]] &lt;= 0),
    MIN(($H64 / 1000) * AL$10 * $BA$4, AL$11 * 0.876) * 0.25,
    IF(
        AND($H64 &gt; $BA$7, Tabella01MarzoInverter[[#This Row],[Active power TX2-INV-11]] &lt;= 0),
        Tabella01MarzoInverter[[#This Row],[Active power TX3-INV-8]] * 0.25,
        0
    )
    +
    IF(
        $N64 &lt; 0.875,
        MAX(0, MIN(($H64 / 1000) * AL$10 * $BA$4, AL$11 * 0.876) - (AL$11 * $N64)) * 0.25,
        0
    )
)</f>
        <v/>
      </c>
      <c r="AM64" s="117">
        <f>IF(
    AND($H64 &gt; $BA$7, Tabella01MarzoInverter[[#This Row],[Active power TX2-INV-12]] &lt;= 0, Tabella01MarzoInverter[[#This Row],[Active power TX3-INV-9]] &lt;= 0),
    MIN(($H64 / 1000) * AM$10 * $BA$4, AM$11 * 0.876) * 0.25,
    IF(
        AND($H64 &gt; $BA$7, Tabella01MarzoInverter[[#This Row],[Active power TX2-INV-12]] &lt;= 0),
        Tabella01MarzoInverter[[#This Row],[Active power TX3-INV-9]] * 0.25,
        0
    )
    +
    IF(
        $N64 &lt; 0.875,
        MAX(0, MIN(($H64 / 1000) * AM$10 * $BA$4, AM$11 * 0.876) - (AM$11 * $N64)) * 0.25,
        0
    )
)</f>
        <v/>
      </c>
      <c r="AN64" s="118">
        <f>SUM(TabellaMar2026[[#This Row],[Colonna39]:[Colonna6]])</f>
        <v/>
      </c>
      <c r="AO64" s="117">
        <f t="array" ref="AO64">IF(
    AND($H64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($H64 / 1000) * AO$10 * $BA$4 * 0.25
    ),
    0
)
+
IF(
    $N64 &lt; 0.875,
    MAX(0, MIN(($H64 / 1000) * AO$10 * $BA$4, AO$11 * 0.876) - (AO$11 * $N64)) * 0.25,
    0
)</f>
        <v/>
      </c>
      <c r="AP64" s="117">
        <f t="array" ref="AP64">IF(
    AND($H64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($H64 / 1000) * AP$10 * $BA$4 * 0.25
    ),
    0
)
+
IF(
    $N64 &lt; 0.875,
    MAX(0, MIN(($H64 / 1000) * AP$10 * $BA$4, AP$11 * 0.876) - (AP$11 * $N64)) * 0.25,
    0
)</f>
        <v/>
      </c>
      <c r="AQ64" s="117">
        <f t="array" ref="AQ64">IF(
    AND($H64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($H64 / 1000) * AQ$10 * $BA$4 * 0.25
    ),
    0
)
+
IF(
    $N64 &lt; 0.875,
    MAX(0, MIN(($H64 / 1000) * AQ$10 * $BA$4, AQ$11 * 0.876) - (AQ$11 * $N64)) * 0.25,
    0
)</f>
        <v/>
      </c>
      <c r="AR64" s="117">
        <f t="array" ref="AR64">IF(
    AND($H64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($H64 / 1000) * AR$10 * $BA$4 * 0.25
    ),
    0
)
+
IF(
    $N64 &lt; 0.875,
    MAX(0, MIN(($H64 / 1000) * AR$10 * $BA$4, AR$11 * 0.876) - (AR$11 * $N64)) * 0.25,
    0
)</f>
        <v/>
      </c>
      <c r="AS64" s="117">
        <f t="array" ref="AS64">IF(
    AND($H64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($H64 / 1000) * AS$10 * $BA$4 * 0.25
    ),
    0
)
+
IF(
    $N64 &lt; 0.875,
    MAX(0, MIN(($H64 / 1000) * AS$10 * $BA$4, AS$11 * 0.876) - (AS$11 * $N64)) * 0.25,
    0
)</f>
        <v/>
      </c>
      <c r="AT64" s="117">
        <f t="array" ref="AT64">IF(
    AND($H64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($H64 / 1000) * AT$10 * $BA$4 * 0.25
    ),
    0
)
+
IF(
    $N64 &lt; 0.875,
    MAX(0, MIN(($H64 / 1000) * AT$10 * $BA$4, AT$11 * 0.876) - (AT$11 * $N64)) * 0.25,
    0
)</f>
        <v/>
      </c>
      <c r="AU64" s="117">
        <f t="array" ref="AU64">IF(
    AND($H64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($H64 / 1000) * AU$10 * $BA$4 * 0.25
    ),
    0
)
+
IF(
    $N64 &lt; 0.875,
    MAX(0, MIN(($H64 / 1000) * AU$10 * $BA$4, AU$11 * 0.876) - (AU$11 * $N64)) * 0.25,
    0
)</f>
        <v/>
      </c>
      <c r="AV64" s="117">
        <f t="array" ref="AV64">IF(
    AND($H64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($H64 / 1000) * AV$10 * $BA$4 * 0.25
    ),
    0
)
+
IF(
    $N64 &lt; 0.875,
    MAX(0, MIN(($H64 / 1000) * AV$10 * $BA$4, AV$11 * 0.876) - (AV$11 * $N64)) * 0.25,
    0
)</f>
        <v/>
      </c>
      <c r="AW64" s="117">
        <f t="array" ref="AW64">IF(
    AND($H64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($H64 / 1000) * AW$10 * $BA$4 * 0.25
    ),
    0
)
+
IF(
    $N64 &lt; 0.875,
    MAX(0, MIN(($H64 / 1000) * AW$10 * $BA$4, AW$11 * 0.876) - (AW$11 * $N64)) * 0.25,
    0
)</f>
        <v/>
      </c>
      <c r="AX64" s="117">
        <f t="array" ref="AX64">IF(
    AND($H64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($H64 / 1000) * AX$10 * $BA$4 * 0.25
    ),
    0
)
+
IF(
    $N64 &lt; 0.875,
    MAX(0, MIN(($H64 / 1000) * AX$10 * $BA$4, AX$11 * 0.876) - (AX$11 * $N64)) * 0.25,
    0
)</f>
        <v/>
      </c>
      <c r="AY64" s="117">
        <f t="array" ref="AY64">IF(
    AND($H64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($H64 / 1000) * AY$10 * $BA$4 * 0.25
    ),
    0
)
+
IF(
    $N64 &lt; 0.875,
    MAX(0, MIN(($H64 / 1000) * AY$10 * $BA$4, AY$11 * 0.876) - (AY$11 * $N64)) * 0.25,
    0
)</f>
        <v/>
      </c>
      <c r="AZ64" s="117">
        <f t="array" ref="AZ64">IF(
    AND($H64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($H64 / 1000) * AZ$10 * $BA$4 * 0.25
    ),
    0
)
+
IF(
    $N64 &lt; 0.875,
    MAX(0, MIN(($H64 / 1000) * AZ$10 * $BA$4, AZ$11 * 0.876) - (AZ$11 * $N64)) * 0.25,
    0
)</f>
        <v/>
      </c>
      <c r="BA64" s="119">
        <f>SUM(TabellaMar2026[[#This Row],[Colonna54]:[Colonna53]])</f>
        <v/>
      </c>
    </row>
    <row r="65">
      <c r="A65" s="112" t="n">
        <v>46143</v>
      </c>
      <c r="B65" t="inlineStr">
        <is>
          <t>12:30:00.000</t>
        </is>
      </c>
      <c r="C65" s="2" t="n">
        <v>945.3</v>
      </c>
      <c r="D65" s="113" t="n">
        <v>0.236325</v>
      </c>
      <c r="E65" s="113" t="n">
        <v>934.4</v>
      </c>
      <c r="F65" s="113" t="n">
        <v>0.2336</v>
      </c>
      <c r="G65" s="113">
        <f>IFERROR((D65+F65)/2, 0)</f>
        <v/>
      </c>
      <c r="H65" s="114">
        <f>IFERROR(IF(AVERAGE(C65,E65)&gt;$BA$7,AVERAGE(C65,E65),0), 0)</f>
        <v/>
      </c>
      <c r="I65" s="114">
        <f>IFERROR(IF(AND(D65=0,F65=0),0,IF(H65&gt;$BA$6,MAX(D65,F65),G65)), 0)</f>
        <v/>
      </c>
      <c r="J65" s="113">
        <f>IFERROR(IF(AND(D65&gt;0,F65&gt;0),ABS(D65-F65)/AVERAGE(D65,F65),0), 0)</f>
        <v/>
      </c>
      <c r="K65" s="113" t="n">
        <v>30131.6</v>
      </c>
      <c r="L65" s="113" t="n">
        <v>30131.6</v>
      </c>
      <c r="M65" s="115">
        <f>IFERROR((L65-K65)*1000, 0)</f>
        <v/>
      </c>
      <c r="N65" s="113" t="n">
        <v>0.0007000000000000001</v>
      </c>
      <c r="O65" s="115">
        <f t="array" ref="O65">IF(
    AND($H65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($H65 / 1000) * O$10 * $BA$4 * 0.25
    ),
    0
)
+
IF(
    $N65 &lt; 0.875,
    MAX(0, MIN(($H65 / 1000) * O$10 * $BA$4, O$11 * 0.876) - (O$11 * $N65)) * 0.25,
    0
)</f>
        <v/>
      </c>
      <c r="P65" s="115">
        <f t="array" ref="P65">IF(
    AND($H65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($H65 / 1000) * P$10 * $BA$4 * 0.25
    ),
    0
)
+
IF(
    $N65 &lt; 0.875,
    MAX(0, MIN(($H65 / 1000) * P$10 * $BA$4, P$11 * 0.876) - (P$11 * $N65)) * 0.25,
    0
)</f>
        <v/>
      </c>
      <c r="Q65" s="115">
        <f t="array" ref="Q65">IF(
    AND($H65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($H65 / 1000) * Q$10 * $BA$4 * 0.25
    ),
    0
)
+
IF(
    $N65 &lt; 0.875,
    MAX(0, MIN(($H65 / 1000) * Q$10 * $BA$4, Q$11 * 0.876) - (Q$11 * $N65)) * 0.25,
    0
)</f>
        <v/>
      </c>
      <c r="R65" s="115">
        <f t="array" ref="R65">IF(
    AND($H65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($H65 / 1000) * R$10 * $BA$4 * 0.25
    ),
    0
)
+
IF(
    $N65 &lt; 0.875,
    MAX(0, MIN(($H65 / 1000) * R$10 * $BA$4, R$11 * 0.876) - (R$11 * $N65)) * 0.25,
    0
)</f>
        <v/>
      </c>
      <c r="S65" s="115">
        <f t="array" ref="S65">IF(
    AND($H65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($H65 / 1000) * S$10 * $BA$4 * 0.25
    ),
    0
)
+
IF(
    $N65 &lt; 0.875,
    MAX(0, MIN(($H65 / 1000) * S$10 * $BA$4, S$11 * 0.876) - (S$11 * $N65)) * 0.25,
    0
)</f>
        <v/>
      </c>
      <c r="T65" s="115">
        <f t="array" ref="T65">IF(
    AND($H65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($H65 / 1000) * T$10 * $BA$4 * 0.25
    ),
    0
)
+
IF(
    $N65 &lt; 0.875,
    MAX(0, MIN(($H65 / 1000) * T$10 * $BA$4, T$11 * 0.876) - (T$11 * $N65)) * 0.25,
    0
)</f>
        <v/>
      </c>
      <c r="U65" s="115">
        <f t="array" ref="U65">IF(
    AND($H65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($H65 / 1000) * U$10 * $BA$4 * 0.25
    ),
    0
)
+
IF(
    $N65 &lt; 0.875,
    MAX(0, MIN(($H65 / 1000) * U$10 * $BA$4, U$11 * 0.876) - (U$11 * $N65)) * 0.25,
    0
)</f>
        <v/>
      </c>
      <c r="V65" s="115">
        <f t="array" ref="V65">IF(
    AND($H65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($H65 / 1000) * V$10 * $BA$4 * 0.25
    ),
    0
)
+
IF(
    $N65 &lt; 0.875,
    MAX(0, MIN(($H65 / 1000) * V$10 * $BA$4, V$11 * 0.876) - (V$11 * $N65)) * 0.25,
    0
)</f>
        <v/>
      </c>
      <c r="W65" s="115">
        <f t="array" ref="W65">IF(
    AND($H65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($H65 / 1000) * W$10 * $BA$4 * 0.25
    ),
    0
)
+
IF(
    $N65 &lt; 0.875,
    MAX(0, MIN(($H65 / 1000) * W$10 * $BA$4, W$11 * 0.876) - (W$11 * $N65)) * 0.25,
    0
)</f>
        <v/>
      </c>
      <c r="X65" s="115">
        <f t="array" ref="X65">IF(
    AND($H65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($H65 / 1000) * X$10 * $BA$4 * 0.25
    ),
    0
)
+
IF(
    $N65 &lt; 0.875,
    MAX(0, MIN(($H65 / 1000) * X$10 * $BA$4, X$11 * 0.876) - (X$11 * $N65)) * 0.25,
    0
)</f>
        <v/>
      </c>
      <c r="Y65" s="115">
        <f t="array" ref="Y65">IF(
    AND($H65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($H65 / 1000) * Y$10 * $BA$4 * 0.25
    ),
    0
)
+
IF(
    $N65 &lt; 0.875,
    MAX(0, MIN(($H65 / 1000) * Y$10 * $BA$4, Y$11 * 0.876) - (Y$11 * $N65)) * 0.25,
    0
)</f>
        <v/>
      </c>
      <c r="Z65" s="115">
        <f t="array" ref="Z65">IF(
    AND($H65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($H65 / 1000) * Z$10 * $BA$4 * 0.25
    ),
    0
)
+
IF(
    $N65 &lt; 0.875,
    MAX(0, MIN(($H65 / 1000) * Z$10 * $BA$4, Z$11 * 0.876) - (Z$11 * $N65)) * 0.25,
    0
)</f>
        <v/>
      </c>
      <c r="AA65" s="116">
        <f>SUM(TabellaMar2026[[#This Row],[Colonna24]:[Colonna20]])</f>
        <v/>
      </c>
      <c r="AB65" s="117">
        <f>IF(
    AND($H65 &gt; $BA$7, Tabella01MarzoInverter[[#This Row],[Active power TX2-INV-1]] &lt;= 0, Tabella01MarzoInverter[[#This Row],[TX2 - Average Power]] &lt;= 0),
    MIN(($H65 / 1000) * AB$10 * $BA$4, AB$11 * 0.876) * 0.25,
    IF(
        AND($H65 &gt; $BA$7, Tabella01MarzoInverter[[#This Row],[Active power TX2-INV-1]] &lt;= 0),
        Tabella01MarzoInverter[[#This Row],[TX2 - Average Power]] * 0.25,
        0
    )
    +
    IF(
        $N65 &lt; 0.875,
        MAX(0, MIN(($H65 / 1000) * AB$10 * $BA$4, AB$11 * 0.876) - (AB$11 * $N65)) * 0.25,
        0
    )
)</f>
        <v/>
      </c>
      <c r="AC65" s="117">
        <f>IF(
    AND($H65 &gt; $BA$7, Tabella01MarzoInverter[[#This Row],[Active power TX2-INV-2]] &lt;= 0, Tabella01MarzoInverter[[#This Row],[TX2 - Max Power]] &lt;= 0),
    MIN(($H65 / 1000) * AC$10 * $BA$4, AC$11 * 0.876) * 0.25,
    IF(
        AND($H65 &gt; $BA$7, Tabella01MarzoInverter[[#This Row],[Active power TX2-INV-2]] &lt;= 0),
        Tabella01MarzoInverter[[#This Row],[TX2 - Max Power]] * 0.25,
        0
    )
    +
    IF(
        $N65 &lt; 0.875,
        MAX(0, MIN(($H65 / 1000) * AC$10 * $BA$4, AC$11 * 0.876) - (AC$11 * $N65)) * 0.25,
        0
    )
)</f>
        <v/>
      </c>
      <c r="AD65" s="117">
        <f>IF(
    AND($H65 &gt; $BA$7, Tabella01MarzoInverter[[#This Row],[Active power TX2-INV-3]] &lt;= 0, Tabella01MarzoInverter[[#This Row],[TX2 - Min Power]] &lt;= 0),
    MIN(($H65 / 1000) * AD$10 * $BA$4, AD$11 * 0.876) * 0.25,
    IF(
        AND($H65 &gt; $BA$7, Tabella01MarzoInverter[[#This Row],[Active power TX2-INV-3]] &lt;= 0),
        Tabella01MarzoInverter[[#This Row],[TX2 - Min Power]] * 0.25,
        0
    )
    +
    IF(
        $N65 &lt; 0.875,
        MAX(0, MIN(($H65 / 1000) * AD$10 * $BA$4, AD$11 * 0.876) - (AD$11 * $N65)) * 0.25,
        0
    )
)</f>
        <v/>
      </c>
      <c r="AE65" s="117">
        <f>IF(
    AND($H65 &gt; $BA$7, Tabella01MarzoInverter[[#This Row],[Active power TX2-INV-4]] &lt;= 0, Tabella01MarzoInverter[[#This Row],[Active power TX3-INV-1]] &lt;= 0),
    MIN(($H65 / 1000) * AE$10 * $BA$4, AE$11 * 0.876) * 0.25,
    IF(
        AND($H65 &gt; $BA$7, Tabella01MarzoInverter[[#This Row],[Active power TX2-INV-4]] &lt;= 0),
        Tabella01MarzoInverter[[#This Row],[Active power TX3-INV-1]] * 0.25,
        0
    )
    +
    IF(
        $N65 &lt; 0.875,
        MAX(0, MIN(($H65 / 1000) * AE$10 * $BA$4, AE$11 * 0.876) - (AE$11 * $N65)) * 0.25,
        0
    )
)</f>
        <v/>
      </c>
      <c r="AF65" s="117">
        <f>IF(
    AND($H65 &gt; $BA$7, Tabella01MarzoInverter[[#This Row],[Active power TX2-INV-5]] &lt;= 0, Tabella01MarzoInverter[[#This Row],[Active power TX3-INV-2]] &lt;= 0),
    MIN(($H65 / 1000) * AF$10 * $BA$4, AF$11 * 0.876) * 0.25,
    IF(
        AND($H65 &gt; $BA$7, Tabella01MarzoInverter[[#This Row],[Active power TX2-INV-5]] &lt;= 0),
        Tabella01MarzoInverter[[#This Row],[Active power TX3-INV-2]] * 0.25,
        0
    )
    +
    IF(
        $N65 &lt; 0.875,
        MAX(0, MIN(($H65 / 1000) * AF$10 * $BA$4, AF$11 * 0.876) - (AF$11 * $N65)) * 0.25,
        0
    )
)</f>
        <v/>
      </c>
      <c r="AG65" s="117">
        <f>IF(
    AND($H65 &gt; $BA$7, Tabella01MarzoInverter[[#This Row],[Active power TX2-INV-6]] &lt;= 0, Tabella01MarzoInverter[[#This Row],[Active power TX3-INV-3]] &lt;= 0),
    MIN(($H65 / 1000) * AG$10 * $BA$4, AG$11 * 0.876) * 0.25,
    IF(
        AND($H65 &gt; $BA$7, Tabella01MarzoInverter[[#This Row],[Active power TX2-INV-6]] &lt;= 0),
        Tabella01MarzoInverter[[#This Row],[Active power TX3-INV-3]] * 0.25,
        0
    )
    +
    IF(
        $N65 &lt; 0.875,
        MAX(0, MIN(($H65 / 1000) * AG$10 * $BA$4, AG$11 * 0.876) - (AG$11 * $N65)) * 0.25,
        0
    )
)</f>
        <v/>
      </c>
      <c r="AH65" s="117">
        <f>IF(
    AND($H65 &gt; $BA$7, Tabella01MarzoInverter[[#This Row],[Active power TX2-INV-7]] &lt;= 0, Tabella01MarzoInverter[[#This Row],[Active power TX3-INV-4]] &lt;= 0),
    MIN(($H65 / 1000) * AH$10 * $BA$4, AH$11 * 0.876) * 0.25,
    IF(
        AND($H65 &gt; $BA$7, Tabella01MarzoInverter[[#This Row],[Active power TX2-INV-7]] &lt;= 0),
        Tabella01MarzoInverter[[#This Row],[Active power TX3-INV-4]] * 0.25,
        0
    )
    +
    IF(
        $N65 &lt; 0.875,
        MAX(0, MIN(($H65 / 1000) * AH$10 * $BA$4, AH$11 * 0.876) - (AH$11 * $N65)) * 0.25,
        0
    )
)</f>
        <v/>
      </c>
      <c r="AI65" s="117">
        <f>IF(
    AND($H65 &gt; $BA$7, Tabella01MarzoInverter[[#This Row],[Active power TX2-INV-8]] &lt;= 0, Tabella01MarzoInverter[[#This Row],[Active power TX3-INV-5]] &lt;= 0),
    MIN(($H65 / 1000) * AI$10 * $BA$4, AI$11 * 0.876) * 0.25,
    IF(
        AND($H65 &gt; $BA$7, Tabella01MarzoInverter[[#This Row],[Active power TX2-INV-8]] &lt;= 0),
        Tabella01MarzoInverter[[#This Row],[Active power TX3-INV-5]] * 0.25,
        0
    )
    +
    IF(
        $N65 &lt; 0.875,
        MAX(0, MIN(($H65 / 1000) * AI$10 * $BA$4, AI$11 * 0.876) - (AI$11 * $N65)) * 0.25,
        0
    )
)</f>
        <v/>
      </c>
      <c r="AJ65" s="117">
        <f>IF(
    AND($H65 &gt; $BA$7, Tabella01MarzoInverter[[#This Row],[Active power TX2-INV-9]] &lt;= 0, Tabella01MarzoInverter[[#This Row],[Active power TX3-INV-6]] &lt;= 0),
    MIN(($H65 / 1000) * AJ$10 * $BA$4, AJ$11 * 0.876) * 0.25,
    IF(
        AND($H65 &gt; $BA$7, Tabella01MarzoInverter[[#This Row],[Active power TX2-INV-9]] &lt;= 0),
        Tabella01MarzoInverter[[#This Row],[Active power TX3-INV-6]] * 0.25,
        0
    )
    +
    IF(
        $N65 &lt; 0.875,
        MAX(0, MIN(($H65 / 1000) * AJ$10 * $BA$4, AJ$11 * 0.876) - (AJ$11 * $N65)) * 0.25,
        0
    )
)</f>
        <v/>
      </c>
      <c r="AK65" s="117">
        <f>IF(
    AND($H65 &gt; $BA$7, Tabella01MarzoInverter[[#This Row],[Active power TX2-INV-10]] &lt;= 0, Tabella01MarzoInverter[[#This Row],[Active power TX3-INV-7]] &lt;= 0),
    MIN(($H65 / 1000) * AK$10 * $BA$4, AK$11 * 0.876) * 0.25,
    IF(
        AND($H65 &gt; $BA$7, Tabella01MarzoInverter[[#This Row],[Active power TX2-INV-10]] &lt;= 0),
        Tabella01MarzoInverter[[#This Row],[Active power TX3-INV-7]] * 0.25,
        0
    )
    +
    IF(
        $N65 &lt; 0.875,
        MAX(0, MIN(($H65 / 1000) * AK$10 * $BA$4, AK$11 * 0.876) - (AK$11 * $N65)) * 0.25,
        0
    )
)</f>
        <v/>
      </c>
      <c r="AL65" s="117">
        <f>IF(
    AND($H65 &gt; $BA$7, Tabella01MarzoInverter[[#This Row],[Active power TX2-INV-11]] &lt;= 0, Tabella01MarzoInverter[[#This Row],[Active power TX3-INV-8]] &lt;= 0),
    MIN(($H65 / 1000) * AL$10 * $BA$4, AL$11 * 0.876) * 0.25,
    IF(
        AND($H65 &gt; $BA$7, Tabella01MarzoInverter[[#This Row],[Active power TX2-INV-11]] &lt;= 0),
        Tabella01MarzoInverter[[#This Row],[Active power TX3-INV-8]] * 0.25,
        0
    )
    +
    IF(
        $N65 &lt; 0.875,
        MAX(0, MIN(($H65 / 1000) * AL$10 * $BA$4, AL$11 * 0.876) - (AL$11 * $N65)) * 0.25,
        0
    )
)</f>
        <v/>
      </c>
      <c r="AM65" s="117">
        <f>IF(
    AND($H65 &gt; $BA$7, Tabella01MarzoInverter[[#This Row],[Active power TX2-INV-12]] &lt;= 0, Tabella01MarzoInverter[[#This Row],[Active power TX3-INV-9]] &lt;= 0),
    MIN(($H65 / 1000) * AM$10 * $BA$4, AM$11 * 0.876) * 0.25,
    IF(
        AND($H65 &gt; $BA$7, Tabella01MarzoInverter[[#This Row],[Active power TX2-INV-12]] &lt;= 0),
        Tabella01MarzoInverter[[#This Row],[Active power TX3-INV-9]] * 0.25,
        0
    )
    +
    IF(
        $N65 &lt; 0.875,
        MAX(0, MIN(($H65 / 1000) * AM$10 * $BA$4, AM$11 * 0.876) - (AM$11 * $N65)) * 0.25,
        0
    )
)</f>
        <v/>
      </c>
      <c r="AN65" s="118">
        <f>SUM(TabellaMar2026[[#This Row],[Colonna39]:[Colonna6]])</f>
        <v/>
      </c>
      <c r="AO65" s="117">
        <f t="array" ref="AO65">IF(
    AND($H65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($H65 / 1000) * AO$10 * $BA$4 * 0.25
    ),
    0
)
+
IF(
    $N65 &lt; 0.875,
    MAX(0, MIN(($H65 / 1000) * AO$10 * $BA$4, AO$11 * 0.876) - (AO$11 * $N65)) * 0.25,
    0
)</f>
        <v/>
      </c>
      <c r="AP65" s="117">
        <f t="array" ref="AP65">IF(
    AND($H65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($H65 / 1000) * AP$10 * $BA$4 * 0.25
    ),
    0
)
+
IF(
    $N65 &lt; 0.875,
    MAX(0, MIN(($H65 / 1000) * AP$10 * $BA$4, AP$11 * 0.876) - (AP$11 * $N65)) * 0.25,
    0
)</f>
        <v/>
      </c>
      <c r="AQ65" s="117">
        <f t="array" ref="AQ65">IF(
    AND($H65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($H65 / 1000) * AQ$10 * $BA$4 * 0.25
    ),
    0
)
+
IF(
    $N65 &lt; 0.875,
    MAX(0, MIN(($H65 / 1000) * AQ$10 * $BA$4, AQ$11 * 0.876) - (AQ$11 * $N65)) * 0.25,
    0
)</f>
        <v/>
      </c>
      <c r="AR65" s="117">
        <f t="array" ref="AR65">IF(
    AND($H65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($H65 / 1000) * AR$10 * $BA$4 * 0.25
    ),
    0
)
+
IF(
    $N65 &lt; 0.875,
    MAX(0, MIN(($H65 / 1000) * AR$10 * $BA$4, AR$11 * 0.876) - (AR$11 * $N65)) * 0.25,
    0
)</f>
        <v/>
      </c>
      <c r="AS65" s="117">
        <f t="array" ref="AS65">IF(
    AND($H65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($H65 / 1000) * AS$10 * $BA$4 * 0.25
    ),
    0
)
+
IF(
    $N65 &lt; 0.875,
    MAX(0, MIN(($H65 / 1000) * AS$10 * $BA$4, AS$11 * 0.876) - (AS$11 * $N65)) * 0.25,
    0
)</f>
        <v/>
      </c>
      <c r="AT65" s="117">
        <f t="array" ref="AT65">IF(
    AND($H65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($H65 / 1000) * AT$10 * $BA$4 * 0.25
    ),
    0
)
+
IF(
    $N65 &lt; 0.875,
    MAX(0, MIN(($H65 / 1000) * AT$10 * $BA$4, AT$11 * 0.876) - (AT$11 * $N65)) * 0.25,
    0
)</f>
        <v/>
      </c>
      <c r="AU65" s="117">
        <f t="array" ref="AU65">IF(
    AND($H65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($H65 / 1000) * AU$10 * $BA$4 * 0.25
    ),
    0
)
+
IF(
    $N65 &lt; 0.875,
    MAX(0, MIN(($H65 / 1000) * AU$10 * $BA$4, AU$11 * 0.876) - (AU$11 * $N65)) * 0.25,
    0
)</f>
        <v/>
      </c>
      <c r="AV65" s="117">
        <f t="array" ref="AV65">IF(
    AND($H65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($H65 / 1000) * AV$10 * $BA$4 * 0.25
    ),
    0
)
+
IF(
    $N65 &lt; 0.875,
    MAX(0, MIN(($H65 / 1000) * AV$10 * $BA$4, AV$11 * 0.876) - (AV$11 * $N65)) * 0.25,
    0
)</f>
        <v/>
      </c>
      <c r="AW65" s="117">
        <f t="array" ref="AW65">IF(
    AND($H65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($H65 / 1000) * AW$10 * $BA$4 * 0.25
    ),
    0
)
+
IF(
    $N65 &lt; 0.875,
    MAX(0, MIN(($H65 / 1000) * AW$10 * $BA$4, AW$11 * 0.876) - (AW$11 * $N65)) * 0.25,
    0
)</f>
        <v/>
      </c>
      <c r="AX65" s="117">
        <f t="array" ref="AX65">IF(
    AND($H65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($H65 / 1000) * AX$10 * $BA$4 * 0.25
    ),
    0
)
+
IF(
    $N65 &lt; 0.875,
    MAX(0, MIN(($H65 / 1000) * AX$10 * $BA$4, AX$11 * 0.876) - (AX$11 * $N65)) * 0.25,
    0
)</f>
        <v/>
      </c>
      <c r="AY65" s="117">
        <f t="array" ref="AY65">IF(
    AND($H65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($H65 / 1000) * AY$10 * $BA$4 * 0.25
    ),
    0
)
+
IF(
    $N65 &lt; 0.875,
    MAX(0, MIN(($H65 / 1000) * AY$10 * $BA$4, AY$11 * 0.876) - (AY$11 * $N65)) * 0.25,
    0
)</f>
        <v/>
      </c>
      <c r="AZ65" s="117">
        <f t="array" ref="AZ65">IF(
    AND($H65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($H65 / 1000) * AZ$10 * $BA$4 * 0.25
    ),
    0
)
+
IF(
    $N65 &lt; 0.875,
    MAX(0, MIN(($H65 / 1000) * AZ$10 * $BA$4, AZ$11 * 0.876) - (AZ$11 * $N65)) * 0.25,
    0
)</f>
        <v/>
      </c>
      <c r="BA65" s="119">
        <f>SUM(TabellaMar2026[[#This Row],[Colonna54]:[Colonna53]])</f>
        <v/>
      </c>
    </row>
    <row r="66">
      <c r="A66" s="112" t="n">
        <v>46143</v>
      </c>
      <c r="B66" t="inlineStr">
        <is>
          <t>12:45:00.000</t>
        </is>
      </c>
      <c r="C66" s="2" t="n">
        <v>912.4</v>
      </c>
      <c r="D66" s="113" t="n">
        <v>0.2281</v>
      </c>
      <c r="E66" s="113" t="n">
        <v>983</v>
      </c>
      <c r="F66" s="113" t="n">
        <v>0.24575</v>
      </c>
      <c r="G66" s="113">
        <f>IFERROR((D66+F66)/2, 0)</f>
        <v/>
      </c>
      <c r="H66" s="114">
        <f>IFERROR(IF(AVERAGE(C66,E66)&gt;$BA$7,AVERAGE(C66,E66),0), 0)</f>
        <v/>
      </c>
      <c r="I66" s="114">
        <f>IFERROR(IF(AND(D66=0,F66=0),0,IF(H66&gt;$BA$6,MAX(D66,F66),G66)), 0)</f>
        <v/>
      </c>
      <c r="J66" s="113">
        <f>IFERROR(IF(AND(D66&gt;0,F66&gt;0),ABS(D66-F66)/AVERAGE(D66,F66),0), 0)</f>
        <v/>
      </c>
      <c r="K66" s="113" t="n">
        <v>30131.6</v>
      </c>
      <c r="L66" s="113" t="n">
        <v>30131.6</v>
      </c>
      <c r="M66" s="115">
        <f>IFERROR((L66-K66)*1000, 0)</f>
        <v/>
      </c>
      <c r="N66" s="113" t="n">
        <v>0.0007000000000000001</v>
      </c>
      <c r="O66" s="115">
        <f t="array" ref="O66">IF(
    AND($H66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($H66 / 1000) * O$10 * $BA$4 * 0.25
    ),
    0
)
+
IF(
    $N66 &lt; 0.875,
    MAX(0, MIN(($H66 / 1000) * O$10 * $BA$4, O$11 * 0.876) - (O$11 * $N66)) * 0.25,
    0
)</f>
        <v/>
      </c>
      <c r="P66" s="115">
        <f t="array" ref="P66">IF(
    AND($H66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($H66 / 1000) * P$10 * $BA$4 * 0.25
    ),
    0
)
+
IF(
    $N66 &lt; 0.875,
    MAX(0, MIN(($H66 / 1000) * P$10 * $BA$4, P$11 * 0.876) - (P$11 * $N66)) * 0.25,
    0
)</f>
        <v/>
      </c>
      <c r="Q66" s="115">
        <f t="array" ref="Q66">IF(
    AND($H66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($H66 / 1000) * Q$10 * $BA$4 * 0.25
    ),
    0
)
+
IF(
    $N66 &lt; 0.875,
    MAX(0, MIN(($H66 / 1000) * Q$10 * $BA$4, Q$11 * 0.876) - (Q$11 * $N66)) * 0.25,
    0
)</f>
        <v/>
      </c>
      <c r="R66" s="115">
        <f t="array" ref="R66">IF(
    AND($H66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($H66 / 1000) * R$10 * $BA$4 * 0.25
    ),
    0
)
+
IF(
    $N66 &lt; 0.875,
    MAX(0, MIN(($H66 / 1000) * R$10 * $BA$4, R$11 * 0.876) - (R$11 * $N66)) * 0.25,
    0
)</f>
        <v/>
      </c>
      <c r="S66" s="115">
        <f t="array" ref="S66">IF(
    AND($H66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($H66 / 1000) * S$10 * $BA$4 * 0.25
    ),
    0
)
+
IF(
    $N66 &lt; 0.875,
    MAX(0, MIN(($H66 / 1000) * S$10 * $BA$4, S$11 * 0.876) - (S$11 * $N66)) * 0.25,
    0
)</f>
        <v/>
      </c>
      <c r="T66" s="115">
        <f t="array" ref="T66">IF(
    AND($H66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($H66 / 1000) * T$10 * $BA$4 * 0.25
    ),
    0
)
+
IF(
    $N66 &lt; 0.875,
    MAX(0, MIN(($H66 / 1000) * T$10 * $BA$4, T$11 * 0.876) - (T$11 * $N66)) * 0.25,
    0
)</f>
        <v/>
      </c>
      <c r="U66" s="115">
        <f t="array" ref="U66">IF(
    AND($H66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($H66 / 1000) * U$10 * $BA$4 * 0.25
    ),
    0
)
+
IF(
    $N66 &lt; 0.875,
    MAX(0, MIN(($H66 / 1000) * U$10 * $BA$4, U$11 * 0.876) - (U$11 * $N66)) * 0.25,
    0
)</f>
        <v/>
      </c>
      <c r="V66" s="115">
        <f t="array" ref="V66">IF(
    AND($H66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($H66 / 1000) * V$10 * $BA$4 * 0.25
    ),
    0
)
+
IF(
    $N66 &lt; 0.875,
    MAX(0, MIN(($H66 / 1000) * V$10 * $BA$4, V$11 * 0.876) - (V$11 * $N66)) * 0.25,
    0
)</f>
        <v/>
      </c>
      <c r="W66" s="115">
        <f t="array" ref="W66">IF(
    AND($H66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($H66 / 1000) * W$10 * $BA$4 * 0.25
    ),
    0
)
+
IF(
    $N66 &lt; 0.875,
    MAX(0, MIN(($H66 / 1000) * W$10 * $BA$4, W$11 * 0.876) - (W$11 * $N66)) * 0.25,
    0
)</f>
        <v/>
      </c>
      <c r="X66" s="115">
        <f t="array" ref="X66">IF(
    AND($H66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($H66 / 1000) * X$10 * $BA$4 * 0.25
    ),
    0
)
+
IF(
    $N66 &lt; 0.875,
    MAX(0, MIN(($H66 / 1000) * X$10 * $BA$4, X$11 * 0.876) - (X$11 * $N66)) * 0.25,
    0
)</f>
        <v/>
      </c>
      <c r="Y66" s="115">
        <f t="array" ref="Y66">IF(
    AND($H66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($H66 / 1000) * Y$10 * $BA$4 * 0.25
    ),
    0
)
+
IF(
    $N66 &lt; 0.875,
    MAX(0, MIN(($H66 / 1000) * Y$10 * $BA$4, Y$11 * 0.876) - (Y$11 * $N66)) * 0.25,
    0
)</f>
        <v/>
      </c>
      <c r="Z66" s="115">
        <f t="array" ref="Z66">IF(
    AND($H66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($H66 / 1000) * Z$10 * $BA$4 * 0.25
    ),
    0
)
+
IF(
    $N66 &lt; 0.875,
    MAX(0, MIN(($H66 / 1000) * Z$10 * $BA$4, Z$11 * 0.876) - (Z$11 * $N66)) * 0.25,
    0
)</f>
        <v/>
      </c>
      <c r="AA66" s="116">
        <f>SUM(TabellaMar2026[[#This Row],[Colonna24]:[Colonna20]])</f>
        <v/>
      </c>
      <c r="AB66" s="117">
        <f>IF(
    AND($H66 &gt; $BA$7, Tabella01MarzoInverter[[#This Row],[Active power TX2-INV-1]] &lt;= 0, Tabella01MarzoInverter[[#This Row],[TX2 - Average Power]] &lt;= 0),
    MIN(($H66 / 1000) * AB$10 * $BA$4, AB$11 * 0.876) * 0.25,
    IF(
        AND($H66 &gt; $BA$7, Tabella01MarzoInverter[[#This Row],[Active power TX2-INV-1]] &lt;= 0),
        Tabella01MarzoInverter[[#This Row],[TX2 - Average Power]] * 0.25,
        0
    )
    +
    IF(
        $N66 &lt; 0.875,
        MAX(0, MIN(($H66 / 1000) * AB$10 * $BA$4, AB$11 * 0.876) - (AB$11 * $N66)) * 0.25,
        0
    )
)</f>
        <v/>
      </c>
      <c r="AC66" s="117">
        <f>IF(
    AND($H66 &gt; $BA$7, Tabella01MarzoInverter[[#This Row],[Active power TX2-INV-2]] &lt;= 0, Tabella01MarzoInverter[[#This Row],[TX2 - Max Power]] &lt;= 0),
    MIN(($H66 / 1000) * AC$10 * $BA$4, AC$11 * 0.876) * 0.25,
    IF(
        AND($H66 &gt; $BA$7, Tabella01MarzoInverter[[#This Row],[Active power TX2-INV-2]] &lt;= 0),
        Tabella01MarzoInverter[[#This Row],[TX2 - Max Power]] * 0.25,
        0
    )
    +
    IF(
        $N66 &lt; 0.875,
        MAX(0, MIN(($H66 / 1000) * AC$10 * $BA$4, AC$11 * 0.876) - (AC$11 * $N66)) * 0.25,
        0
    )
)</f>
        <v/>
      </c>
      <c r="AD66" s="117">
        <f>IF(
    AND($H66 &gt; $BA$7, Tabella01MarzoInverter[[#This Row],[Active power TX2-INV-3]] &lt;= 0, Tabella01MarzoInverter[[#This Row],[TX2 - Min Power]] &lt;= 0),
    MIN(($H66 / 1000) * AD$10 * $BA$4, AD$11 * 0.876) * 0.25,
    IF(
        AND($H66 &gt; $BA$7, Tabella01MarzoInverter[[#This Row],[Active power TX2-INV-3]] &lt;= 0),
        Tabella01MarzoInverter[[#This Row],[TX2 - Min Power]] * 0.25,
        0
    )
    +
    IF(
        $N66 &lt; 0.875,
        MAX(0, MIN(($H66 / 1000) * AD$10 * $BA$4, AD$11 * 0.876) - (AD$11 * $N66)) * 0.25,
        0
    )
)</f>
        <v/>
      </c>
      <c r="AE66" s="117">
        <f>IF(
    AND($H66 &gt; $BA$7, Tabella01MarzoInverter[[#This Row],[Active power TX2-INV-4]] &lt;= 0, Tabella01MarzoInverter[[#This Row],[Active power TX3-INV-1]] &lt;= 0),
    MIN(($H66 / 1000) * AE$10 * $BA$4, AE$11 * 0.876) * 0.25,
    IF(
        AND($H66 &gt; $BA$7, Tabella01MarzoInverter[[#This Row],[Active power TX2-INV-4]] &lt;= 0),
        Tabella01MarzoInverter[[#This Row],[Active power TX3-INV-1]] * 0.25,
        0
    )
    +
    IF(
        $N66 &lt; 0.875,
        MAX(0, MIN(($H66 / 1000) * AE$10 * $BA$4, AE$11 * 0.876) - (AE$11 * $N66)) * 0.25,
        0
    )
)</f>
        <v/>
      </c>
      <c r="AF66" s="117">
        <f>IF(
    AND($H66 &gt; $BA$7, Tabella01MarzoInverter[[#This Row],[Active power TX2-INV-5]] &lt;= 0, Tabella01MarzoInverter[[#This Row],[Active power TX3-INV-2]] &lt;= 0),
    MIN(($H66 / 1000) * AF$10 * $BA$4, AF$11 * 0.876) * 0.25,
    IF(
        AND($H66 &gt; $BA$7, Tabella01MarzoInverter[[#This Row],[Active power TX2-INV-5]] &lt;= 0),
        Tabella01MarzoInverter[[#This Row],[Active power TX3-INV-2]] * 0.25,
        0
    )
    +
    IF(
        $N66 &lt; 0.875,
        MAX(0, MIN(($H66 / 1000) * AF$10 * $BA$4, AF$11 * 0.876) - (AF$11 * $N66)) * 0.25,
        0
    )
)</f>
        <v/>
      </c>
      <c r="AG66" s="117">
        <f>IF(
    AND($H66 &gt; $BA$7, Tabella01MarzoInverter[[#This Row],[Active power TX2-INV-6]] &lt;= 0, Tabella01MarzoInverter[[#This Row],[Active power TX3-INV-3]] &lt;= 0),
    MIN(($H66 / 1000) * AG$10 * $BA$4, AG$11 * 0.876) * 0.25,
    IF(
        AND($H66 &gt; $BA$7, Tabella01MarzoInverter[[#This Row],[Active power TX2-INV-6]] &lt;= 0),
        Tabella01MarzoInverter[[#This Row],[Active power TX3-INV-3]] * 0.25,
        0
    )
    +
    IF(
        $N66 &lt; 0.875,
        MAX(0, MIN(($H66 / 1000) * AG$10 * $BA$4, AG$11 * 0.876) - (AG$11 * $N66)) * 0.25,
        0
    )
)</f>
        <v/>
      </c>
      <c r="AH66" s="117">
        <f>IF(
    AND($H66 &gt; $BA$7, Tabella01MarzoInverter[[#This Row],[Active power TX2-INV-7]] &lt;= 0, Tabella01MarzoInverter[[#This Row],[Active power TX3-INV-4]] &lt;= 0),
    MIN(($H66 / 1000) * AH$10 * $BA$4, AH$11 * 0.876) * 0.25,
    IF(
        AND($H66 &gt; $BA$7, Tabella01MarzoInverter[[#This Row],[Active power TX2-INV-7]] &lt;= 0),
        Tabella01MarzoInverter[[#This Row],[Active power TX3-INV-4]] * 0.25,
        0
    )
    +
    IF(
        $N66 &lt; 0.875,
        MAX(0, MIN(($H66 / 1000) * AH$10 * $BA$4, AH$11 * 0.876) - (AH$11 * $N66)) * 0.25,
        0
    )
)</f>
        <v/>
      </c>
      <c r="AI66" s="117">
        <f>IF(
    AND($H66 &gt; $BA$7, Tabella01MarzoInverter[[#This Row],[Active power TX2-INV-8]] &lt;= 0, Tabella01MarzoInverter[[#This Row],[Active power TX3-INV-5]] &lt;= 0),
    MIN(($H66 / 1000) * AI$10 * $BA$4, AI$11 * 0.876) * 0.25,
    IF(
        AND($H66 &gt; $BA$7, Tabella01MarzoInverter[[#This Row],[Active power TX2-INV-8]] &lt;= 0),
        Tabella01MarzoInverter[[#This Row],[Active power TX3-INV-5]] * 0.25,
        0
    )
    +
    IF(
        $N66 &lt; 0.875,
        MAX(0, MIN(($H66 / 1000) * AI$10 * $BA$4, AI$11 * 0.876) - (AI$11 * $N66)) * 0.25,
        0
    )
)</f>
        <v/>
      </c>
      <c r="AJ66" s="117">
        <f>IF(
    AND($H66 &gt; $BA$7, Tabella01MarzoInverter[[#This Row],[Active power TX2-INV-9]] &lt;= 0, Tabella01MarzoInverter[[#This Row],[Active power TX3-INV-6]] &lt;= 0),
    MIN(($H66 / 1000) * AJ$10 * $BA$4, AJ$11 * 0.876) * 0.25,
    IF(
        AND($H66 &gt; $BA$7, Tabella01MarzoInverter[[#This Row],[Active power TX2-INV-9]] &lt;= 0),
        Tabella01MarzoInverter[[#This Row],[Active power TX3-INV-6]] * 0.25,
        0
    )
    +
    IF(
        $N66 &lt; 0.875,
        MAX(0, MIN(($H66 / 1000) * AJ$10 * $BA$4, AJ$11 * 0.876) - (AJ$11 * $N66)) * 0.25,
        0
    )
)</f>
        <v/>
      </c>
      <c r="AK66" s="117">
        <f>IF(
    AND($H66 &gt; $BA$7, Tabella01MarzoInverter[[#This Row],[Active power TX2-INV-10]] &lt;= 0, Tabella01MarzoInverter[[#This Row],[Active power TX3-INV-7]] &lt;= 0),
    MIN(($H66 / 1000) * AK$10 * $BA$4, AK$11 * 0.876) * 0.25,
    IF(
        AND($H66 &gt; $BA$7, Tabella01MarzoInverter[[#This Row],[Active power TX2-INV-10]] &lt;= 0),
        Tabella01MarzoInverter[[#This Row],[Active power TX3-INV-7]] * 0.25,
        0
    )
    +
    IF(
        $N66 &lt; 0.875,
        MAX(0, MIN(($H66 / 1000) * AK$10 * $BA$4, AK$11 * 0.876) - (AK$11 * $N66)) * 0.25,
        0
    )
)</f>
        <v/>
      </c>
      <c r="AL66" s="117">
        <f>IF(
    AND($H66 &gt; $BA$7, Tabella01MarzoInverter[[#This Row],[Active power TX2-INV-11]] &lt;= 0, Tabella01MarzoInverter[[#This Row],[Active power TX3-INV-8]] &lt;= 0),
    MIN(($H66 / 1000) * AL$10 * $BA$4, AL$11 * 0.876) * 0.25,
    IF(
        AND($H66 &gt; $BA$7, Tabella01MarzoInverter[[#This Row],[Active power TX2-INV-11]] &lt;= 0),
        Tabella01MarzoInverter[[#This Row],[Active power TX3-INV-8]] * 0.25,
        0
    )
    +
    IF(
        $N66 &lt; 0.875,
        MAX(0, MIN(($H66 / 1000) * AL$10 * $BA$4, AL$11 * 0.876) - (AL$11 * $N66)) * 0.25,
        0
    )
)</f>
        <v/>
      </c>
      <c r="AM66" s="117">
        <f>IF(
    AND($H66 &gt; $BA$7, Tabella01MarzoInverter[[#This Row],[Active power TX2-INV-12]] &lt;= 0, Tabella01MarzoInverter[[#This Row],[Active power TX3-INV-9]] &lt;= 0),
    MIN(($H66 / 1000) * AM$10 * $BA$4, AM$11 * 0.876) * 0.25,
    IF(
        AND($H66 &gt; $BA$7, Tabella01MarzoInverter[[#This Row],[Active power TX2-INV-12]] &lt;= 0),
        Tabella01MarzoInverter[[#This Row],[Active power TX3-INV-9]] * 0.25,
        0
    )
    +
    IF(
        $N66 &lt; 0.875,
        MAX(0, MIN(($H66 / 1000) * AM$10 * $BA$4, AM$11 * 0.876) - (AM$11 * $N66)) * 0.25,
        0
    )
)</f>
        <v/>
      </c>
      <c r="AN66" s="118">
        <f>SUM(TabellaMar2026[[#This Row],[Colonna39]:[Colonna6]])</f>
        <v/>
      </c>
      <c r="AO66" s="117">
        <f t="array" ref="AO66">IF(
    AND($H66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($H66 / 1000) * AO$10 * $BA$4 * 0.25
    ),
    0
)
+
IF(
    $N66 &lt; 0.875,
    MAX(0, MIN(($H66 / 1000) * AO$10 * $BA$4, AO$11 * 0.876) - (AO$11 * $N66)) * 0.25,
    0
)</f>
        <v/>
      </c>
      <c r="AP66" s="117">
        <f t="array" ref="AP66">IF(
    AND($H66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($H66 / 1000) * AP$10 * $BA$4 * 0.25
    ),
    0
)
+
IF(
    $N66 &lt; 0.875,
    MAX(0, MIN(($H66 / 1000) * AP$10 * $BA$4, AP$11 * 0.876) - (AP$11 * $N66)) * 0.25,
    0
)</f>
        <v/>
      </c>
      <c r="AQ66" s="117">
        <f t="array" ref="AQ66">IF(
    AND($H66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($H66 / 1000) * AQ$10 * $BA$4 * 0.25
    ),
    0
)
+
IF(
    $N66 &lt; 0.875,
    MAX(0, MIN(($H66 / 1000) * AQ$10 * $BA$4, AQ$11 * 0.876) - (AQ$11 * $N66)) * 0.25,
    0
)</f>
        <v/>
      </c>
      <c r="AR66" s="117">
        <f t="array" ref="AR66">IF(
    AND($H66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($H66 / 1000) * AR$10 * $BA$4 * 0.25
    ),
    0
)
+
IF(
    $N66 &lt; 0.875,
    MAX(0, MIN(($H66 / 1000) * AR$10 * $BA$4, AR$11 * 0.876) - (AR$11 * $N66)) * 0.25,
    0
)</f>
        <v/>
      </c>
      <c r="AS66" s="117">
        <f t="array" ref="AS66">IF(
    AND($H66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($H66 / 1000) * AS$10 * $BA$4 * 0.25
    ),
    0
)
+
IF(
    $N66 &lt; 0.875,
    MAX(0, MIN(($H66 / 1000) * AS$10 * $BA$4, AS$11 * 0.876) - (AS$11 * $N66)) * 0.25,
    0
)</f>
        <v/>
      </c>
      <c r="AT66" s="117">
        <f t="array" ref="AT66">IF(
    AND($H66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($H66 / 1000) * AT$10 * $BA$4 * 0.25
    ),
    0
)
+
IF(
    $N66 &lt; 0.875,
    MAX(0, MIN(($H66 / 1000) * AT$10 * $BA$4, AT$11 * 0.876) - (AT$11 * $N66)) * 0.25,
    0
)</f>
        <v/>
      </c>
      <c r="AU66" s="117">
        <f t="array" ref="AU66">IF(
    AND($H66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($H66 / 1000) * AU$10 * $BA$4 * 0.25
    ),
    0
)
+
IF(
    $N66 &lt; 0.875,
    MAX(0, MIN(($H66 / 1000) * AU$10 * $BA$4, AU$11 * 0.876) - (AU$11 * $N66)) * 0.25,
    0
)</f>
        <v/>
      </c>
      <c r="AV66" s="117">
        <f t="array" ref="AV66">IF(
    AND($H66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($H66 / 1000) * AV$10 * $BA$4 * 0.25
    ),
    0
)
+
IF(
    $N66 &lt; 0.875,
    MAX(0, MIN(($H66 / 1000) * AV$10 * $BA$4, AV$11 * 0.876) - (AV$11 * $N66)) * 0.25,
    0
)</f>
        <v/>
      </c>
      <c r="AW66" s="117">
        <f t="array" ref="AW66">IF(
    AND($H66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($H66 / 1000) * AW$10 * $BA$4 * 0.25
    ),
    0
)
+
IF(
    $N66 &lt; 0.875,
    MAX(0, MIN(($H66 / 1000) * AW$10 * $BA$4, AW$11 * 0.876) - (AW$11 * $N66)) * 0.25,
    0
)</f>
        <v/>
      </c>
      <c r="AX66" s="117">
        <f t="array" ref="AX66">IF(
    AND($H66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($H66 / 1000) * AX$10 * $BA$4 * 0.25
    ),
    0
)
+
IF(
    $N66 &lt; 0.875,
    MAX(0, MIN(($H66 / 1000) * AX$10 * $BA$4, AX$11 * 0.876) - (AX$11 * $N66)) * 0.25,
    0
)</f>
        <v/>
      </c>
      <c r="AY66" s="117">
        <f t="array" ref="AY66">IF(
    AND($H66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($H66 / 1000) * AY$10 * $BA$4 * 0.25
    ),
    0
)
+
IF(
    $N66 &lt; 0.875,
    MAX(0, MIN(($H66 / 1000) * AY$10 * $BA$4, AY$11 * 0.876) - (AY$11 * $N66)) * 0.25,
    0
)</f>
        <v/>
      </c>
      <c r="AZ66" s="117">
        <f t="array" ref="AZ66">IF(
    AND($H66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($H66 / 1000) * AZ$10 * $BA$4 * 0.25
    ),
    0
)
+
IF(
    $N66 &lt; 0.875,
    MAX(0, MIN(($H66 / 1000) * AZ$10 * $BA$4, AZ$11 * 0.876) - (AZ$11 * $N66)) * 0.25,
    0
)</f>
        <v/>
      </c>
      <c r="BA66" s="119">
        <f>SUM(TabellaMar2026[[#This Row],[Colonna54]:[Colonna53]])</f>
        <v/>
      </c>
    </row>
    <row r="67">
      <c r="A67" s="112" t="n">
        <v>46143</v>
      </c>
      <c r="B67" t="inlineStr">
        <is>
          <t>13:00:00.000</t>
        </is>
      </c>
      <c r="C67" s="2" t="n">
        <v>880.2</v>
      </c>
      <c r="D67" s="113" t="n">
        <v>0.22005</v>
      </c>
      <c r="E67" s="113" t="n">
        <v>853.5</v>
      </c>
      <c r="F67" s="113" t="n">
        <v>0.213375</v>
      </c>
      <c r="G67" s="113">
        <f>IFERROR((D67+F67)/2, 0)</f>
        <v/>
      </c>
      <c r="H67" s="114">
        <f>IFERROR(IF(AVERAGE(C67,E67)&gt;$BA$7,AVERAGE(C67,E67),0), 0)</f>
        <v/>
      </c>
      <c r="I67" s="114">
        <f>IFERROR(IF(AND(D67=0,F67=0),0,IF(H67&gt;$BA$6,MAX(D67,F67),G67)), 0)</f>
        <v/>
      </c>
      <c r="J67" s="113">
        <f>IFERROR(IF(AND(D67&gt;0,F67&gt;0),ABS(D67-F67)/AVERAGE(D67,F67),0), 0)</f>
        <v/>
      </c>
      <c r="K67" s="113" t="n">
        <v>30131.6</v>
      </c>
      <c r="L67" s="113" t="n">
        <v>30131.6</v>
      </c>
      <c r="M67" s="115">
        <f>IFERROR((L67-K67)*1000, 0)</f>
        <v/>
      </c>
      <c r="N67" s="113" t="n">
        <v>0.0007000000000000001</v>
      </c>
      <c r="O67" s="115">
        <f t="array" ref="O67">IF(
    AND($H67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($H67 / 1000) * O$10 * $BA$4 * 0.25
    ),
    0
)
+
IF(
    $N67 &lt; 0.875,
    MAX(0, MIN(($H67 / 1000) * O$10 * $BA$4, O$11 * 0.876) - (O$11 * $N67)) * 0.25,
    0
)</f>
        <v/>
      </c>
      <c r="P67" s="115">
        <f t="array" ref="P67">IF(
    AND($H67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($H67 / 1000) * P$10 * $BA$4 * 0.25
    ),
    0
)
+
IF(
    $N67 &lt; 0.875,
    MAX(0, MIN(($H67 / 1000) * P$10 * $BA$4, P$11 * 0.876) - (P$11 * $N67)) * 0.25,
    0
)</f>
        <v/>
      </c>
      <c r="Q67" s="115">
        <f t="array" ref="Q67">IF(
    AND($H67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($H67 / 1000) * Q$10 * $BA$4 * 0.25
    ),
    0
)
+
IF(
    $N67 &lt; 0.875,
    MAX(0, MIN(($H67 / 1000) * Q$10 * $BA$4, Q$11 * 0.876) - (Q$11 * $N67)) * 0.25,
    0
)</f>
        <v/>
      </c>
      <c r="R67" s="115">
        <f t="array" ref="R67">IF(
    AND($H67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($H67 / 1000) * R$10 * $BA$4 * 0.25
    ),
    0
)
+
IF(
    $N67 &lt; 0.875,
    MAX(0, MIN(($H67 / 1000) * R$10 * $BA$4, R$11 * 0.876) - (R$11 * $N67)) * 0.25,
    0
)</f>
        <v/>
      </c>
      <c r="S67" s="115">
        <f t="array" ref="S67">IF(
    AND($H67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($H67 / 1000) * S$10 * $BA$4 * 0.25
    ),
    0
)
+
IF(
    $N67 &lt; 0.875,
    MAX(0, MIN(($H67 / 1000) * S$10 * $BA$4, S$11 * 0.876) - (S$11 * $N67)) * 0.25,
    0
)</f>
        <v/>
      </c>
      <c r="T67" s="115">
        <f t="array" ref="T67">IF(
    AND($H67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($H67 / 1000) * T$10 * $BA$4 * 0.25
    ),
    0
)
+
IF(
    $N67 &lt; 0.875,
    MAX(0, MIN(($H67 / 1000) * T$10 * $BA$4, T$11 * 0.876) - (T$11 * $N67)) * 0.25,
    0
)</f>
        <v/>
      </c>
      <c r="U67" s="115">
        <f t="array" ref="U67">IF(
    AND($H67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($H67 / 1000) * U$10 * $BA$4 * 0.25
    ),
    0
)
+
IF(
    $N67 &lt; 0.875,
    MAX(0, MIN(($H67 / 1000) * U$10 * $BA$4, U$11 * 0.876) - (U$11 * $N67)) * 0.25,
    0
)</f>
        <v/>
      </c>
      <c r="V67" s="115">
        <f t="array" ref="V67">IF(
    AND($H67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($H67 / 1000) * V$10 * $BA$4 * 0.25
    ),
    0
)
+
IF(
    $N67 &lt; 0.875,
    MAX(0, MIN(($H67 / 1000) * V$10 * $BA$4, V$11 * 0.876) - (V$11 * $N67)) * 0.25,
    0
)</f>
        <v/>
      </c>
      <c r="W67" s="115">
        <f t="array" ref="W67">IF(
    AND($H67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($H67 / 1000) * W$10 * $BA$4 * 0.25
    ),
    0
)
+
IF(
    $N67 &lt; 0.875,
    MAX(0, MIN(($H67 / 1000) * W$10 * $BA$4, W$11 * 0.876) - (W$11 * $N67)) * 0.25,
    0
)</f>
        <v/>
      </c>
      <c r="X67" s="115">
        <f t="array" ref="X67">IF(
    AND($H67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($H67 / 1000) * X$10 * $BA$4 * 0.25
    ),
    0
)
+
IF(
    $N67 &lt; 0.875,
    MAX(0, MIN(($H67 / 1000) * X$10 * $BA$4, X$11 * 0.876) - (X$11 * $N67)) * 0.25,
    0
)</f>
        <v/>
      </c>
      <c r="Y67" s="115">
        <f t="array" ref="Y67">IF(
    AND($H67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($H67 / 1000) * Y$10 * $BA$4 * 0.25
    ),
    0
)
+
IF(
    $N67 &lt; 0.875,
    MAX(0, MIN(($H67 / 1000) * Y$10 * $BA$4, Y$11 * 0.876) - (Y$11 * $N67)) * 0.25,
    0
)</f>
        <v/>
      </c>
      <c r="Z67" s="115">
        <f t="array" ref="Z67">IF(
    AND($H67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($H67 / 1000) * Z$10 * $BA$4 * 0.25
    ),
    0
)
+
IF(
    $N67 &lt; 0.875,
    MAX(0, MIN(($H67 / 1000) * Z$10 * $BA$4, Z$11 * 0.876) - (Z$11 * $N67)) * 0.25,
    0
)</f>
        <v/>
      </c>
      <c r="AA67" s="116">
        <f>SUM(TabellaMar2026[[#This Row],[Colonna24]:[Colonna20]])</f>
        <v/>
      </c>
      <c r="AB67" s="117">
        <f>IF(
    AND($H67 &gt; $BA$7, Tabella01MarzoInverter[[#This Row],[Active power TX2-INV-1]] &lt;= 0, Tabella01MarzoInverter[[#This Row],[TX2 - Average Power]] &lt;= 0),
    MIN(($H67 / 1000) * AB$10 * $BA$4, AB$11 * 0.876) * 0.25,
    IF(
        AND($H67 &gt; $BA$7, Tabella01MarzoInverter[[#This Row],[Active power TX2-INV-1]] &lt;= 0),
        Tabella01MarzoInverter[[#This Row],[TX2 - Average Power]] * 0.25,
        0
    )
    +
    IF(
        $N67 &lt; 0.875,
        MAX(0, MIN(($H67 / 1000) * AB$10 * $BA$4, AB$11 * 0.876) - (AB$11 * $N67)) * 0.25,
        0
    )
)</f>
        <v/>
      </c>
      <c r="AC67" s="117">
        <f>IF(
    AND($H67 &gt; $BA$7, Tabella01MarzoInverter[[#This Row],[Active power TX2-INV-2]] &lt;= 0, Tabella01MarzoInverter[[#This Row],[TX2 - Max Power]] &lt;= 0),
    MIN(($H67 / 1000) * AC$10 * $BA$4, AC$11 * 0.876) * 0.25,
    IF(
        AND($H67 &gt; $BA$7, Tabella01MarzoInverter[[#This Row],[Active power TX2-INV-2]] &lt;= 0),
        Tabella01MarzoInverter[[#This Row],[TX2 - Max Power]] * 0.25,
        0
    )
    +
    IF(
        $N67 &lt; 0.875,
        MAX(0, MIN(($H67 / 1000) * AC$10 * $BA$4, AC$11 * 0.876) - (AC$11 * $N67)) * 0.25,
        0
    )
)</f>
        <v/>
      </c>
      <c r="AD67" s="117">
        <f>IF(
    AND($H67 &gt; $BA$7, Tabella01MarzoInverter[[#This Row],[Active power TX2-INV-3]] &lt;= 0, Tabella01MarzoInverter[[#This Row],[TX2 - Min Power]] &lt;= 0),
    MIN(($H67 / 1000) * AD$10 * $BA$4, AD$11 * 0.876) * 0.25,
    IF(
        AND($H67 &gt; $BA$7, Tabella01MarzoInverter[[#This Row],[Active power TX2-INV-3]] &lt;= 0),
        Tabella01MarzoInverter[[#This Row],[TX2 - Min Power]] * 0.25,
        0
    )
    +
    IF(
        $N67 &lt; 0.875,
        MAX(0, MIN(($H67 / 1000) * AD$10 * $BA$4, AD$11 * 0.876) - (AD$11 * $N67)) * 0.25,
        0
    )
)</f>
        <v/>
      </c>
      <c r="AE67" s="117">
        <f>IF(
    AND($H67 &gt; $BA$7, Tabella01MarzoInverter[[#This Row],[Active power TX2-INV-4]] &lt;= 0, Tabella01MarzoInverter[[#This Row],[Active power TX3-INV-1]] &lt;= 0),
    MIN(($H67 / 1000) * AE$10 * $BA$4, AE$11 * 0.876) * 0.25,
    IF(
        AND($H67 &gt; $BA$7, Tabella01MarzoInverter[[#This Row],[Active power TX2-INV-4]] &lt;= 0),
        Tabella01MarzoInverter[[#This Row],[Active power TX3-INV-1]] * 0.25,
        0
    )
    +
    IF(
        $N67 &lt; 0.875,
        MAX(0, MIN(($H67 / 1000) * AE$10 * $BA$4, AE$11 * 0.876) - (AE$11 * $N67)) * 0.25,
        0
    )
)</f>
        <v/>
      </c>
      <c r="AF67" s="117">
        <f>IF(
    AND($H67 &gt; $BA$7, Tabella01MarzoInverter[[#This Row],[Active power TX2-INV-5]] &lt;= 0, Tabella01MarzoInverter[[#This Row],[Active power TX3-INV-2]] &lt;= 0),
    MIN(($H67 / 1000) * AF$10 * $BA$4, AF$11 * 0.876) * 0.25,
    IF(
        AND($H67 &gt; $BA$7, Tabella01MarzoInverter[[#This Row],[Active power TX2-INV-5]] &lt;= 0),
        Tabella01MarzoInverter[[#This Row],[Active power TX3-INV-2]] * 0.25,
        0
    )
    +
    IF(
        $N67 &lt; 0.875,
        MAX(0, MIN(($H67 / 1000) * AF$10 * $BA$4, AF$11 * 0.876) - (AF$11 * $N67)) * 0.25,
        0
    )
)</f>
        <v/>
      </c>
      <c r="AG67" s="117">
        <f>IF(
    AND($H67 &gt; $BA$7, Tabella01MarzoInverter[[#This Row],[Active power TX2-INV-6]] &lt;= 0, Tabella01MarzoInverter[[#This Row],[Active power TX3-INV-3]] &lt;= 0),
    MIN(($H67 / 1000) * AG$10 * $BA$4, AG$11 * 0.876) * 0.25,
    IF(
        AND($H67 &gt; $BA$7, Tabella01MarzoInverter[[#This Row],[Active power TX2-INV-6]] &lt;= 0),
        Tabella01MarzoInverter[[#This Row],[Active power TX3-INV-3]] * 0.25,
        0
    )
    +
    IF(
        $N67 &lt; 0.875,
        MAX(0, MIN(($H67 / 1000) * AG$10 * $BA$4, AG$11 * 0.876) - (AG$11 * $N67)) * 0.25,
        0
    )
)</f>
        <v/>
      </c>
      <c r="AH67" s="117">
        <f>IF(
    AND($H67 &gt; $BA$7, Tabella01MarzoInverter[[#This Row],[Active power TX2-INV-7]] &lt;= 0, Tabella01MarzoInverter[[#This Row],[Active power TX3-INV-4]] &lt;= 0),
    MIN(($H67 / 1000) * AH$10 * $BA$4, AH$11 * 0.876) * 0.25,
    IF(
        AND($H67 &gt; $BA$7, Tabella01MarzoInverter[[#This Row],[Active power TX2-INV-7]] &lt;= 0),
        Tabella01MarzoInverter[[#This Row],[Active power TX3-INV-4]] * 0.25,
        0
    )
    +
    IF(
        $N67 &lt; 0.875,
        MAX(0, MIN(($H67 / 1000) * AH$10 * $BA$4, AH$11 * 0.876) - (AH$11 * $N67)) * 0.25,
        0
    )
)</f>
        <v/>
      </c>
      <c r="AI67" s="117">
        <f>IF(
    AND($H67 &gt; $BA$7, Tabella01MarzoInverter[[#This Row],[Active power TX2-INV-8]] &lt;= 0, Tabella01MarzoInverter[[#This Row],[Active power TX3-INV-5]] &lt;= 0),
    MIN(($H67 / 1000) * AI$10 * $BA$4, AI$11 * 0.876) * 0.25,
    IF(
        AND($H67 &gt; $BA$7, Tabella01MarzoInverter[[#This Row],[Active power TX2-INV-8]] &lt;= 0),
        Tabella01MarzoInverter[[#This Row],[Active power TX3-INV-5]] * 0.25,
        0
    )
    +
    IF(
        $N67 &lt; 0.875,
        MAX(0, MIN(($H67 / 1000) * AI$10 * $BA$4, AI$11 * 0.876) - (AI$11 * $N67)) * 0.25,
        0
    )
)</f>
        <v/>
      </c>
      <c r="AJ67" s="117">
        <f>IF(
    AND($H67 &gt; $BA$7, Tabella01MarzoInverter[[#This Row],[Active power TX2-INV-9]] &lt;= 0, Tabella01MarzoInverter[[#This Row],[Active power TX3-INV-6]] &lt;= 0),
    MIN(($H67 / 1000) * AJ$10 * $BA$4, AJ$11 * 0.876) * 0.25,
    IF(
        AND($H67 &gt; $BA$7, Tabella01MarzoInverter[[#This Row],[Active power TX2-INV-9]] &lt;= 0),
        Tabella01MarzoInverter[[#This Row],[Active power TX3-INV-6]] * 0.25,
        0
    )
    +
    IF(
        $N67 &lt; 0.875,
        MAX(0, MIN(($H67 / 1000) * AJ$10 * $BA$4, AJ$11 * 0.876) - (AJ$11 * $N67)) * 0.25,
        0
    )
)</f>
        <v/>
      </c>
      <c r="AK67" s="117">
        <f>IF(
    AND($H67 &gt; $BA$7, Tabella01MarzoInverter[[#This Row],[Active power TX2-INV-10]] &lt;= 0, Tabella01MarzoInverter[[#This Row],[Active power TX3-INV-7]] &lt;= 0),
    MIN(($H67 / 1000) * AK$10 * $BA$4, AK$11 * 0.876) * 0.25,
    IF(
        AND($H67 &gt; $BA$7, Tabella01MarzoInverter[[#This Row],[Active power TX2-INV-10]] &lt;= 0),
        Tabella01MarzoInverter[[#This Row],[Active power TX3-INV-7]] * 0.25,
        0
    )
    +
    IF(
        $N67 &lt; 0.875,
        MAX(0, MIN(($H67 / 1000) * AK$10 * $BA$4, AK$11 * 0.876) - (AK$11 * $N67)) * 0.25,
        0
    )
)</f>
        <v/>
      </c>
      <c r="AL67" s="117">
        <f>IF(
    AND($H67 &gt; $BA$7, Tabella01MarzoInverter[[#This Row],[Active power TX2-INV-11]] &lt;= 0, Tabella01MarzoInverter[[#This Row],[Active power TX3-INV-8]] &lt;= 0),
    MIN(($H67 / 1000) * AL$10 * $BA$4, AL$11 * 0.876) * 0.25,
    IF(
        AND($H67 &gt; $BA$7, Tabella01MarzoInverter[[#This Row],[Active power TX2-INV-11]] &lt;= 0),
        Tabella01MarzoInverter[[#This Row],[Active power TX3-INV-8]] * 0.25,
        0
    )
    +
    IF(
        $N67 &lt; 0.875,
        MAX(0, MIN(($H67 / 1000) * AL$10 * $BA$4, AL$11 * 0.876) - (AL$11 * $N67)) * 0.25,
        0
    )
)</f>
        <v/>
      </c>
      <c r="AM67" s="117">
        <f>IF(
    AND($H67 &gt; $BA$7, Tabella01MarzoInverter[[#This Row],[Active power TX2-INV-12]] &lt;= 0, Tabella01MarzoInverter[[#This Row],[Active power TX3-INV-9]] &lt;= 0),
    MIN(($H67 / 1000) * AM$10 * $BA$4, AM$11 * 0.876) * 0.25,
    IF(
        AND($H67 &gt; $BA$7, Tabella01MarzoInverter[[#This Row],[Active power TX2-INV-12]] &lt;= 0),
        Tabella01MarzoInverter[[#This Row],[Active power TX3-INV-9]] * 0.25,
        0
    )
    +
    IF(
        $N67 &lt; 0.875,
        MAX(0, MIN(($H67 / 1000) * AM$10 * $BA$4, AM$11 * 0.876) - (AM$11 * $N67)) * 0.25,
        0
    )
)</f>
        <v/>
      </c>
      <c r="AN67" s="118">
        <f>SUM(TabellaMar2026[[#This Row],[Colonna39]:[Colonna6]])</f>
        <v/>
      </c>
      <c r="AO67" s="117">
        <f t="array" ref="AO67">IF(
    AND($H67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($H67 / 1000) * AO$10 * $BA$4 * 0.25
    ),
    0
)
+
IF(
    $N67 &lt; 0.875,
    MAX(0, MIN(($H67 / 1000) * AO$10 * $BA$4, AO$11 * 0.876) - (AO$11 * $N67)) * 0.25,
    0
)</f>
        <v/>
      </c>
      <c r="AP67" s="117">
        <f t="array" ref="AP67">IF(
    AND($H67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($H67 / 1000) * AP$10 * $BA$4 * 0.25
    ),
    0
)
+
IF(
    $N67 &lt; 0.875,
    MAX(0, MIN(($H67 / 1000) * AP$10 * $BA$4, AP$11 * 0.876) - (AP$11 * $N67)) * 0.25,
    0
)</f>
        <v/>
      </c>
      <c r="AQ67" s="117">
        <f t="array" ref="AQ67">IF(
    AND($H67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($H67 / 1000) * AQ$10 * $BA$4 * 0.25
    ),
    0
)
+
IF(
    $N67 &lt; 0.875,
    MAX(0, MIN(($H67 / 1000) * AQ$10 * $BA$4, AQ$11 * 0.876) - (AQ$11 * $N67)) * 0.25,
    0
)</f>
        <v/>
      </c>
      <c r="AR67" s="117">
        <f t="array" ref="AR67">IF(
    AND($H67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($H67 / 1000) * AR$10 * $BA$4 * 0.25
    ),
    0
)
+
IF(
    $N67 &lt; 0.875,
    MAX(0, MIN(($H67 / 1000) * AR$10 * $BA$4, AR$11 * 0.876) - (AR$11 * $N67)) * 0.25,
    0
)</f>
        <v/>
      </c>
      <c r="AS67" s="117">
        <f t="array" ref="AS67">IF(
    AND($H67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($H67 / 1000) * AS$10 * $BA$4 * 0.25
    ),
    0
)
+
IF(
    $N67 &lt; 0.875,
    MAX(0, MIN(($H67 / 1000) * AS$10 * $BA$4, AS$11 * 0.876) - (AS$11 * $N67)) * 0.25,
    0
)</f>
        <v/>
      </c>
      <c r="AT67" s="117">
        <f t="array" ref="AT67">IF(
    AND($H67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($H67 / 1000) * AT$10 * $BA$4 * 0.25
    ),
    0
)
+
IF(
    $N67 &lt; 0.875,
    MAX(0, MIN(($H67 / 1000) * AT$10 * $BA$4, AT$11 * 0.876) - (AT$11 * $N67)) * 0.25,
    0
)</f>
        <v/>
      </c>
      <c r="AU67" s="117">
        <f t="array" ref="AU67">IF(
    AND($H67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($H67 / 1000) * AU$10 * $BA$4 * 0.25
    ),
    0
)
+
IF(
    $N67 &lt; 0.875,
    MAX(0, MIN(($H67 / 1000) * AU$10 * $BA$4, AU$11 * 0.876) - (AU$11 * $N67)) * 0.25,
    0
)</f>
        <v/>
      </c>
      <c r="AV67" s="117">
        <f t="array" ref="AV67">IF(
    AND($H67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($H67 / 1000) * AV$10 * $BA$4 * 0.25
    ),
    0
)
+
IF(
    $N67 &lt; 0.875,
    MAX(0, MIN(($H67 / 1000) * AV$10 * $BA$4, AV$11 * 0.876) - (AV$11 * $N67)) * 0.25,
    0
)</f>
        <v/>
      </c>
      <c r="AW67" s="117">
        <f t="array" ref="AW67">IF(
    AND($H67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($H67 / 1000) * AW$10 * $BA$4 * 0.25
    ),
    0
)
+
IF(
    $N67 &lt; 0.875,
    MAX(0, MIN(($H67 / 1000) * AW$10 * $BA$4, AW$11 * 0.876) - (AW$11 * $N67)) * 0.25,
    0
)</f>
        <v/>
      </c>
      <c r="AX67" s="117">
        <f t="array" ref="AX67">IF(
    AND($H67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($H67 / 1000) * AX$10 * $BA$4 * 0.25
    ),
    0
)
+
IF(
    $N67 &lt; 0.875,
    MAX(0, MIN(($H67 / 1000) * AX$10 * $BA$4, AX$11 * 0.876) - (AX$11 * $N67)) * 0.25,
    0
)</f>
        <v/>
      </c>
      <c r="AY67" s="117">
        <f t="array" ref="AY67">IF(
    AND($H67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($H67 / 1000) * AY$10 * $BA$4 * 0.25
    ),
    0
)
+
IF(
    $N67 &lt; 0.875,
    MAX(0, MIN(($H67 / 1000) * AY$10 * $BA$4, AY$11 * 0.876) - (AY$11 * $N67)) * 0.25,
    0
)</f>
        <v/>
      </c>
      <c r="AZ67" s="117">
        <f t="array" ref="AZ67">IF(
    AND($H67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($H67 / 1000) * AZ$10 * $BA$4 * 0.25
    ),
    0
)
+
IF(
    $N67 &lt; 0.875,
    MAX(0, MIN(($H67 / 1000) * AZ$10 * $BA$4, AZ$11 * 0.876) - (AZ$11 * $N67)) * 0.25,
    0
)</f>
        <v/>
      </c>
      <c r="BA67" s="119">
        <f>SUM(TabellaMar2026[[#This Row],[Colonna54]:[Colonna53]])</f>
        <v/>
      </c>
    </row>
    <row r="68">
      <c r="A68" s="112" t="n">
        <v>46143</v>
      </c>
      <c r="B68" t="inlineStr">
        <is>
          <t>13:15:00.000</t>
        </is>
      </c>
      <c r="C68" s="2" t="n">
        <v>927.3</v>
      </c>
      <c r="D68" s="113" t="n">
        <v>0.231825</v>
      </c>
      <c r="E68" s="113" t="n">
        <v>897</v>
      </c>
      <c r="F68" s="113" t="n">
        <v>0.22425</v>
      </c>
      <c r="G68" s="113">
        <f>IFERROR((D68+F68)/2, 0)</f>
        <v/>
      </c>
      <c r="H68" s="114">
        <f>IFERROR(IF(AVERAGE(C68,E68)&gt;$BA$7,AVERAGE(C68,E68),0), 0)</f>
        <v/>
      </c>
      <c r="I68" s="114">
        <f>IFERROR(IF(AND(D68=0,F68=0),0,IF(H68&gt;$BA$6,MAX(D68,F68),G68)), 0)</f>
        <v/>
      </c>
      <c r="J68" s="113">
        <f>IFERROR(IF(AND(D68&gt;0,F68&gt;0),ABS(D68-F68)/AVERAGE(D68,F68),0), 0)</f>
        <v/>
      </c>
      <c r="K68" s="113" t="n">
        <v>30131.6</v>
      </c>
      <c r="L68" s="113" t="n">
        <v>30131.6</v>
      </c>
      <c r="M68" s="115">
        <f>IFERROR((L68-K68)*1000, 0)</f>
        <v/>
      </c>
      <c r="N68" s="113" t="n">
        <v>0.0007000000000000001</v>
      </c>
      <c r="O68" s="115">
        <f t="array" ref="O68">IF(
    AND($H68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($H68 / 1000) * O$10 * $BA$4 * 0.25
    ),
    0
)
+
IF(
    $N68 &lt; 0.875,
    MAX(0, MIN(($H68 / 1000) * O$10 * $BA$4, O$11 * 0.876) - (O$11 * $N68)) * 0.25,
    0
)</f>
        <v/>
      </c>
      <c r="P68" s="115">
        <f t="array" ref="P68">IF(
    AND($H68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($H68 / 1000) * P$10 * $BA$4 * 0.25
    ),
    0
)
+
IF(
    $N68 &lt; 0.875,
    MAX(0, MIN(($H68 / 1000) * P$10 * $BA$4, P$11 * 0.876) - (P$11 * $N68)) * 0.25,
    0
)</f>
        <v/>
      </c>
      <c r="Q68" s="115">
        <f t="array" ref="Q68">IF(
    AND($H68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($H68 / 1000) * Q$10 * $BA$4 * 0.25
    ),
    0
)
+
IF(
    $N68 &lt; 0.875,
    MAX(0, MIN(($H68 / 1000) * Q$10 * $BA$4, Q$11 * 0.876) - (Q$11 * $N68)) * 0.25,
    0
)</f>
        <v/>
      </c>
      <c r="R68" s="115">
        <f t="array" ref="R68">IF(
    AND($H68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($H68 / 1000) * R$10 * $BA$4 * 0.25
    ),
    0
)
+
IF(
    $N68 &lt; 0.875,
    MAX(0, MIN(($H68 / 1000) * R$10 * $BA$4, R$11 * 0.876) - (R$11 * $N68)) * 0.25,
    0
)</f>
        <v/>
      </c>
      <c r="S68" s="115">
        <f t="array" ref="S68">IF(
    AND($H68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($H68 / 1000) * S$10 * $BA$4 * 0.25
    ),
    0
)
+
IF(
    $N68 &lt; 0.875,
    MAX(0, MIN(($H68 / 1000) * S$10 * $BA$4, S$11 * 0.876) - (S$11 * $N68)) * 0.25,
    0
)</f>
        <v/>
      </c>
      <c r="T68" s="115">
        <f t="array" ref="T68">IF(
    AND($H68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($H68 / 1000) * T$10 * $BA$4 * 0.25
    ),
    0
)
+
IF(
    $N68 &lt; 0.875,
    MAX(0, MIN(($H68 / 1000) * T$10 * $BA$4, T$11 * 0.876) - (T$11 * $N68)) * 0.25,
    0
)</f>
        <v/>
      </c>
      <c r="U68" s="115">
        <f t="array" ref="U68">IF(
    AND($H68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($H68 / 1000) * U$10 * $BA$4 * 0.25
    ),
    0
)
+
IF(
    $N68 &lt; 0.875,
    MAX(0, MIN(($H68 / 1000) * U$10 * $BA$4, U$11 * 0.876) - (U$11 * $N68)) * 0.25,
    0
)</f>
        <v/>
      </c>
      <c r="V68" s="115">
        <f t="array" ref="V68">IF(
    AND($H68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($H68 / 1000) * V$10 * $BA$4 * 0.25
    ),
    0
)
+
IF(
    $N68 &lt; 0.875,
    MAX(0, MIN(($H68 / 1000) * V$10 * $BA$4, V$11 * 0.876) - (V$11 * $N68)) * 0.25,
    0
)</f>
        <v/>
      </c>
      <c r="W68" s="115">
        <f t="array" ref="W68">IF(
    AND($H68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($H68 / 1000) * W$10 * $BA$4 * 0.25
    ),
    0
)
+
IF(
    $N68 &lt; 0.875,
    MAX(0, MIN(($H68 / 1000) * W$10 * $BA$4, W$11 * 0.876) - (W$11 * $N68)) * 0.25,
    0
)</f>
        <v/>
      </c>
      <c r="X68" s="115">
        <f t="array" ref="X68">IF(
    AND($H68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($H68 / 1000) * X$10 * $BA$4 * 0.25
    ),
    0
)
+
IF(
    $N68 &lt; 0.875,
    MAX(0, MIN(($H68 / 1000) * X$10 * $BA$4, X$11 * 0.876) - (X$11 * $N68)) * 0.25,
    0
)</f>
        <v/>
      </c>
      <c r="Y68" s="115">
        <f t="array" ref="Y68">IF(
    AND($H68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($H68 / 1000) * Y$10 * $BA$4 * 0.25
    ),
    0
)
+
IF(
    $N68 &lt; 0.875,
    MAX(0, MIN(($H68 / 1000) * Y$10 * $BA$4, Y$11 * 0.876) - (Y$11 * $N68)) * 0.25,
    0
)</f>
        <v/>
      </c>
      <c r="Z68" s="115">
        <f t="array" ref="Z68">IF(
    AND($H68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($H68 / 1000) * Z$10 * $BA$4 * 0.25
    ),
    0
)
+
IF(
    $N68 &lt; 0.875,
    MAX(0, MIN(($H68 / 1000) * Z$10 * $BA$4, Z$11 * 0.876) - (Z$11 * $N68)) * 0.25,
    0
)</f>
        <v/>
      </c>
      <c r="AA68" s="116">
        <f>SUM(TabellaMar2026[[#This Row],[Colonna24]:[Colonna20]])</f>
        <v/>
      </c>
      <c r="AB68" s="117">
        <f>IF(
    AND($H68 &gt; $BA$7, Tabella01MarzoInverter[[#This Row],[Active power TX2-INV-1]] &lt;= 0, Tabella01MarzoInverter[[#This Row],[TX2 - Average Power]] &lt;= 0),
    MIN(($H68 / 1000) * AB$10 * $BA$4, AB$11 * 0.876) * 0.25,
    IF(
        AND($H68 &gt; $BA$7, Tabella01MarzoInverter[[#This Row],[Active power TX2-INV-1]] &lt;= 0),
        Tabella01MarzoInverter[[#This Row],[TX2 - Average Power]] * 0.25,
        0
    )
    +
    IF(
        $N68 &lt; 0.875,
        MAX(0, MIN(($H68 / 1000) * AB$10 * $BA$4, AB$11 * 0.876) - (AB$11 * $N68)) * 0.25,
        0
    )
)</f>
        <v/>
      </c>
      <c r="AC68" s="117">
        <f>IF(
    AND($H68 &gt; $BA$7, Tabella01MarzoInverter[[#This Row],[Active power TX2-INV-2]] &lt;= 0, Tabella01MarzoInverter[[#This Row],[TX2 - Max Power]] &lt;= 0),
    MIN(($H68 / 1000) * AC$10 * $BA$4, AC$11 * 0.876) * 0.25,
    IF(
        AND($H68 &gt; $BA$7, Tabella01MarzoInverter[[#This Row],[Active power TX2-INV-2]] &lt;= 0),
        Tabella01MarzoInverter[[#This Row],[TX2 - Max Power]] * 0.25,
        0
    )
    +
    IF(
        $N68 &lt; 0.875,
        MAX(0, MIN(($H68 / 1000) * AC$10 * $BA$4, AC$11 * 0.876) - (AC$11 * $N68)) * 0.25,
        0
    )
)</f>
        <v/>
      </c>
      <c r="AD68" s="117">
        <f>IF(
    AND($H68 &gt; $BA$7, Tabella01MarzoInverter[[#This Row],[Active power TX2-INV-3]] &lt;= 0, Tabella01MarzoInverter[[#This Row],[TX2 - Min Power]] &lt;= 0),
    MIN(($H68 / 1000) * AD$10 * $BA$4, AD$11 * 0.876) * 0.25,
    IF(
        AND($H68 &gt; $BA$7, Tabella01MarzoInverter[[#This Row],[Active power TX2-INV-3]] &lt;= 0),
        Tabella01MarzoInverter[[#This Row],[TX2 - Min Power]] * 0.25,
        0
    )
    +
    IF(
        $N68 &lt; 0.875,
        MAX(0, MIN(($H68 / 1000) * AD$10 * $BA$4, AD$11 * 0.876) - (AD$11 * $N68)) * 0.25,
        0
    )
)</f>
        <v/>
      </c>
      <c r="AE68" s="117">
        <f>IF(
    AND($H68 &gt; $BA$7, Tabella01MarzoInverter[[#This Row],[Active power TX2-INV-4]] &lt;= 0, Tabella01MarzoInverter[[#This Row],[Active power TX3-INV-1]] &lt;= 0),
    MIN(($H68 / 1000) * AE$10 * $BA$4, AE$11 * 0.876) * 0.25,
    IF(
        AND($H68 &gt; $BA$7, Tabella01MarzoInverter[[#This Row],[Active power TX2-INV-4]] &lt;= 0),
        Tabella01MarzoInverter[[#This Row],[Active power TX3-INV-1]] * 0.25,
        0
    )
    +
    IF(
        $N68 &lt; 0.875,
        MAX(0, MIN(($H68 / 1000) * AE$10 * $BA$4, AE$11 * 0.876) - (AE$11 * $N68)) * 0.25,
        0
    )
)</f>
        <v/>
      </c>
      <c r="AF68" s="117">
        <f>IF(
    AND($H68 &gt; $BA$7, Tabella01MarzoInverter[[#This Row],[Active power TX2-INV-5]] &lt;= 0, Tabella01MarzoInverter[[#This Row],[Active power TX3-INV-2]] &lt;= 0),
    MIN(($H68 / 1000) * AF$10 * $BA$4, AF$11 * 0.876) * 0.25,
    IF(
        AND($H68 &gt; $BA$7, Tabella01MarzoInverter[[#This Row],[Active power TX2-INV-5]] &lt;= 0),
        Tabella01MarzoInverter[[#This Row],[Active power TX3-INV-2]] * 0.25,
        0
    )
    +
    IF(
        $N68 &lt; 0.875,
        MAX(0, MIN(($H68 / 1000) * AF$10 * $BA$4, AF$11 * 0.876) - (AF$11 * $N68)) * 0.25,
        0
    )
)</f>
        <v/>
      </c>
      <c r="AG68" s="117">
        <f>IF(
    AND($H68 &gt; $BA$7, Tabella01MarzoInverter[[#This Row],[Active power TX2-INV-6]] &lt;= 0, Tabella01MarzoInverter[[#This Row],[Active power TX3-INV-3]] &lt;= 0),
    MIN(($H68 / 1000) * AG$10 * $BA$4, AG$11 * 0.876) * 0.25,
    IF(
        AND($H68 &gt; $BA$7, Tabella01MarzoInverter[[#This Row],[Active power TX2-INV-6]] &lt;= 0),
        Tabella01MarzoInverter[[#This Row],[Active power TX3-INV-3]] * 0.25,
        0
    )
    +
    IF(
        $N68 &lt; 0.875,
        MAX(0, MIN(($H68 / 1000) * AG$10 * $BA$4, AG$11 * 0.876) - (AG$11 * $N68)) * 0.25,
        0
    )
)</f>
        <v/>
      </c>
      <c r="AH68" s="117">
        <f>IF(
    AND($H68 &gt; $BA$7, Tabella01MarzoInverter[[#This Row],[Active power TX2-INV-7]] &lt;= 0, Tabella01MarzoInverter[[#This Row],[Active power TX3-INV-4]] &lt;= 0),
    MIN(($H68 / 1000) * AH$10 * $BA$4, AH$11 * 0.876) * 0.25,
    IF(
        AND($H68 &gt; $BA$7, Tabella01MarzoInverter[[#This Row],[Active power TX2-INV-7]] &lt;= 0),
        Tabella01MarzoInverter[[#This Row],[Active power TX3-INV-4]] * 0.25,
        0
    )
    +
    IF(
        $N68 &lt; 0.875,
        MAX(0, MIN(($H68 / 1000) * AH$10 * $BA$4, AH$11 * 0.876) - (AH$11 * $N68)) * 0.25,
        0
    )
)</f>
        <v/>
      </c>
      <c r="AI68" s="117">
        <f>IF(
    AND($H68 &gt; $BA$7, Tabella01MarzoInverter[[#This Row],[Active power TX2-INV-8]] &lt;= 0, Tabella01MarzoInverter[[#This Row],[Active power TX3-INV-5]] &lt;= 0),
    MIN(($H68 / 1000) * AI$10 * $BA$4, AI$11 * 0.876) * 0.25,
    IF(
        AND($H68 &gt; $BA$7, Tabella01MarzoInverter[[#This Row],[Active power TX2-INV-8]] &lt;= 0),
        Tabella01MarzoInverter[[#This Row],[Active power TX3-INV-5]] * 0.25,
        0
    )
    +
    IF(
        $N68 &lt; 0.875,
        MAX(0, MIN(($H68 / 1000) * AI$10 * $BA$4, AI$11 * 0.876) - (AI$11 * $N68)) * 0.25,
        0
    )
)</f>
        <v/>
      </c>
      <c r="AJ68" s="117">
        <f>IF(
    AND($H68 &gt; $BA$7, Tabella01MarzoInverter[[#This Row],[Active power TX2-INV-9]] &lt;= 0, Tabella01MarzoInverter[[#This Row],[Active power TX3-INV-6]] &lt;= 0),
    MIN(($H68 / 1000) * AJ$10 * $BA$4, AJ$11 * 0.876) * 0.25,
    IF(
        AND($H68 &gt; $BA$7, Tabella01MarzoInverter[[#This Row],[Active power TX2-INV-9]] &lt;= 0),
        Tabella01MarzoInverter[[#This Row],[Active power TX3-INV-6]] * 0.25,
        0
    )
    +
    IF(
        $N68 &lt; 0.875,
        MAX(0, MIN(($H68 / 1000) * AJ$10 * $BA$4, AJ$11 * 0.876) - (AJ$11 * $N68)) * 0.25,
        0
    )
)</f>
        <v/>
      </c>
      <c r="AK68" s="117">
        <f>IF(
    AND($H68 &gt; $BA$7, Tabella01MarzoInverter[[#This Row],[Active power TX2-INV-10]] &lt;= 0, Tabella01MarzoInverter[[#This Row],[Active power TX3-INV-7]] &lt;= 0),
    MIN(($H68 / 1000) * AK$10 * $BA$4, AK$11 * 0.876) * 0.25,
    IF(
        AND($H68 &gt; $BA$7, Tabella01MarzoInverter[[#This Row],[Active power TX2-INV-10]] &lt;= 0),
        Tabella01MarzoInverter[[#This Row],[Active power TX3-INV-7]] * 0.25,
        0
    )
    +
    IF(
        $N68 &lt; 0.875,
        MAX(0, MIN(($H68 / 1000) * AK$10 * $BA$4, AK$11 * 0.876) - (AK$11 * $N68)) * 0.25,
        0
    )
)</f>
        <v/>
      </c>
      <c r="AL68" s="117">
        <f>IF(
    AND($H68 &gt; $BA$7, Tabella01MarzoInverter[[#This Row],[Active power TX2-INV-11]] &lt;= 0, Tabella01MarzoInverter[[#This Row],[Active power TX3-INV-8]] &lt;= 0),
    MIN(($H68 / 1000) * AL$10 * $BA$4, AL$11 * 0.876) * 0.25,
    IF(
        AND($H68 &gt; $BA$7, Tabella01MarzoInverter[[#This Row],[Active power TX2-INV-11]] &lt;= 0),
        Tabella01MarzoInverter[[#This Row],[Active power TX3-INV-8]] * 0.25,
        0
    )
    +
    IF(
        $N68 &lt; 0.875,
        MAX(0, MIN(($H68 / 1000) * AL$10 * $BA$4, AL$11 * 0.876) - (AL$11 * $N68)) * 0.25,
        0
    )
)</f>
        <v/>
      </c>
      <c r="AM68" s="117">
        <f>IF(
    AND($H68 &gt; $BA$7, Tabella01MarzoInverter[[#This Row],[Active power TX2-INV-12]] &lt;= 0, Tabella01MarzoInverter[[#This Row],[Active power TX3-INV-9]] &lt;= 0),
    MIN(($H68 / 1000) * AM$10 * $BA$4, AM$11 * 0.876) * 0.25,
    IF(
        AND($H68 &gt; $BA$7, Tabella01MarzoInverter[[#This Row],[Active power TX2-INV-12]] &lt;= 0),
        Tabella01MarzoInverter[[#This Row],[Active power TX3-INV-9]] * 0.25,
        0
    )
    +
    IF(
        $N68 &lt; 0.875,
        MAX(0, MIN(($H68 / 1000) * AM$10 * $BA$4, AM$11 * 0.876) - (AM$11 * $N68)) * 0.25,
        0
    )
)</f>
        <v/>
      </c>
      <c r="AN68" s="118">
        <f>SUM(TabellaMar2026[[#This Row],[Colonna39]:[Colonna6]])</f>
        <v/>
      </c>
      <c r="AO68" s="117">
        <f t="array" ref="AO68">IF(
    AND($H68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($H68 / 1000) * AO$10 * $BA$4 * 0.25
    ),
    0
)
+
IF(
    $N68 &lt; 0.875,
    MAX(0, MIN(($H68 / 1000) * AO$10 * $BA$4, AO$11 * 0.876) - (AO$11 * $N68)) * 0.25,
    0
)</f>
        <v/>
      </c>
      <c r="AP68" s="117">
        <f t="array" ref="AP68">IF(
    AND($H68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($H68 / 1000) * AP$10 * $BA$4 * 0.25
    ),
    0
)
+
IF(
    $N68 &lt; 0.875,
    MAX(0, MIN(($H68 / 1000) * AP$10 * $BA$4, AP$11 * 0.876) - (AP$11 * $N68)) * 0.25,
    0
)</f>
        <v/>
      </c>
      <c r="AQ68" s="117">
        <f t="array" ref="AQ68">IF(
    AND($H68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($H68 / 1000) * AQ$10 * $BA$4 * 0.25
    ),
    0
)
+
IF(
    $N68 &lt; 0.875,
    MAX(0, MIN(($H68 / 1000) * AQ$10 * $BA$4, AQ$11 * 0.876) - (AQ$11 * $N68)) * 0.25,
    0
)</f>
        <v/>
      </c>
      <c r="AR68" s="117">
        <f t="array" ref="AR68">IF(
    AND($H68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($H68 / 1000) * AR$10 * $BA$4 * 0.25
    ),
    0
)
+
IF(
    $N68 &lt; 0.875,
    MAX(0, MIN(($H68 / 1000) * AR$10 * $BA$4, AR$11 * 0.876) - (AR$11 * $N68)) * 0.25,
    0
)</f>
        <v/>
      </c>
      <c r="AS68" s="117">
        <f t="array" ref="AS68">IF(
    AND($H68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($H68 / 1000) * AS$10 * $BA$4 * 0.25
    ),
    0
)
+
IF(
    $N68 &lt; 0.875,
    MAX(0, MIN(($H68 / 1000) * AS$10 * $BA$4, AS$11 * 0.876) - (AS$11 * $N68)) * 0.25,
    0
)</f>
        <v/>
      </c>
      <c r="AT68" s="117">
        <f t="array" ref="AT68">IF(
    AND($H68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($H68 / 1000) * AT$10 * $BA$4 * 0.25
    ),
    0
)
+
IF(
    $N68 &lt; 0.875,
    MAX(0, MIN(($H68 / 1000) * AT$10 * $BA$4, AT$11 * 0.876) - (AT$11 * $N68)) * 0.25,
    0
)</f>
        <v/>
      </c>
      <c r="AU68" s="117">
        <f t="array" ref="AU68">IF(
    AND($H68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($H68 / 1000) * AU$10 * $BA$4 * 0.25
    ),
    0
)
+
IF(
    $N68 &lt; 0.875,
    MAX(0, MIN(($H68 / 1000) * AU$10 * $BA$4, AU$11 * 0.876) - (AU$11 * $N68)) * 0.25,
    0
)</f>
        <v/>
      </c>
      <c r="AV68" s="117">
        <f t="array" ref="AV68">IF(
    AND($H68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($H68 / 1000) * AV$10 * $BA$4 * 0.25
    ),
    0
)
+
IF(
    $N68 &lt; 0.875,
    MAX(0, MIN(($H68 / 1000) * AV$10 * $BA$4, AV$11 * 0.876) - (AV$11 * $N68)) * 0.25,
    0
)</f>
        <v/>
      </c>
      <c r="AW68" s="117">
        <f t="array" ref="AW68">IF(
    AND($H68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($H68 / 1000) * AW$10 * $BA$4 * 0.25
    ),
    0
)
+
IF(
    $N68 &lt; 0.875,
    MAX(0, MIN(($H68 / 1000) * AW$10 * $BA$4, AW$11 * 0.876) - (AW$11 * $N68)) * 0.25,
    0
)</f>
        <v/>
      </c>
      <c r="AX68" s="117">
        <f t="array" ref="AX68">IF(
    AND($H68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($H68 / 1000) * AX$10 * $BA$4 * 0.25
    ),
    0
)
+
IF(
    $N68 &lt; 0.875,
    MAX(0, MIN(($H68 / 1000) * AX$10 * $BA$4, AX$11 * 0.876) - (AX$11 * $N68)) * 0.25,
    0
)</f>
        <v/>
      </c>
      <c r="AY68" s="117">
        <f t="array" ref="AY68">IF(
    AND($H68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($H68 / 1000) * AY$10 * $BA$4 * 0.25
    ),
    0
)
+
IF(
    $N68 &lt; 0.875,
    MAX(0, MIN(($H68 / 1000) * AY$10 * $BA$4, AY$11 * 0.876) - (AY$11 * $N68)) * 0.25,
    0
)</f>
        <v/>
      </c>
      <c r="AZ68" s="117">
        <f t="array" ref="AZ68">IF(
    AND($H68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($H68 / 1000) * AZ$10 * $BA$4 * 0.25
    ),
    0
)
+
IF(
    $N68 &lt; 0.875,
    MAX(0, MIN(($H68 / 1000) * AZ$10 * $BA$4, AZ$11 * 0.876) - (AZ$11 * $N68)) * 0.25,
    0
)</f>
        <v/>
      </c>
      <c r="BA68" s="119">
        <f>SUM(TabellaMar2026[[#This Row],[Colonna54]:[Colonna53]])</f>
        <v/>
      </c>
    </row>
    <row r="69">
      <c r="A69" s="112" t="n">
        <v>46143</v>
      </c>
      <c r="B69" t="inlineStr">
        <is>
          <t>13:30:00.000</t>
        </is>
      </c>
      <c r="C69" s="2" t="n">
        <v>829.8</v>
      </c>
      <c r="D69" s="113" t="n">
        <v>0.20745</v>
      </c>
      <c r="E69" s="113" t="n">
        <v>811.7</v>
      </c>
      <c r="F69" s="113" t="n">
        <v>0.202925</v>
      </c>
      <c r="G69" s="113">
        <f>IFERROR((D69+F69)/2, 0)</f>
        <v/>
      </c>
      <c r="H69" s="114">
        <f>IFERROR(IF(AVERAGE(C69,E69)&gt;$BA$7,AVERAGE(C69,E69),0), 0)</f>
        <v/>
      </c>
      <c r="I69" s="114">
        <f>IFERROR(IF(AND(D69=0,F69=0),0,IF(H69&gt;$BA$6,MAX(D69,F69),G69)), 0)</f>
        <v/>
      </c>
      <c r="J69" s="113">
        <f>IFERROR(IF(AND(D69&gt;0,F69&gt;0),ABS(D69-F69)/AVERAGE(D69,F69),0), 0)</f>
        <v/>
      </c>
      <c r="K69" s="113" t="n">
        <v>30131.6</v>
      </c>
      <c r="L69" s="113" t="n">
        <v>30131.6</v>
      </c>
      <c r="M69" s="115">
        <f>IFERROR((L69-K69)*1000, 0)</f>
        <v/>
      </c>
      <c r="N69" s="113" t="n">
        <v>0.0007000000000000001</v>
      </c>
      <c r="O69" s="115">
        <f t="array" ref="O69">IF(
    AND($H69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($H69 / 1000) * O$10 * $BA$4 * 0.25
    ),
    0
)
+
IF(
    $N69 &lt; 0.875,
    MAX(0, MIN(($H69 / 1000) * O$10 * $BA$4, O$11 * 0.876) - (O$11 * $N69)) * 0.25,
    0
)</f>
        <v/>
      </c>
      <c r="P69" s="115">
        <f t="array" ref="P69">IF(
    AND($H69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($H69 / 1000) * P$10 * $BA$4 * 0.25
    ),
    0
)
+
IF(
    $N69 &lt; 0.875,
    MAX(0, MIN(($H69 / 1000) * P$10 * $BA$4, P$11 * 0.876) - (P$11 * $N69)) * 0.25,
    0
)</f>
        <v/>
      </c>
      <c r="Q69" s="115">
        <f t="array" ref="Q69">IF(
    AND($H69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($H69 / 1000) * Q$10 * $BA$4 * 0.25
    ),
    0
)
+
IF(
    $N69 &lt; 0.875,
    MAX(0, MIN(($H69 / 1000) * Q$10 * $BA$4, Q$11 * 0.876) - (Q$11 * $N69)) * 0.25,
    0
)</f>
        <v/>
      </c>
      <c r="R69" s="115">
        <f t="array" ref="R69">IF(
    AND($H69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($H69 / 1000) * R$10 * $BA$4 * 0.25
    ),
    0
)
+
IF(
    $N69 &lt; 0.875,
    MAX(0, MIN(($H69 / 1000) * R$10 * $BA$4, R$11 * 0.876) - (R$11 * $N69)) * 0.25,
    0
)</f>
        <v/>
      </c>
      <c r="S69" s="115">
        <f t="array" ref="S69">IF(
    AND($H69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($H69 / 1000) * S$10 * $BA$4 * 0.25
    ),
    0
)
+
IF(
    $N69 &lt; 0.875,
    MAX(0, MIN(($H69 / 1000) * S$10 * $BA$4, S$11 * 0.876) - (S$11 * $N69)) * 0.25,
    0
)</f>
        <v/>
      </c>
      <c r="T69" s="115">
        <f t="array" ref="T69">IF(
    AND($H69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($H69 / 1000) * T$10 * $BA$4 * 0.25
    ),
    0
)
+
IF(
    $N69 &lt; 0.875,
    MAX(0, MIN(($H69 / 1000) * T$10 * $BA$4, T$11 * 0.876) - (T$11 * $N69)) * 0.25,
    0
)</f>
        <v/>
      </c>
      <c r="U69" s="115">
        <f t="array" ref="U69">IF(
    AND($H69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($H69 / 1000) * U$10 * $BA$4 * 0.25
    ),
    0
)
+
IF(
    $N69 &lt; 0.875,
    MAX(0, MIN(($H69 / 1000) * U$10 * $BA$4, U$11 * 0.876) - (U$11 * $N69)) * 0.25,
    0
)</f>
        <v/>
      </c>
      <c r="V69" s="115">
        <f t="array" ref="V69">IF(
    AND($H69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($H69 / 1000) * V$10 * $BA$4 * 0.25
    ),
    0
)
+
IF(
    $N69 &lt; 0.875,
    MAX(0, MIN(($H69 / 1000) * V$10 * $BA$4, V$11 * 0.876) - (V$11 * $N69)) * 0.25,
    0
)</f>
        <v/>
      </c>
      <c r="W69" s="115">
        <f t="array" ref="W69">IF(
    AND($H69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($H69 / 1000) * W$10 * $BA$4 * 0.25
    ),
    0
)
+
IF(
    $N69 &lt; 0.875,
    MAX(0, MIN(($H69 / 1000) * W$10 * $BA$4, W$11 * 0.876) - (W$11 * $N69)) * 0.25,
    0
)</f>
        <v/>
      </c>
      <c r="X69" s="115">
        <f t="array" ref="X69">IF(
    AND($H69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($H69 / 1000) * X$10 * $BA$4 * 0.25
    ),
    0
)
+
IF(
    $N69 &lt; 0.875,
    MAX(0, MIN(($H69 / 1000) * X$10 * $BA$4, X$11 * 0.876) - (X$11 * $N69)) * 0.25,
    0
)</f>
        <v/>
      </c>
      <c r="Y69" s="115">
        <f t="array" ref="Y69">IF(
    AND($H69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($H69 / 1000) * Y$10 * $BA$4 * 0.25
    ),
    0
)
+
IF(
    $N69 &lt; 0.875,
    MAX(0, MIN(($H69 / 1000) * Y$10 * $BA$4, Y$11 * 0.876) - (Y$11 * $N69)) * 0.25,
    0
)</f>
        <v/>
      </c>
      <c r="Z69" s="115">
        <f t="array" ref="Z69">IF(
    AND($H69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($H69 / 1000) * Z$10 * $BA$4 * 0.25
    ),
    0
)
+
IF(
    $N69 &lt; 0.875,
    MAX(0, MIN(($H69 / 1000) * Z$10 * $BA$4, Z$11 * 0.876) - (Z$11 * $N69)) * 0.25,
    0
)</f>
        <v/>
      </c>
      <c r="AA69" s="116">
        <f>SUM(TabellaMar2026[[#This Row],[Colonna24]:[Colonna20]])</f>
        <v/>
      </c>
      <c r="AB69" s="117">
        <f>IF(
    AND($H69 &gt; $BA$7, Tabella01MarzoInverter[[#This Row],[Active power TX2-INV-1]] &lt;= 0, Tabella01MarzoInverter[[#This Row],[TX2 - Average Power]] &lt;= 0),
    MIN(($H69 / 1000) * AB$10 * $BA$4, AB$11 * 0.876) * 0.25,
    IF(
        AND($H69 &gt; $BA$7, Tabella01MarzoInverter[[#This Row],[Active power TX2-INV-1]] &lt;= 0),
        Tabella01MarzoInverter[[#This Row],[TX2 - Average Power]] * 0.25,
        0
    )
    +
    IF(
        $N69 &lt; 0.875,
        MAX(0, MIN(($H69 / 1000) * AB$10 * $BA$4, AB$11 * 0.876) - (AB$11 * $N69)) * 0.25,
        0
    )
)</f>
        <v/>
      </c>
      <c r="AC69" s="117">
        <f>IF(
    AND($H69 &gt; $BA$7, Tabella01MarzoInverter[[#This Row],[Active power TX2-INV-2]] &lt;= 0, Tabella01MarzoInverter[[#This Row],[TX2 - Max Power]] &lt;= 0),
    MIN(($H69 / 1000) * AC$10 * $BA$4, AC$11 * 0.876) * 0.25,
    IF(
        AND($H69 &gt; $BA$7, Tabella01MarzoInverter[[#This Row],[Active power TX2-INV-2]] &lt;= 0),
        Tabella01MarzoInverter[[#This Row],[TX2 - Max Power]] * 0.25,
        0
    )
    +
    IF(
        $N69 &lt; 0.875,
        MAX(0, MIN(($H69 / 1000) * AC$10 * $BA$4, AC$11 * 0.876) - (AC$11 * $N69)) * 0.25,
        0
    )
)</f>
        <v/>
      </c>
      <c r="AD69" s="117">
        <f>IF(
    AND($H69 &gt; $BA$7, Tabella01MarzoInverter[[#This Row],[Active power TX2-INV-3]] &lt;= 0, Tabella01MarzoInverter[[#This Row],[TX2 - Min Power]] &lt;= 0),
    MIN(($H69 / 1000) * AD$10 * $BA$4, AD$11 * 0.876) * 0.25,
    IF(
        AND($H69 &gt; $BA$7, Tabella01MarzoInverter[[#This Row],[Active power TX2-INV-3]] &lt;= 0),
        Tabella01MarzoInverter[[#This Row],[TX2 - Min Power]] * 0.25,
        0
    )
    +
    IF(
        $N69 &lt; 0.875,
        MAX(0, MIN(($H69 / 1000) * AD$10 * $BA$4, AD$11 * 0.876) - (AD$11 * $N69)) * 0.25,
        0
    )
)</f>
        <v/>
      </c>
      <c r="AE69" s="117">
        <f>IF(
    AND($H69 &gt; $BA$7, Tabella01MarzoInverter[[#This Row],[Active power TX2-INV-4]] &lt;= 0, Tabella01MarzoInverter[[#This Row],[Active power TX3-INV-1]] &lt;= 0),
    MIN(($H69 / 1000) * AE$10 * $BA$4, AE$11 * 0.876) * 0.25,
    IF(
        AND($H69 &gt; $BA$7, Tabella01MarzoInverter[[#This Row],[Active power TX2-INV-4]] &lt;= 0),
        Tabella01MarzoInverter[[#This Row],[Active power TX3-INV-1]] * 0.25,
        0
    )
    +
    IF(
        $N69 &lt; 0.875,
        MAX(0, MIN(($H69 / 1000) * AE$10 * $BA$4, AE$11 * 0.876) - (AE$11 * $N69)) * 0.25,
        0
    )
)</f>
        <v/>
      </c>
      <c r="AF69" s="117">
        <f>IF(
    AND($H69 &gt; $BA$7, Tabella01MarzoInverter[[#This Row],[Active power TX2-INV-5]] &lt;= 0, Tabella01MarzoInverter[[#This Row],[Active power TX3-INV-2]] &lt;= 0),
    MIN(($H69 / 1000) * AF$10 * $BA$4, AF$11 * 0.876) * 0.25,
    IF(
        AND($H69 &gt; $BA$7, Tabella01MarzoInverter[[#This Row],[Active power TX2-INV-5]] &lt;= 0),
        Tabella01MarzoInverter[[#This Row],[Active power TX3-INV-2]] * 0.25,
        0
    )
    +
    IF(
        $N69 &lt; 0.875,
        MAX(0, MIN(($H69 / 1000) * AF$10 * $BA$4, AF$11 * 0.876) - (AF$11 * $N69)) * 0.25,
        0
    )
)</f>
        <v/>
      </c>
      <c r="AG69" s="117">
        <f>IF(
    AND($H69 &gt; $BA$7, Tabella01MarzoInverter[[#This Row],[Active power TX2-INV-6]] &lt;= 0, Tabella01MarzoInverter[[#This Row],[Active power TX3-INV-3]] &lt;= 0),
    MIN(($H69 / 1000) * AG$10 * $BA$4, AG$11 * 0.876) * 0.25,
    IF(
        AND($H69 &gt; $BA$7, Tabella01MarzoInverter[[#This Row],[Active power TX2-INV-6]] &lt;= 0),
        Tabella01MarzoInverter[[#This Row],[Active power TX3-INV-3]] * 0.25,
        0
    )
    +
    IF(
        $N69 &lt; 0.875,
        MAX(0, MIN(($H69 / 1000) * AG$10 * $BA$4, AG$11 * 0.876) - (AG$11 * $N69)) * 0.25,
        0
    )
)</f>
        <v/>
      </c>
      <c r="AH69" s="117">
        <f>IF(
    AND($H69 &gt; $BA$7, Tabella01MarzoInverter[[#This Row],[Active power TX2-INV-7]] &lt;= 0, Tabella01MarzoInverter[[#This Row],[Active power TX3-INV-4]] &lt;= 0),
    MIN(($H69 / 1000) * AH$10 * $BA$4, AH$11 * 0.876) * 0.25,
    IF(
        AND($H69 &gt; $BA$7, Tabella01MarzoInverter[[#This Row],[Active power TX2-INV-7]] &lt;= 0),
        Tabella01MarzoInverter[[#This Row],[Active power TX3-INV-4]] * 0.25,
        0
    )
    +
    IF(
        $N69 &lt; 0.875,
        MAX(0, MIN(($H69 / 1000) * AH$10 * $BA$4, AH$11 * 0.876) - (AH$11 * $N69)) * 0.25,
        0
    )
)</f>
        <v/>
      </c>
      <c r="AI69" s="117">
        <f>IF(
    AND($H69 &gt; $BA$7, Tabella01MarzoInverter[[#This Row],[Active power TX2-INV-8]] &lt;= 0, Tabella01MarzoInverter[[#This Row],[Active power TX3-INV-5]] &lt;= 0),
    MIN(($H69 / 1000) * AI$10 * $BA$4, AI$11 * 0.876) * 0.25,
    IF(
        AND($H69 &gt; $BA$7, Tabella01MarzoInverter[[#This Row],[Active power TX2-INV-8]] &lt;= 0),
        Tabella01MarzoInverter[[#This Row],[Active power TX3-INV-5]] * 0.25,
        0
    )
    +
    IF(
        $N69 &lt; 0.875,
        MAX(0, MIN(($H69 / 1000) * AI$10 * $BA$4, AI$11 * 0.876) - (AI$11 * $N69)) * 0.25,
        0
    )
)</f>
        <v/>
      </c>
      <c r="AJ69" s="117">
        <f>IF(
    AND($H69 &gt; $BA$7, Tabella01MarzoInverter[[#This Row],[Active power TX2-INV-9]] &lt;= 0, Tabella01MarzoInverter[[#This Row],[Active power TX3-INV-6]] &lt;= 0),
    MIN(($H69 / 1000) * AJ$10 * $BA$4, AJ$11 * 0.876) * 0.25,
    IF(
        AND($H69 &gt; $BA$7, Tabella01MarzoInverter[[#This Row],[Active power TX2-INV-9]] &lt;= 0),
        Tabella01MarzoInverter[[#This Row],[Active power TX3-INV-6]] * 0.25,
        0
    )
    +
    IF(
        $N69 &lt; 0.875,
        MAX(0, MIN(($H69 / 1000) * AJ$10 * $BA$4, AJ$11 * 0.876) - (AJ$11 * $N69)) * 0.25,
        0
    )
)</f>
        <v/>
      </c>
      <c r="AK69" s="117">
        <f>IF(
    AND($H69 &gt; $BA$7, Tabella01MarzoInverter[[#This Row],[Active power TX2-INV-10]] &lt;= 0, Tabella01MarzoInverter[[#This Row],[Active power TX3-INV-7]] &lt;= 0),
    MIN(($H69 / 1000) * AK$10 * $BA$4, AK$11 * 0.876) * 0.25,
    IF(
        AND($H69 &gt; $BA$7, Tabella01MarzoInverter[[#This Row],[Active power TX2-INV-10]] &lt;= 0),
        Tabella01MarzoInverter[[#This Row],[Active power TX3-INV-7]] * 0.25,
        0
    )
    +
    IF(
        $N69 &lt; 0.875,
        MAX(0, MIN(($H69 / 1000) * AK$10 * $BA$4, AK$11 * 0.876) - (AK$11 * $N69)) * 0.25,
        0
    )
)</f>
        <v/>
      </c>
      <c r="AL69" s="117">
        <f>IF(
    AND($H69 &gt; $BA$7, Tabella01MarzoInverter[[#This Row],[Active power TX2-INV-11]] &lt;= 0, Tabella01MarzoInverter[[#This Row],[Active power TX3-INV-8]] &lt;= 0),
    MIN(($H69 / 1000) * AL$10 * $BA$4, AL$11 * 0.876) * 0.25,
    IF(
        AND($H69 &gt; $BA$7, Tabella01MarzoInverter[[#This Row],[Active power TX2-INV-11]] &lt;= 0),
        Tabella01MarzoInverter[[#This Row],[Active power TX3-INV-8]] * 0.25,
        0
    )
    +
    IF(
        $N69 &lt; 0.875,
        MAX(0, MIN(($H69 / 1000) * AL$10 * $BA$4, AL$11 * 0.876) - (AL$11 * $N69)) * 0.25,
        0
    )
)</f>
        <v/>
      </c>
      <c r="AM69" s="117">
        <f>IF(
    AND($H69 &gt; $BA$7, Tabella01MarzoInverter[[#This Row],[Active power TX2-INV-12]] &lt;= 0, Tabella01MarzoInverter[[#This Row],[Active power TX3-INV-9]] &lt;= 0),
    MIN(($H69 / 1000) * AM$10 * $BA$4, AM$11 * 0.876) * 0.25,
    IF(
        AND($H69 &gt; $BA$7, Tabella01MarzoInverter[[#This Row],[Active power TX2-INV-12]] &lt;= 0),
        Tabella01MarzoInverter[[#This Row],[Active power TX3-INV-9]] * 0.25,
        0
    )
    +
    IF(
        $N69 &lt; 0.875,
        MAX(0, MIN(($H69 / 1000) * AM$10 * $BA$4, AM$11 * 0.876) - (AM$11 * $N69)) * 0.25,
        0
    )
)</f>
        <v/>
      </c>
      <c r="AN69" s="118">
        <f>SUM(TabellaMar2026[[#This Row],[Colonna39]:[Colonna6]])</f>
        <v/>
      </c>
      <c r="AO69" s="117">
        <f t="array" ref="AO69">IF(
    AND($H69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($H69 / 1000) * AO$10 * $BA$4 * 0.25
    ),
    0
)
+
IF(
    $N69 &lt; 0.875,
    MAX(0, MIN(($H69 / 1000) * AO$10 * $BA$4, AO$11 * 0.876) - (AO$11 * $N69)) * 0.25,
    0
)</f>
        <v/>
      </c>
      <c r="AP69" s="117">
        <f t="array" ref="AP69">IF(
    AND($H69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($H69 / 1000) * AP$10 * $BA$4 * 0.25
    ),
    0
)
+
IF(
    $N69 &lt; 0.875,
    MAX(0, MIN(($H69 / 1000) * AP$10 * $BA$4, AP$11 * 0.876) - (AP$11 * $N69)) * 0.25,
    0
)</f>
        <v/>
      </c>
      <c r="AQ69" s="117">
        <f t="array" ref="AQ69">IF(
    AND($H69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($H69 / 1000) * AQ$10 * $BA$4 * 0.25
    ),
    0
)
+
IF(
    $N69 &lt; 0.875,
    MAX(0, MIN(($H69 / 1000) * AQ$10 * $BA$4, AQ$11 * 0.876) - (AQ$11 * $N69)) * 0.25,
    0
)</f>
        <v/>
      </c>
      <c r="AR69" s="117">
        <f t="array" ref="AR69">IF(
    AND($H69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($H69 / 1000) * AR$10 * $BA$4 * 0.25
    ),
    0
)
+
IF(
    $N69 &lt; 0.875,
    MAX(0, MIN(($H69 / 1000) * AR$10 * $BA$4, AR$11 * 0.876) - (AR$11 * $N69)) * 0.25,
    0
)</f>
        <v/>
      </c>
      <c r="AS69" s="117">
        <f t="array" ref="AS69">IF(
    AND($H69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($H69 / 1000) * AS$10 * $BA$4 * 0.25
    ),
    0
)
+
IF(
    $N69 &lt; 0.875,
    MAX(0, MIN(($H69 / 1000) * AS$10 * $BA$4, AS$11 * 0.876) - (AS$11 * $N69)) * 0.25,
    0
)</f>
        <v/>
      </c>
      <c r="AT69" s="117">
        <f t="array" ref="AT69">IF(
    AND($H69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($H69 / 1000) * AT$10 * $BA$4 * 0.25
    ),
    0
)
+
IF(
    $N69 &lt; 0.875,
    MAX(0, MIN(($H69 / 1000) * AT$10 * $BA$4, AT$11 * 0.876) - (AT$11 * $N69)) * 0.25,
    0
)</f>
        <v/>
      </c>
      <c r="AU69" s="117">
        <f t="array" ref="AU69">IF(
    AND($H69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($H69 / 1000) * AU$10 * $BA$4 * 0.25
    ),
    0
)
+
IF(
    $N69 &lt; 0.875,
    MAX(0, MIN(($H69 / 1000) * AU$10 * $BA$4, AU$11 * 0.876) - (AU$11 * $N69)) * 0.25,
    0
)</f>
        <v/>
      </c>
      <c r="AV69" s="117">
        <f t="array" ref="AV69">IF(
    AND($H69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($H69 / 1000) * AV$10 * $BA$4 * 0.25
    ),
    0
)
+
IF(
    $N69 &lt; 0.875,
    MAX(0, MIN(($H69 / 1000) * AV$10 * $BA$4, AV$11 * 0.876) - (AV$11 * $N69)) * 0.25,
    0
)</f>
        <v/>
      </c>
      <c r="AW69" s="117">
        <f t="array" ref="AW69">IF(
    AND($H69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($H69 / 1000) * AW$10 * $BA$4 * 0.25
    ),
    0
)
+
IF(
    $N69 &lt; 0.875,
    MAX(0, MIN(($H69 / 1000) * AW$10 * $BA$4, AW$11 * 0.876) - (AW$11 * $N69)) * 0.25,
    0
)</f>
        <v/>
      </c>
      <c r="AX69" s="117">
        <f t="array" ref="AX69">IF(
    AND($H69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($H69 / 1000) * AX$10 * $BA$4 * 0.25
    ),
    0
)
+
IF(
    $N69 &lt; 0.875,
    MAX(0, MIN(($H69 / 1000) * AX$10 * $BA$4, AX$11 * 0.876) - (AX$11 * $N69)) * 0.25,
    0
)</f>
        <v/>
      </c>
      <c r="AY69" s="117">
        <f t="array" ref="AY69">IF(
    AND($H69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($H69 / 1000) * AY$10 * $BA$4 * 0.25
    ),
    0
)
+
IF(
    $N69 &lt; 0.875,
    MAX(0, MIN(($H69 / 1000) * AY$10 * $BA$4, AY$11 * 0.876) - (AY$11 * $N69)) * 0.25,
    0
)</f>
        <v/>
      </c>
      <c r="AZ69" s="117">
        <f t="array" ref="AZ69">IF(
    AND($H69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($H69 / 1000) * AZ$10 * $BA$4 * 0.25
    ),
    0
)
+
IF(
    $N69 &lt; 0.875,
    MAX(0, MIN(($H69 / 1000) * AZ$10 * $BA$4, AZ$11 * 0.876) - (AZ$11 * $N69)) * 0.25,
    0
)</f>
        <v/>
      </c>
      <c r="BA69" s="119">
        <f>SUM(TabellaMar2026[[#This Row],[Colonna54]:[Colonna53]])</f>
        <v/>
      </c>
    </row>
    <row r="70">
      <c r="A70" s="112" t="n">
        <v>46143</v>
      </c>
      <c r="B70" t="inlineStr">
        <is>
          <t>13:45:00.000</t>
        </is>
      </c>
      <c r="C70" s="2" t="n">
        <v>984.4</v>
      </c>
      <c r="D70" s="113" t="n">
        <v>0.2461</v>
      </c>
      <c r="E70" s="113" t="n">
        <v>951.5</v>
      </c>
      <c r="F70" s="113" t="n">
        <v>0.237875</v>
      </c>
      <c r="G70" s="113">
        <f>IFERROR((D70+F70)/2, 0)</f>
        <v/>
      </c>
      <c r="H70" s="114">
        <f>IFERROR(IF(AVERAGE(C70,E70)&gt;$BA$7,AVERAGE(C70,E70),0), 0)</f>
        <v/>
      </c>
      <c r="I70" s="114">
        <f>IFERROR(IF(AND(D70=0,F70=0),0,IF(H70&gt;$BA$6,MAX(D70,F70),G70)), 0)</f>
        <v/>
      </c>
      <c r="J70" s="113">
        <f>IFERROR(IF(AND(D70&gt;0,F70&gt;0),ABS(D70-F70)/AVERAGE(D70,F70),0), 0)</f>
        <v/>
      </c>
      <c r="K70" s="113" t="n">
        <v>30131.6</v>
      </c>
      <c r="L70" s="113" t="n">
        <v>30131.6</v>
      </c>
      <c r="M70" s="115">
        <f>IFERROR((L70-K70)*1000, 0)</f>
        <v/>
      </c>
      <c r="N70" s="113" t="n">
        <v>0.0007000000000000001</v>
      </c>
      <c r="O70" s="115">
        <f t="array" ref="O70">IF(
    AND($H70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($H70 / 1000) * O$10 * $BA$4 * 0.25
    ),
    0
)
+
IF(
    $N70 &lt; 0.875,
    MAX(0, MIN(($H70 / 1000) * O$10 * $BA$4, O$11 * 0.876) - (O$11 * $N70)) * 0.25,
    0
)</f>
        <v/>
      </c>
      <c r="P70" s="115">
        <f t="array" ref="P70">IF(
    AND($H70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($H70 / 1000) * P$10 * $BA$4 * 0.25
    ),
    0
)
+
IF(
    $N70 &lt; 0.875,
    MAX(0, MIN(($H70 / 1000) * P$10 * $BA$4, P$11 * 0.876) - (P$11 * $N70)) * 0.25,
    0
)</f>
        <v/>
      </c>
      <c r="Q70" s="115">
        <f t="array" ref="Q70">IF(
    AND($H70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($H70 / 1000) * Q$10 * $BA$4 * 0.25
    ),
    0
)
+
IF(
    $N70 &lt; 0.875,
    MAX(0, MIN(($H70 / 1000) * Q$10 * $BA$4, Q$11 * 0.876) - (Q$11 * $N70)) * 0.25,
    0
)</f>
        <v/>
      </c>
      <c r="R70" s="115">
        <f t="array" ref="R70">IF(
    AND($H70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($H70 / 1000) * R$10 * $BA$4 * 0.25
    ),
    0
)
+
IF(
    $N70 &lt; 0.875,
    MAX(0, MIN(($H70 / 1000) * R$10 * $BA$4, R$11 * 0.876) - (R$11 * $N70)) * 0.25,
    0
)</f>
        <v/>
      </c>
      <c r="S70" s="115">
        <f t="array" ref="S70">IF(
    AND($H70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($H70 / 1000) * S$10 * $BA$4 * 0.25
    ),
    0
)
+
IF(
    $N70 &lt; 0.875,
    MAX(0, MIN(($H70 / 1000) * S$10 * $BA$4, S$11 * 0.876) - (S$11 * $N70)) * 0.25,
    0
)</f>
        <v/>
      </c>
      <c r="T70" s="115">
        <f t="array" ref="T70">IF(
    AND($H70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($H70 / 1000) * T$10 * $BA$4 * 0.25
    ),
    0
)
+
IF(
    $N70 &lt; 0.875,
    MAX(0, MIN(($H70 / 1000) * T$10 * $BA$4, T$11 * 0.876) - (T$11 * $N70)) * 0.25,
    0
)</f>
        <v/>
      </c>
      <c r="U70" s="115">
        <f t="array" ref="U70">IF(
    AND($H70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($H70 / 1000) * U$10 * $BA$4 * 0.25
    ),
    0
)
+
IF(
    $N70 &lt; 0.875,
    MAX(0, MIN(($H70 / 1000) * U$10 * $BA$4, U$11 * 0.876) - (U$11 * $N70)) * 0.25,
    0
)</f>
        <v/>
      </c>
      <c r="V70" s="115">
        <f t="array" ref="V70">IF(
    AND($H70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($H70 / 1000) * V$10 * $BA$4 * 0.25
    ),
    0
)
+
IF(
    $N70 &lt; 0.875,
    MAX(0, MIN(($H70 / 1000) * V$10 * $BA$4, V$11 * 0.876) - (V$11 * $N70)) * 0.25,
    0
)</f>
        <v/>
      </c>
      <c r="W70" s="115">
        <f t="array" ref="W70">IF(
    AND($H70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($H70 / 1000) * W$10 * $BA$4 * 0.25
    ),
    0
)
+
IF(
    $N70 &lt; 0.875,
    MAX(0, MIN(($H70 / 1000) * W$10 * $BA$4, W$11 * 0.876) - (W$11 * $N70)) * 0.25,
    0
)</f>
        <v/>
      </c>
      <c r="X70" s="115">
        <f t="array" ref="X70">IF(
    AND($H70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($H70 / 1000) * X$10 * $BA$4 * 0.25
    ),
    0
)
+
IF(
    $N70 &lt; 0.875,
    MAX(0, MIN(($H70 / 1000) * X$10 * $BA$4, X$11 * 0.876) - (X$11 * $N70)) * 0.25,
    0
)</f>
        <v/>
      </c>
      <c r="Y70" s="115">
        <f t="array" ref="Y70">IF(
    AND($H70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($H70 / 1000) * Y$10 * $BA$4 * 0.25
    ),
    0
)
+
IF(
    $N70 &lt; 0.875,
    MAX(0, MIN(($H70 / 1000) * Y$10 * $BA$4, Y$11 * 0.876) - (Y$11 * $N70)) * 0.25,
    0
)</f>
        <v/>
      </c>
      <c r="Z70" s="115">
        <f t="array" ref="Z70">IF(
    AND($H70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($H70 / 1000) * Z$10 * $BA$4 * 0.25
    ),
    0
)
+
IF(
    $N70 &lt; 0.875,
    MAX(0, MIN(($H70 / 1000) * Z$10 * $BA$4, Z$11 * 0.876) - (Z$11 * $N70)) * 0.25,
    0
)</f>
        <v/>
      </c>
      <c r="AA70" s="116">
        <f>SUM(TabellaMar2026[[#This Row],[Colonna24]:[Colonna20]])</f>
        <v/>
      </c>
      <c r="AB70" s="117">
        <f>IF(
    AND($H70 &gt; $BA$7, Tabella01MarzoInverter[[#This Row],[Active power TX2-INV-1]] &lt;= 0, Tabella01MarzoInverter[[#This Row],[TX2 - Average Power]] &lt;= 0),
    MIN(($H70 / 1000) * AB$10 * $BA$4, AB$11 * 0.876) * 0.25,
    IF(
        AND($H70 &gt; $BA$7, Tabella01MarzoInverter[[#This Row],[Active power TX2-INV-1]] &lt;= 0),
        Tabella01MarzoInverter[[#This Row],[TX2 - Average Power]] * 0.25,
        0
    )
    +
    IF(
        $N70 &lt; 0.875,
        MAX(0, MIN(($H70 / 1000) * AB$10 * $BA$4, AB$11 * 0.876) - (AB$11 * $N70)) * 0.25,
        0
    )
)</f>
        <v/>
      </c>
      <c r="AC70" s="117">
        <f>IF(
    AND($H70 &gt; $BA$7, Tabella01MarzoInverter[[#This Row],[Active power TX2-INV-2]] &lt;= 0, Tabella01MarzoInverter[[#This Row],[TX2 - Max Power]] &lt;= 0),
    MIN(($H70 / 1000) * AC$10 * $BA$4, AC$11 * 0.876) * 0.25,
    IF(
        AND($H70 &gt; $BA$7, Tabella01MarzoInverter[[#This Row],[Active power TX2-INV-2]] &lt;= 0),
        Tabella01MarzoInverter[[#This Row],[TX2 - Max Power]] * 0.25,
        0
    )
    +
    IF(
        $N70 &lt; 0.875,
        MAX(0, MIN(($H70 / 1000) * AC$10 * $BA$4, AC$11 * 0.876) - (AC$11 * $N70)) * 0.25,
        0
    )
)</f>
        <v/>
      </c>
      <c r="AD70" s="117">
        <f>IF(
    AND($H70 &gt; $BA$7, Tabella01MarzoInverter[[#This Row],[Active power TX2-INV-3]] &lt;= 0, Tabella01MarzoInverter[[#This Row],[TX2 - Min Power]] &lt;= 0),
    MIN(($H70 / 1000) * AD$10 * $BA$4, AD$11 * 0.876) * 0.25,
    IF(
        AND($H70 &gt; $BA$7, Tabella01MarzoInverter[[#This Row],[Active power TX2-INV-3]] &lt;= 0),
        Tabella01MarzoInverter[[#This Row],[TX2 - Min Power]] * 0.25,
        0
    )
    +
    IF(
        $N70 &lt; 0.875,
        MAX(0, MIN(($H70 / 1000) * AD$10 * $BA$4, AD$11 * 0.876) - (AD$11 * $N70)) * 0.25,
        0
    )
)</f>
        <v/>
      </c>
      <c r="AE70" s="117">
        <f>IF(
    AND($H70 &gt; $BA$7, Tabella01MarzoInverter[[#This Row],[Active power TX2-INV-4]] &lt;= 0, Tabella01MarzoInverter[[#This Row],[Active power TX3-INV-1]] &lt;= 0),
    MIN(($H70 / 1000) * AE$10 * $BA$4, AE$11 * 0.876) * 0.25,
    IF(
        AND($H70 &gt; $BA$7, Tabella01MarzoInverter[[#This Row],[Active power TX2-INV-4]] &lt;= 0),
        Tabella01MarzoInverter[[#This Row],[Active power TX3-INV-1]] * 0.25,
        0
    )
    +
    IF(
        $N70 &lt; 0.875,
        MAX(0, MIN(($H70 / 1000) * AE$10 * $BA$4, AE$11 * 0.876) - (AE$11 * $N70)) * 0.25,
        0
    )
)</f>
        <v/>
      </c>
      <c r="AF70" s="117">
        <f>IF(
    AND($H70 &gt; $BA$7, Tabella01MarzoInverter[[#This Row],[Active power TX2-INV-5]] &lt;= 0, Tabella01MarzoInverter[[#This Row],[Active power TX3-INV-2]] &lt;= 0),
    MIN(($H70 / 1000) * AF$10 * $BA$4, AF$11 * 0.876) * 0.25,
    IF(
        AND($H70 &gt; $BA$7, Tabella01MarzoInverter[[#This Row],[Active power TX2-INV-5]] &lt;= 0),
        Tabella01MarzoInverter[[#This Row],[Active power TX3-INV-2]] * 0.25,
        0
    )
    +
    IF(
        $N70 &lt; 0.875,
        MAX(0, MIN(($H70 / 1000) * AF$10 * $BA$4, AF$11 * 0.876) - (AF$11 * $N70)) * 0.25,
        0
    )
)</f>
        <v/>
      </c>
      <c r="AG70" s="117">
        <f>IF(
    AND($H70 &gt; $BA$7, Tabella01MarzoInverter[[#This Row],[Active power TX2-INV-6]] &lt;= 0, Tabella01MarzoInverter[[#This Row],[Active power TX3-INV-3]] &lt;= 0),
    MIN(($H70 / 1000) * AG$10 * $BA$4, AG$11 * 0.876) * 0.25,
    IF(
        AND($H70 &gt; $BA$7, Tabella01MarzoInverter[[#This Row],[Active power TX2-INV-6]] &lt;= 0),
        Tabella01MarzoInverter[[#This Row],[Active power TX3-INV-3]] * 0.25,
        0
    )
    +
    IF(
        $N70 &lt; 0.875,
        MAX(0, MIN(($H70 / 1000) * AG$10 * $BA$4, AG$11 * 0.876) - (AG$11 * $N70)) * 0.25,
        0
    )
)</f>
        <v/>
      </c>
      <c r="AH70" s="117">
        <f>IF(
    AND($H70 &gt; $BA$7, Tabella01MarzoInverter[[#This Row],[Active power TX2-INV-7]] &lt;= 0, Tabella01MarzoInverter[[#This Row],[Active power TX3-INV-4]] &lt;= 0),
    MIN(($H70 / 1000) * AH$10 * $BA$4, AH$11 * 0.876) * 0.25,
    IF(
        AND($H70 &gt; $BA$7, Tabella01MarzoInverter[[#This Row],[Active power TX2-INV-7]] &lt;= 0),
        Tabella01MarzoInverter[[#This Row],[Active power TX3-INV-4]] * 0.25,
        0
    )
    +
    IF(
        $N70 &lt; 0.875,
        MAX(0, MIN(($H70 / 1000) * AH$10 * $BA$4, AH$11 * 0.876) - (AH$11 * $N70)) * 0.25,
        0
    )
)</f>
        <v/>
      </c>
      <c r="AI70" s="117">
        <f>IF(
    AND($H70 &gt; $BA$7, Tabella01MarzoInverter[[#This Row],[Active power TX2-INV-8]] &lt;= 0, Tabella01MarzoInverter[[#This Row],[Active power TX3-INV-5]] &lt;= 0),
    MIN(($H70 / 1000) * AI$10 * $BA$4, AI$11 * 0.876) * 0.25,
    IF(
        AND($H70 &gt; $BA$7, Tabella01MarzoInverter[[#This Row],[Active power TX2-INV-8]] &lt;= 0),
        Tabella01MarzoInverter[[#This Row],[Active power TX3-INV-5]] * 0.25,
        0
    )
    +
    IF(
        $N70 &lt; 0.875,
        MAX(0, MIN(($H70 / 1000) * AI$10 * $BA$4, AI$11 * 0.876) - (AI$11 * $N70)) * 0.25,
        0
    )
)</f>
        <v/>
      </c>
      <c r="AJ70" s="117">
        <f>IF(
    AND($H70 &gt; $BA$7, Tabella01MarzoInverter[[#This Row],[Active power TX2-INV-9]] &lt;= 0, Tabella01MarzoInverter[[#This Row],[Active power TX3-INV-6]] &lt;= 0),
    MIN(($H70 / 1000) * AJ$10 * $BA$4, AJ$11 * 0.876) * 0.25,
    IF(
        AND($H70 &gt; $BA$7, Tabella01MarzoInverter[[#This Row],[Active power TX2-INV-9]] &lt;= 0),
        Tabella01MarzoInverter[[#This Row],[Active power TX3-INV-6]] * 0.25,
        0
    )
    +
    IF(
        $N70 &lt; 0.875,
        MAX(0, MIN(($H70 / 1000) * AJ$10 * $BA$4, AJ$11 * 0.876) - (AJ$11 * $N70)) * 0.25,
        0
    )
)</f>
        <v/>
      </c>
      <c r="AK70" s="117">
        <f>IF(
    AND($H70 &gt; $BA$7, Tabella01MarzoInverter[[#This Row],[Active power TX2-INV-10]] &lt;= 0, Tabella01MarzoInverter[[#This Row],[Active power TX3-INV-7]] &lt;= 0),
    MIN(($H70 / 1000) * AK$10 * $BA$4, AK$11 * 0.876) * 0.25,
    IF(
        AND($H70 &gt; $BA$7, Tabella01MarzoInverter[[#This Row],[Active power TX2-INV-10]] &lt;= 0),
        Tabella01MarzoInverter[[#This Row],[Active power TX3-INV-7]] * 0.25,
        0
    )
    +
    IF(
        $N70 &lt; 0.875,
        MAX(0, MIN(($H70 / 1000) * AK$10 * $BA$4, AK$11 * 0.876) - (AK$11 * $N70)) * 0.25,
        0
    )
)</f>
        <v/>
      </c>
      <c r="AL70" s="117">
        <f>IF(
    AND($H70 &gt; $BA$7, Tabella01MarzoInverter[[#This Row],[Active power TX2-INV-11]] &lt;= 0, Tabella01MarzoInverter[[#This Row],[Active power TX3-INV-8]] &lt;= 0),
    MIN(($H70 / 1000) * AL$10 * $BA$4, AL$11 * 0.876) * 0.25,
    IF(
        AND($H70 &gt; $BA$7, Tabella01MarzoInverter[[#This Row],[Active power TX2-INV-11]] &lt;= 0),
        Tabella01MarzoInverter[[#This Row],[Active power TX3-INV-8]] * 0.25,
        0
    )
    +
    IF(
        $N70 &lt; 0.875,
        MAX(0, MIN(($H70 / 1000) * AL$10 * $BA$4, AL$11 * 0.876) - (AL$11 * $N70)) * 0.25,
        0
    )
)</f>
        <v/>
      </c>
      <c r="AM70" s="117">
        <f>IF(
    AND($H70 &gt; $BA$7, Tabella01MarzoInverter[[#This Row],[Active power TX2-INV-12]] &lt;= 0, Tabella01MarzoInverter[[#This Row],[Active power TX3-INV-9]] &lt;= 0),
    MIN(($H70 / 1000) * AM$10 * $BA$4, AM$11 * 0.876) * 0.25,
    IF(
        AND($H70 &gt; $BA$7, Tabella01MarzoInverter[[#This Row],[Active power TX2-INV-12]] &lt;= 0),
        Tabella01MarzoInverter[[#This Row],[Active power TX3-INV-9]] * 0.25,
        0
    )
    +
    IF(
        $N70 &lt; 0.875,
        MAX(0, MIN(($H70 / 1000) * AM$10 * $BA$4, AM$11 * 0.876) - (AM$11 * $N70)) * 0.25,
        0
    )
)</f>
        <v/>
      </c>
      <c r="AN70" s="118">
        <f>SUM(TabellaMar2026[[#This Row],[Colonna39]:[Colonna6]])</f>
        <v/>
      </c>
      <c r="AO70" s="117">
        <f t="array" ref="AO70">IF(
    AND($H70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($H70 / 1000) * AO$10 * $BA$4 * 0.25
    ),
    0
)
+
IF(
    $N70 &lt; 0.875,
    MAX(0, MIN(($H70 / 1000) * AO$10 * $BA$4, AO$11 * 0.876) - (AO$11 * $N70)) * 0.25,
    0
)</f>
        <v/>
      </c>
      <c r="AP70" s="117">
        <f t="array" ref="AP70">IF(
    AND($H70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($H70 / 1000) * AP$10 * $BA$4 * 0.25
    ),
    0
)
+
IF(
    $N70 &lt; 0.875,
    MAX(0, MIN(($H70 / 1000) * AP$10 * $BA$4, AP$11 * 0.876) - (AP$11 * $N70)) * 0.25,
    0
)</f>
        <v/>
      </c>
      <c r="AQ70" s="117">
        <f t="array" ref="AQ70">IF(
    AND($H70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($H70 / 1000) * AQ$10 * $BA$4 * 0.25
    ),
    0
)
+
IF(
    $N70 &lt; 0.875,
    MAX(0, MIN(($H70 / 1000) * AQ$10 * $BA$4, AQ$11 * 0.876) - (AQ$11 * $N70)) * 0.25,
    0
)</f>
        <v/>
      </c>
      <c r="AR70" s="117">
        <f t="array" ref="AR70">IF(
    AND($H70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($H70 / 1000) * AR$10 * $BA$4 * 0.25
    ),
    0
)
+
IF(
    $N70 &lt; 0.875,
    MAX(0, MIN(($H70 / 1000) * AR$10 * $BA$4, AR$11 * 0.876) - (AR$11 * $N70)) * 0.25,
    0
)</f>
        <v/>
      </c>
      <c r="AS70" s="117">
        <f t="array" ref="AS70">IF(
    AND($H70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($H70 / 1000) * AS$10 * $BA$4 * 0.25
    ),
    0
)
+
IF(
    $N70 &lt; 0.875,
    MAX(0, MIN(($H70 / 1000) * AS$10 * $BA$4, AS$11 * 0.876) - (AS$11 * $N70)) * 0.25,
    0
)</f>
        <v/>
      </c>
      <c r="AT70" s="117">
        <f t="array" ref="AT70">IF(
    AND($H70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($H70 / 1000) * AT$10 * $BA$4 * 0.25
    ),
    0
)
+
IF(
    $N70 &lt; 0.875,
    MAX(0, MIN(($H70 / 1000) * AT$10 * $BA$4, AT$11 * 0.876) - (AT$11 * $N70)) * 0.25,
    0
)</f>
        <v/>
      </c>
      <c r="AU70" s="117">
        <f t="array" ref="AU70">IF(
    AND($H70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($H70 / 1000) * AU$10 * $BA$4 * 0.25
    ),
    0
)
+
IF(
    $N70 &lt; 0.875,
    MAX(0, MIN(($H70 / 1000) * AU$10 * $BA$4, AU$11 * 0.876) - (AU$11 * $N70)) * 0.25,
    0
)</f>
        <v/>
      </c>
      <c r="AV70" s="117">
        <f t="array" ref="AV70">IF(
    AND($H70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($H70 / 1000) * AV$10 * $BA$4 * 0.25
    ),
    0
)
+
IF(
    $N70 &lt; 0.875,
    MAX(0, MIN(($H70 / 1000) * AV$10 * $BA$4, AV$11 * 0.876) - (AV$11 * $N70)) * 0.25,
    0
)</f>
        <v/>
      </c>
      <c r="AW70" s="117">
        <f t="array" ref="AW70">IF(
    AND($H70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($H70 / 1000) * AW$10 * $BA$4 * 0.25
    ),
    0
)
+
IF(
    $N70 &lt; 0.875,
    MAX(0, MIN(($H70 / 1000) * AW$10 * $BA$4, AW$11 * 0.876) - (AW$11 * $N70)) * 0.25,
    0
)</f>
        <v/>
      </c>
      <c r="AX70" s="117">
        <f t="array" ref="AX70">IF(
    AND($H70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($H70 / 1000) * AX$10 * $BA$4 * 0.25
    ),
    0
)
+
IF(
    $N70 &lt; 0.875,
    MAX(0, MIN(($H70 / 1000) * AX$10 * $BA$4, AX$11 * 0.876) - (AX$11 * $N70)) * 0.25,
    0
)</f>
        <v/>
      </c>
      <c r="AY70" s="117">
        <f t="array" ref="AY70">IF(
    AND($H70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($H70 / 1000) * AY$10 * $BA$4 * 0.25
    ),
    0
)
+
IF(
    $N70 &lt; 0.875,
    MAX(0, MIN(($H70 / 1000) * AY$10 * $BA$4, AY$11 * 0.876) - (AY$11 * $N70)) * 0.25,
    0
)</f>
        <v/>
      </c>
      <c r="AZ70" s="117">
        <f t="array" ref="AZ70">IF(
    AND($H70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($H70 / 1000) * AZ$10 * $BA$4 * 0.25
    ),
    0
)
+
IF(
    $N70 &lt; 0.875,
    MAX(0, MIN(($H70 / 1000) * AZ$10 * $BA$4, AZ$11 * 0.876) - (AZ$11 * $N70)) * 0.25,
    0
)</f>
        <v/>
      </c>
      <c r="BA70" s="119">
        <f>SUM(TabellaMar2026[[#This Row],[Colonna54]:[Colonna53]])</f>
        <v/>
      </c>
    </row>
    <row r="71">
      <c r="A71" s="112" t="n">
        <v>46143</v>
      </c>
      <c r="B71" t="inlineStr">
        <is>
          <t>14:00:00.000</t>
        </is>
      </c>
      <c r="C71" s="2" t="n">
        <v>963.8</v>
      </c>
      <c r="D71" s="113" t="n">
        <v>0.24095</v>
      </c>
      <c r="E71" s="113" t="n">
        <v>934.9</v>
      </c>
      <c r="F71" s="113" t="n">
        <v>0.233725</v>
      </c>
      <c r="G71" s="113">
        <f>IFERROR((D71+F71)/2, 0)</f>
        <v/>
      </c>
      <c r="H71" s="114">
        <f>IFERROR(IF(AVERAGE(C71,E71)&gt;$BA$7,AVERAGE(C71,E71),0), 0)</f>
        <v/>
      </c>
      <c r="I71" s="114">
        <f>IFERROR(IF(AND(D71=0,F71=0),0,IF(H71&gt;$BA$6,MAX(D71,F71),G71)), 0)</f>
        <v/>
      </c>
      <c r="J71" s="113">
        <f>IFERROR(IF(AND(D71&gt;0,F71&gt;0),ABS(D71-F71)/AVERAGE(D71,F71),0), 0)</f>
        <v/>
      </c>
      <c r="K71" s="113" t="n">
        <v>30131.6</v>
      </c>
      <c r="L71" s="113" t="n">
        <v>30131.6</v>
      </c>
      <c r="M71" s="115">
        <f>IFERROR((L71-K71)*1000, 0)</f>
        <v/>
      </c>
      <c r="N71" s="113" t="n">
        <v>0.0007000000000000001</v>
      </c>
      <c r="O71" s="115">
        <f t="array" ref="O71">IF(
    AND($H71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($H71 / 1000) * O$10 * $BA$4 * 0.25
    ),
    0
)
+
IF(
    $N71 &lt; 0.875,
    MAX(0, MIN(($H71 / 1000) * O$10 * $BA$4, O$11 * 0.876) - (O$11 * $N71)) * 0.25,
    0
)</f>
        <v/>
      </c>
      <c r="P71" s="115">
        <f t="array" ref="P71">IF(
    AND($H71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($H71 / 1000) * P$10 * $BA$4 * 0.25
    ),
    0
)
+
IF(
    $N71 &lt; 0.875,
    MAX(0, MIN(($H71 / 1000) * P$10 * $BA$4, P$11 * 0.876) - (P$11 * $N71)) * 0.25,
    0
)</f>
        <v/>
      </c>
      <c r="Q71" s="115">
        <f t="array" ref="Q71">IF(
    AND($H71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($H71 / 1000) * Q$10 * $BA$4 * 0.25
    ),
    0
)
+
IF(
    $N71 &lt; 0.875,
    MAX(0, MIN(($H71 / 1000) * Q$10 * $BA$4, Q$11 * 0.876) - (Q$11 * $N71)) * 0.25,
    0
)</f>
        <v/>
      </c>
      <c r="R71" s="115">
        <f t="array" ref="R71">IF(
    AND($H71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($H71 / 1000) * R$10 * $BA$4 * 0.25
    ),
    0
)
+
IF(
    $N71 &lt; 0.875,
    MAX(0, MIN(($H71 / 1000) * R$10 * $BA$4, R$11 * 0.876) - (R$11 * $N71)) * 0.25,
    0
)</f>
        <v/>
      </c>
      <c r="S71" s="115">
        <f t="array" ref="S71">IF(
    AND($H71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($H71 / 1000) * S$10 * $BA$4 * 0.25
    ),
    0
)
+
IF(
    $N71 &lt; 0.875,
    MAX(0, MIN(($H71 / 1000) * S$10 * $BA$4, S$11 * 0.876) - (S$11 * $N71)) * 0.25,
    0
)</f>
        <v/>
      </c>
      <c r="T71" s="115">
        <f t="array" ref="T71">IF(
    AND($H71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($H71 / 1000) * T$10 * $BA$4 * 0.25
    ),
    0
)
+
IF(
    $N71 &lt; 0.875,
    MAX(0, MIN(($H71 / 1000) * T$10 * $BA$4, T$11 * 0.876) - (T$11 * $N71)) * 0.25,
    0
)</f>
        <v/>
      </c>
      <c r="U71" s="115">
        <f t="array" ref="U71">IF(
    AND($H71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($H71 / 1000) * U$10 * $BA$4 * 0.25
    ),
    0
)
+
IF(
    $N71 &lt; 0.875,
    MAX(0, MIN(($H71 / 1000) * U$10 * $BA$4, U$11 * 0.876) - (U$11 * $N71)) * 0.25,
    0
)</f>
        <v/>
      </c>
      <c r="V71" s="115">
        <f t="array" ref="V71">IF(
    AND($H71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($H71 / 1000) * V$10 * $BA$4 * 0.25
    ),
    0
)
+
IF(
    $N71 &lt; 0.875,
    MAX(0, MIN(($H71 / 1000) * V$10 * $BA$4, V$11 * 0.876) - (V$11 * $N71)) * 0.25,
    0
)</f>
        <v/>
      </c>
      <c r="W71" s="115">
        <f t="array" ref="W71">IF(
    AND($H71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($H71 / 1000) * W$10 * $BA$4 * 0.25
    ),
    0
)
+
IF(
    $N71 &lt; 0.875,
    MAX(0, MIN(($H71 / 1000) * W$10 * $BA$4, W$11 * 0.876) - (W$11 * $N71)) * 0.25,
    0
)</f>
        <v/>
      </c>
      <c r="X71" s="115">
        <f t="array" ref="X71">IF(
    AND($H71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($H71 / 1000) * X$10 * $BA$4 * 0.25
    ),
    0
)
+
IF(
    $N71 &lt; 0.875,
    MAX(0, MIN(($H71 / 1000) * X$10 * $BA$4, X$11 * 0.876) - (X$11 * $N71)) * 0.25,
    0
)</f>
        <v/>
      </c>
      <c r="Y71" s="115">
        <f t="array" ref="Y71">IF(
    AND($H71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($H71 / 1000) * Y$10 * $BA$4 * 0.25
    ),
    0
)
+
IF(
    $N71 &lt; 0.875,
    MAX(0, MIN(($H71 / 1000) * Y$10 * $BA$4, Y$11 * 0.876) - (Y$11 * $N71)) * 0.25,
    0
)</f>
        <v/>
      </c>
      <c r="Z71" s="115">
        <f t="array" ref="Z71">IF(
    AND($H71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($H71 / 1000) * Z$10 * $BA$4 * 0.25
    ),
    0
)
+
IF(
    $N71 &lt; 0.875,
    MAX(0, MIN(($H71 / 1000) * Z$10 * $BA$4, Z$11 * 0.876) - (Z$11 * $N71)) * 0.25,
    0
)</f>
        <v/>
      </c>
      <c r="AA71" s="116">
        <f>SUM(TabellaMar2026[[#This Row],[Colonna24]:[Colonna20]])</f>
        <v/>
      </c>
      <c r="AB71" s="117">
        <f>IF(
    AND($H71 &gt; $BA$7, Tabella01MarzoInverter[[#This Row],[Active power TX2-INV-1]] &lt;= 0, Tabella01MarzoInverter[[#This Row],[TX2 - Average Power]] &lt;= 0),
    MIN(($H71 / 1000) * AB$10 * $BA$4, AB$11 * 0.876) * 0.25,
    IF(
        AND($H71 &gt; $BA$7, Tabella01MarzoInverter[[#This Row],[Active power TX2-INV-1]] &lt;= 0),
        Tabella01MarzoInverter[[#This Row],[TX2 - Average Power]] * 0.25,
        0
    )
    +
    IF(
        $N71 &lt; 0.875,
        MAX(0, MIN(($H71 / 1000) * AB$10 * $BA$4, AB$11 * 0.876) - (AB$11 * $N71)) * 0.25,
        0
    )
)</f>
        <v/>
      </c>
      <c r="AC71" s="117">
        <f>IF(
    AND($H71 &gt; $BA$7, Tabella01MarzoInverter[[#This Row],[Active power TX2-INV-2]] &lt;= 0, Tabella01MarzoInverter[[#This Row],[TX2 - Max Power]] &lt;= 0),
    MIN(($H71 / 1000) * AC$10 * $BA$4, AC$11 * 0.876) * 0.25,
    IF(
        AND($H71 &gt; $BA$7, Tabella01MarzoInverter[[#This Row],[Active power TX2-INV-2]] &lt;= 0),
        Tabella01MarzoInverter[[#This Row],[TX2 - Max Power]] * 0.25,
        0
    )
    +
    IF(
        $N71 &lt; 0.875,
        MAX(0, MIN(($H71 / 1000) * AC$10 * $BA$4, AC$11 * 0.876) - (AC$11 * $N71)) * 0.25,
        0
    )
)</f>
        <v/>
      </c>
      <c r="AD71" s="117">
        <f>IF(
    AND($H71 &gt; $BA$7, Tabella01MarzoInverter[[#This Row],[Active power TX2-INV-3]] &lt;= 0, Tabella01MarzoInverter[[#This Row],[TX2 - Min Power]] &lt;= 0),
    MIN(($H71 / 1000) * AD$10 * $BA$4, AD$11 * 0.876) * 0.25,
    IF(
        AND($H71 &gt; $BA$7, Tabella01MarzoInverter[[#This Row],[Active power TX2-INV-3]] &lt;= 0),
        Tabella01MarzoInverter[[#This Row],[TX2 - Min Power]] * 0.25,
        0
    )
    +
    IF(
        $N71 &lt; 0.875,
        MAX(0, MIN(($H71 / 1000) * AD$10 * $BA$4, AD$11 * 0.876) - (AD$11 * $N71)) * 0.25,
        0
    )
)</f>
        <v/>
      </c>
      <c r="AE71" s="117">
        <f>IF(
    AND($H71 &gt; $BA$7, Tabella01MarzoInverter[[#This Row],[Active power TX2-INV-4]] &lt;= 0, Tabella01MarzoInverter[[#This Row],[Active power TX3-INV-1]] &lt;= 0),
    MIN(($H71 / 1000) * AE$10 * $BA$4, AE$11 * 0.876) * 0.25,
    IF(
        AND($H71 &gt; $BA$7, Tabella01MarzoInverter[[#This Row],[Active power TX2-INV-4]] &lt;= 0),
        Tabella01MarzoInverter[[#This Row],[Active power TX3-INV-1]] * 0.25,
        0
    )
    +
    IF(
        $N71 &lt; 0.875,
        MAX(0, MIN(($H71 / 1000) * AE$10 * $BA$4, AE$11 * 0.876) - (AE$11 * $N71)) * 0.25,
        0
    )
)</f>
        <v/>
      </c>
      <c r="AF71" s="117">
        <f>IF(
    AND($H71 &gt; $BA$7, Tabella01MarzoInverter[[#This Row],[Active power TX2-INV-5]] &lt;= 0, Tabella01MarzoInverter[[#This Row],[Active power TX3-INV-2]] &lt;= 0),
    MIN(($H71 / 1000) * AF$10 * $BA$4, AF$11 * 0.876) * 0.25,
    IF(
        AND($H71 &gt; $BA$7, Tabella01MarzoInverter[[#This Row],[Active power TX2-INV-5]] &lt;= 0),
        Tabella01MarzoInverter[[#This Row],[Active power TX3-INV-2]] * 0.25,
        0
    )
    +
    IF(
        $N71 &lt; 0.875,
        MAX(0, MIN(($H71 / 1000) * AF$10 * $BA$4, AF$11 * 0.876) - (AF$11 * $N71)) * 0.25,
        0
    )
)</f>
        <v/>
      </c>
      <c r="AG71" s="117">
        <f>IF(
    AND($H71 &gt; $BA$7, Tabella01MarzoInverter[[#This Row],[Active power TX2-INV-6]] &lt;= 0, Tabella01MarzoInverter[[#This Row],[Active power TX3-INV-3]] &lt;= 0),
    MIN(($H71 / 1000) * AG$10 * $BA$4, AG$11 * 0.876) * 0.25,
    IF(
        AND($H71 &gt; $BA$7, Tabella01MarzoInverter[[#This Row],[Active power TX2-INV-6]] &lt;= 0),
        Tabella01MarzoInverter[[#This Row],[Active power TX3-INV-3]] * 0.25,
        0
    )
    +
    IF(
        $N71 &lt; 0.875,
        MAX(0, MIN(($H71 / 1000) * AG$10 * $BA$4, AG$11 * 0.876) - (AG$11 * $N71)) * 0.25,
        0
    )
)</f>
        <v/>
      </c>
      <c r="AH71" s="117">
        <f>IF(
    AND($H71 &gt; $BA$7, Tabella01MarzoInverter[[#This Row],[Active power TX2-INV-7]] &lt;= 0, Tabella01MarzoInverter[[#This Row],[Active power TX3-INV-4]] &lt;= 0),
    MIN(($H71 / 1000) * AH$10 * $BA$4, AH$11 * 0.876) * 0.25,
    IF(
        AND($H71 &gt; $BA$7, Tabella01MarzoInverter[[#This Row],[Active power TX2-INV-7]] &lt;= 0),
        Tabella01MarzoInverter[[#This Row],[Active power TX3-INV-4]] * 0.25,
        0
    )
    +
    IF(
        $N71 &lt; 0.875,
        MAX(0, MIN(($H71 / 1000) * AH$10 * $BA$4, AH$11 * 0.876) - (AH$11 * $N71)) * 0.25,
        0
    )
)</f>
        <v/>
      </c>
      <c r="AI71" s="117">
        <f>IF(
    AND($H71 &gt; $BA$7, Tabella01MarzoInverter[[#This Row],[Active power TX2-INV-8]] &lt;= 0, Tabella01MarzoInverter[[#This Row],[Active power TX3-INV-5]] &lt;= 0),
    MIN(($H71 / 1000) * AI$10 * $BA$4, AI$11 * 0.876) * 0.25,
    IF(
        AND($H71 &gt; $BA$7, Tabella01MarzoInverter[[#This Row],[Active power TX2-INV-8]] &lt;= 0),
        Tabella01MarzoInverter[[#This Row],[Active power TX3-INV-5]] * 0.25,
        0
    )
    +
    IF(
        $N71 &lt; 0.875,
        MAX(0, MIN(($H71 / 1000) * AI$10 * $BA$4, AI$11 * 0.876) - (AI$11 * $N71)) * 0.25,
        0
    )
)</f>
        <v/>
      </c>
      <c r="AJ71" s="117">
        <f>IF(
    AND($H71 &gt; $BA$7, Tabella01MarzoInverter[[#This Row],[Active power TX2-INV-9]] &lt;= 0, Tabella01MarzoInverter[[#This Row],[Active power TX3-INV-6]] &lt;= 0),
    MIN(($H71 / 1000) * AJ$10 * $BA$4, AJ$11 * 0.876) * 0.25,
    IF(
        AND($H71 &gt; $BA$7, Tabella01MarzoInverter[[#This Row],[Active power TX2-INV-9]] &lt;= 0),
        Tabella01MarzoInverter[[#This Row],[Active power TX3-INV-6]] * 0.25,
        0
    )
    +
    IF(
        $N71 &lt; 0.875,
        MAX(0, MIN(($H71 / 1000) * AJ$10 * $BA$4, AJ$11 * 0.876) - (AJ$11 * $N71)) * 0.25,
        0
    )
)</f>
        <v/>
      </c>
      <c r="AK71" s="117">
        <f>IF(
    AND($H71 &gt; $BA$7, Tabella01MarzoInverter[[#This Row],[Active power TX2-INV-10]] &lt;= 0, Tabella01MarzoInverter[[#This Row],[Active power TX3-INV-7]] &lt;= 0),
    MIN(($H71 / 1000) * AK$10 * $BA$4, AK$11 * 0.876) * 0.25,
    IF(
        AND($H71 &gt; $BA$7, Tabella01MarzoInverter[[#This Row],[Active power TX2-INV-10]] &lt;= 0),
        Tabella01MarzoInverter[[#This Row],[Active power TX3-INV-7]] * 0.25,
        0
    )
    +
    IF(
        $N71 &lt; 0.875,
        MAX(0, MIN(($H71 / 1000) * AK$10 * $BA$4, AK$11 * 0.876) - (AK$11 * $N71)) * 0.25,
        0
    )
)</f>
        <v/>
      </c>
      <c r="AL71" s="117">
        <f>IF(
    AND($H71 &gt; $BA$7, Tabella01MarzoInverter[[#This Row],[Active power TX2-INV-11]] &lt;= 0, Tabella01MarzoInverter[[#This Row],[Active power TX3-INV-8]] &lt;= 0),
    MIN(($H71 / 1000) * AL$10 * $BA$4, AL$11 * 0.876) * 0.25,
    IF(
        AND($H71 &gt; $BA$7, Tabella01MarzoInverter[[#This Row],[Active power TX2-INV-11]] &lt;= 0),
        Tabella01MarzoInverter[[#This Row],[Active power TX3-INV-8]] * 0.25,
        0
    )
    +
    IF(
        $N71 &lt; 0.875,
        MAX(0, MIN(($H71 / 1000) * AL$10 * $BA$4, AL$11 * 0.876) - (AL$11 * $N71)) * 0.25,
        0
    )
)</f>
        <v/>
      </c>
      <c r="AM71" s="117">
        <f>IF(
    AND($H71 &gt; $BA$7, Tabella01MarzoInverter[[#This Row],[Active power TX2-INV-12]] &lt;= 0, Tabella01MarzoInverter[[#This Row],[Active power TX3-INV-9]] &lt;= 0),
    MIN(($H71 / 1000) * AM$10 * $BA$4, AM$11 * 0.876) * 0.25,
    IF(
        AND($H71 &gt; $BA$7, Tabella01MarzoInverter[[#This Row],[Active power TX2-INV-12]] &lt;= 0),
        Tabella01MarzoInverter[[#This Row],[Active power TX3-INV-9]] * 0.25,
        0
    )
    +
    IF(
        $N71 &lt; 0.875,
        MAX(0, MIN(($H71 / 1000) * AM$10 * $BA$4, AM$11 * 0.876) - (AM$11 * $N71)) * 0.25,
        0
    )
)</f>
        <v/>
      </c>
      <c r="AN71" s="118">
        <f>SUM(TabellaMar2026[[#This Row],[Colonna39]:[Colonna6]])</f>
        <v/>
      </c>
      <c r="AO71" s="117">
        <f t="array" ref="AO71">IF(
    AND($H71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($H71 / 1000) * AO$10 * $BA$4 * 0.25
    ),
    0
)
+
IF(
    $N71 &lt; 0.875,
    MAX(0, MIN(($H71 / 1000) * AO$10 * $BA$4, AO$11 * 0.876) - (AO$11 * $N71)) * 0.25,
    0
)</f>
        <v/>
      </c>
      <c r="AP71" s="117">
        <f t="array" ref="AP71">IF(
    AND($H71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($H71 / 1000) * AP$10 * $BA$4 * 0.25
    ),
    0
)
+
IF(
    $N71 &lt; 0.875,
    MAX(0, MIN(($H71 / 1000) * AP$10 * $BA$4, AP$11 * 0.876) - (AP$11 * $N71)) * 0.25,
    0
)</f>
        <v/>
      </c>
      <c r="AQ71" s="117">
        <f t="array" ref="AQ71">IF(
    AND($H71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($H71 / 1000) * AQ$10 * $BA$4 * 0.25
    ),
    0
)
+
IF(
    $N71 &lt; 0.875,
    MAX(0, MIN(($H71 / 1000) * AQ$10 * $BA$4, AQ$11 * 0.876) - (AQ$11 * $N71)) * 0.25,
    0
)</f>
        <v/>
      </c>
      <c r="AR71" s="117">
        <f t="array" ref="AR71">IF(
    AND($H71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($H71 / 1000) * AR$10 * $BA$4 * 0.25
    ),
    0
)
+
IF(
    $N71 &lt; 0.875,
    MAX(0, MIN(($H71 / 1000) * AR$10 * $BA$4, AR$11 * 0.876) - (AR$11 * $N71)) * 0.25,
    0
)</f>
        <v/>
      </c>
      <c r="AS71" s="117">
        <f t="array" ref="AS71">IF(
    AND($H71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($H71 / 1000) * AS$10 * $BA$4 * 0.25
    ),
    0
)
+
IF(
    $N71 &lt; 0.875,
    MAX(0, MIN(($H71 / 1000) * AS$10 * $BA$4, AS$11 * 0.876) - (AS$11 * $N71)) * 0.25,
    0
)</f>
        <v/>
      </c>
      <c r="AT71" s="117">
        <f t="array" ref="AT71">IF(
    AND($H71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($H71 / 1000) * AT$10 * $BA$4 * 0.25
    ),
    0
)
+
IF(
    $N71 &lt; 0.875,
    MAX(0, MIN(($H71 / 1000) * AT$10 * $BA$4, AT$11 * 0.876) - (AT$11 * $N71)) * 0.25,
    0
)</f>
        <v/>
      </c>
      <c r="AU71" s="117">
        <f t="array" ref="AU71">IF(
    AND($H71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($H71 / 1000) * AU$10 * $BA$4 * 0.25
    ),
    0
)
+
IF(
    $N71 &lt; 0.875,
    MAX(0, MIN(($H71 / 1000) * AU$10 * $BA$4, AU$11 * 0.876) - (AU$11 * $N71)) * 0.25,
    0
)</f>
        <v/>
      </c>
      <c r="AV71" s="117">
        <f t="array" ref="AV71">IF(
    AND($H71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($H71 / 1000) * AV$10 * $BA$4 * 0.25
    ),
    0
)
+
IF(
    $N71 &lt; 0.875,
    MAX(0, MIN(($H71 / 1000) * AV$10 * $BA$4, AV$11 * 0.876) - (AV$11 * $N71)) * 0.25,
    0
)</f>
        <v/>
      </c>
      <c r="AW71" s="117">
        <f t="array" ref="AW71">IF(
    AND($H71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($H71 / 1000) * AW$10 * $BA$4 * 0.25
    ),
    0
)
+
IF(
    $N71 &lt; 0.875,
    MAX(0, MIN(($H71 / 1000) * AW$10 * $BA$4, AW$11 * 0.876) - (AW$11 * $N71)) * 0.25,
    0
)</f>
        <v/>
      </c>
      <c r="AX71" s="117">
        <f t="array" ref="AX71">IF(
    AND($H71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($H71 / 1000) * AX$10 * $BA$4 * 0.25
    ),
    0
)
+
IF(
    $N71 &lt; 0.875,
    MAX(0, MIN(($H71 / 1000) * AX$10 * $BA$4, AX$11 * 0.876) - (AX$11 * $N71)) * 0.25,
    0
)</f>
        <v/>
      </c>
      <c r="AY71" s="117">
        <f t="array" ref="AY71">IF(
    AND($H71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($H71 / 1000) * AY$10 * $BA$4 * 0.25
    ),
    0
)
+
IF(
    $N71 &lt; 0.875,
    MAX(0, MIN(($H71 / 1000) * AY$10 * $BA$4, AY$11 * 0.876) - (AY$11 * $N71)) * 0.25,
    0
)</f>
        <v/>
      </c>
      <c r="AZ71" s="117">
        <f t="array" ref="AZ71">IF(
    AND($H71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($H71 / 1000) * AZ$10 * $BA$4 * 0.25
    ),
    0
)
+
IF(
    $N71 &lt; 0.875,
    MAX(0, MIN(($H71 / 1000) * AZ$10 * $BA$4, AZ$11 * 0.876) - (AZ$11 * $N71)) * 0.25,
    0
)</f>
        <v/>
      </c>
      <c r="BA71" s="119">
        <f>SUM(TabellaMar2026[[#This Row],[Colonna54]:[Colonna53]])</f>
        <v/>
      </c>
    </row>
    <row r="72">
      <c r="A72" s="112" t="n">
        <v>46143</v>
      </c>
      <c r="B72" t="inlineStr">
        <is>
          <t>14:15:00.000</t>
        </is>
      </c>
      <c r="C72" s="2" t="n">
        <v>864.2</v>
      </c>
      <c r="D72" s="113" t="n">
        <v>0.21605</v>
      </c>
      <c r="E72" s="113" t="n">
        <v>838.4</v>
      </c>
      <c r="F72" s="113" t="n">
        <v>0.2096</v>
      </c>
      <c r="G72" s="113">
        <f>IFERROR((D72+F72)/2, 0)</f>
        <v/>
      </c>
      <c r="H72" s="114">
        <f>IFERROR(IF(AVERAGE(C72,E72)&gt;$BA$7,AVERAGE(C72,E72),0), 0)</f>
        <v/>
      </c>
      <c r="I72" s="114">
        <f>IFERROR(IF(AND(D72=0,F72=0),0,IF(H72&gt;$BA$6,MAX(D72,F72),G72)), 0)</f>
        <v/>
      </c>
      <c r="J72" s="113">
        <f>IFERROR(IF(AND(D72&gt;0,F72&gt;0),ABS(D72-F72)/AVERAGE(D72,F72),0), 0)</f>
        <v/>
      </c>
      <c r="K72" s="113" t="n">
        <v>30131.6</v>
      </c>
      <c r="L72" s="113" t="n">
        <v>30131.6</v>
      </c>
      <c r="M72" s="115">
        <f>IFERROR((L72-K72)*1000, 0)</f>
        <v/>
      </c>
      <c r="N72" s="113" t="n">
        <v>0.0007000000000000001</v>
      </c>
      <c r="O72" s="115">
        <f t="array" ref="O72">IF(
    AND($H72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($H72 / 1000) * O$10 * $BA$4 * 0.25
    ),
    0
)
+
IF(
    $N72 &lt; 0.875,
    MAX(0, MIN(($H72 / 1000) * O$10 * $BA$4, O$11 * 0.876) - (O$11 * $N72)) * 0.25,
    0
)</f>
        <v/>
      </c>
      <c r="P72" s="115">
        <f t="array" ref="P72">IF(
    AND($H72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($H72 / 1000) * P$10 * $BA$4 * 0.25
    ),
    0
)
+
IF(
    $N72 &lt; 0.875,
    MAX(0, MIN(($H72 / 1000) * P$10 * $BA$4, P$11 * 0.876) - (P$11 * $N72)) * 0.25,
    0
)</f>
        <v/>
      </c>
      <c r="Q72" s="115">
        <f t="array" ref="Q72">IF(
    AND($H72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($H72 / 1000) * Q$10 * $BA$4 * 0.25
    ),
    0
)
+
IF(
    $N72 &lt; 0.875,
    MAX(0, MIN(($H72 / 1000) * Q$10 * $BA$4, Q$11 * 0.876) - (Q$11 * $N72)) * 0.25,
    0
)</f>
        <v/>
      </c>
      <c r="R72" s="115">
        <f t="array" ref="R72">IF(
    AND($H72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($H72 / 1000) * R$10 * $BA$4 * 0.25
    ),
    0
)
+
IF(
    $N72 &lt; 0.875,
    MAX(0, MIN(($H72 / 1000) * R$10 * $BA$4, R$11 * 0.876) - (R$11 * $N72)) * 0.25,
    0
)</f>
        <v/>
      </c>
      <c r="S72" s="115">
        <f t="array" ref="S72">IF(
    AND($H72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($H72 / 1000) * S$10 * $BA$4 * 0.25
    ),
    0
)
+
IF(
    $N72 &lt; 0.875,
    MAX(0, MIN(($H72 / 1000) * S$10 * $BA$4, S$11 * 0.876) - (S$11 * $N72)) * 0.25,
    0
)</f>
        <v/>
      </c>
      <c r="T72" s="115">
        <f t="array" ref="T72">IF(
    AND($H72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($H72 / 1000) * T$10 * $BA$4 * 0.25
    ),
    0
)
+
IF(
    $N72 &lt; 0.875,
    MAX(0, MIN(($H72 / 1000) * T$10 * $BA$4, T$11 * 0.876) - (T$11 * $N72)) * 0.25,
    0
)</f>
        <v/>
      </c>
      <c r="U72" s="115">
        <f t="array" ref="U72">IF(
    AND($H72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($H72 / 1000) * U$10 * $BA$4 * 0.25
    ),
    0
)
+
IF(
    $N72 &lt; 0.875,
    MAX(0, MIN(($H72 / 1000) * U$10 * $BA$4, U$11 * 0.876) - (U$11 * $N72)) * 0.25,
    0
)</f>
        <v/>
      </c>
      <c r="V72" s="115">
        <f t="array" ref="V72">IF(
    AND($H72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($H72 / 1000) * V$10 * $BA$4 * 0.25
    ),
    0
)
+
IF(
    $N72 &lt; 0.875,
    MAX(0, MIN(($H72 / 1000) * V$10 * $BA$4, V$11 * 0.876) - (V$11 * $N72)) * 0.25,
    0
)</f>
        <v/>
      </c>
      <c r="W72" s="115">
        <f t="array" ref="W72">IF(
    AND($H72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($H72 / 1000) * W$10 * $BA$4 * 0.25
    ),
    0
)
+
IF(
    $N72 &lt; 0.875,
    MAX(0, MIN(($H72 / 1000) * W$10 * $BA$4, W$11 * 0.876) - (W$11 * $N72)) * 0.25,
    0
)</f>
        <v/>
      </c>
      <c r="X72" s="115">
        <f t="array" ref="X72">IF(
    AND($H72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($H72 / 1000) * X$10 * $BA$4 * 0.25
    ),
    0
)
+
IF(
    $N72 &lt; 0.875,
    MAX(0, MIN(($H72 / 1000) * X$10 * $BA$4, X$11 * 0.876) - (X$11 * $N72)) * 0.25,
    0
)</f>
        <v/>
      </c>
      <c r="Y72" s="115">
        <f t="array" ref="Y72">IF(
    AND($H72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($H72 / 1000) * Y$10 * $BA$4 * 0.25
    ),
    0
)
+
IF(
    $N72 &lt; 0.875,
    MAX(0, MIN(($H72 / 1000) * Y$10 * $BA$4, Y$11 * 0.876) - (Y$11 * $N72)) * 0.25,
    0
)</f>
        <v/>
      </c>
      <c r="Z72" s="115">
        <f t="array" ref="Z72">IF(
    AND($H72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($H72 / 1000) * Z$10 * $BA$4 * 0.25
    ),
    0
)
+
IF(
    $N72 &lt; 0.875,
    MAX(0, MIN(($H72 / 1000) * Z$10 * $BA$4, Z$11 * 0.876) - (Z$11 * $N72)) * 0.25,
    0
)</f>
        <v/>
      </c>
      <c r="AA72" s="116">
        <f>SUM(TabellaMar2026[[#This Row],[Colonna24]:[Colonna20]])</f>
        <v/>
      </c>
      <c r="AB72" s="117">
        <f>IF(
    AND($H72 &gt; $BA$7, Tabella01MarzoInverter[[#This Row],[Active power TX2-INV-1]] &lt;= 0, Tabella01MarzoInverter[[#This Row],[TX2 - Average Power]] &lt;= 0),
    MIN(($H72 / 1000) * AB$10 * $BA$4, AB$11 * 0.876) * 0.25,
    IF(
        AND($H72 &gt; $BA$7, Tabella01MarzoInverter[[#This Row],[Active power TX2-INV-1]] &lt;= 0),
        Tabella01MarzoInverter[[#This Row],[TX2 - Average Power]] * 0.25,
        0
    )
    +
    IF(
        $N72 &lt; 0.875,
        MAX(0, MIN(($H72 / 1000) * AB$10 * $BA$4, AB$11 * 0.876) - (AB$11 * $N72)) * 0.25,
        0
    )
)</f>
        <v/>
      </c>
      <c r="AC72" s="117">
        <f>IF(
    AND($H72 &gt; $BA$7, Tabella01MarzoInverter[[#This Row],[Active power TX2-INV-2]] &lt;= 0, Tabella01MarzoInverter[[#This Row],[TX2 - Max Power]] &lt;= 0),
    MIN(($H72 / 1000) * AC$10 * $BA$4, AC$11 * 0.876) * 0.25,
    IF(
        AND($H72 &gt; $BA$7, Tabella01MarzoInverter[[#This Row],[Active power TX2-INV-2]] &lt;= 0),
        Tabella01MarzoInverter[[#This Row],[TX2 - Max Power]] * 0.25,
        0
    )
    +
    IF(
        $N72 &lt; 0.875,
        MAX(0, MIN(($H72 / 1000) * AC$10 * $BA$4, AC$11 * 0.876) - (AC$11 * $N72)) * 0.25,
        0
    )
)</f>
        <v/>
      </c>
      <c r="AD72" s="117">
        <f>IF(
    AND($H72 &gt; $BA$7, Tabella01MarzoInverter[[#This Row],[Active power TX2-INV-3]] &lt;= 0, Tabella01MarzoInverter[[#This Row],[TX2 - Min Power]] &lt;= 0),
    MIN(($H72 / 1000) * AD$10 * $BA$4, AD$11 * 0.876) * 0.25,
    IF(
        AND($H72 &gt; $BA$7, Tabella01MarzoInverter[[#This Row],[Active power TX2-INV-3]] &lt;= 0),
        Tabella01MarzoInverter[[#This Row],[TX2 - Min Power]] * 0.25,
        0
    )
    +
    IF(
        $N72 &lt; 0.875,
        MAX(0, MIN(($H72 / 1000) * AD$10 * $BA$4, AD$11 * 0.876) - (AD$11 * $N72)) * 0.25,
        0
    )
)</f>
        <v/>
      </c>
      <c r="AE72" s="117">
        <f>IF(
    AND($H72 &gt; $BA$7, Tabella01MarzoInverter[[#This Row],[Active power TX2-INV-4]] &lt;= 0, Tabella01MarzoInverter[[#This Row],[Active power TX3-INV-1]] &lt;= 0),
    MIN(($H72 / 1000) * AE$10 * $BA$4, AE$11 * 0.876) * 0.25,
    IF(
        AND($H72 &gt; $BA$7, Tabella01MarzoInverter[[#This Row],[Active power TX2-INV-4]] &lt;= 0),
        Tabella01MarzoInverter[[#This Row],[Active power TX3-INV-1]] * 0.25,
        0
    )
    +
    IF(
        $N72 &lt; 0.875,
        MAX(0, MIN(($H72 / 1000) * AE$10 * $BA$4, AE$11 * 0.876) - (AE$11 * $N72)) * 0.25,
        0
    )
)</f>
        <v/>
      </c>
      <c r="AF72" s="117">
        <f>IF(
    AND($H72 &gt; $BA$7, Tabella01MarzoInverter[[#This Row],[Active power TX2-INV-5]] &lt;= 0, Tabella01MarzoInverter[[#This Row],[Active power TX3-INV-2]] &lt;= 0),
    MIN(($H72 / 1000) * AF$10 * $BA$4, AF$11 * 0.876) * 0.25,
    IF(
        AND($H72 &gt; $BA$7, Tabella01MarzoInverter[[#This Row],[Active power TX2-INV-5]] &lt;= 0),
        Tabella01MarzoInverter[[#This Row],[Active power TX3-INV-2]] * 0.25,
        0
    )
    +
    IF(
        $N72 &lt; 0.875,
        MAX(0, MIN(($H72 / 1000) * AF$10 * $BA$4, AF$11 * 0.876) - (AF$11 * $N72)) * 0.25,
        0
    )
)</f>
        <v/>
      </c>
      <c r="AG72" s="117">
        <f>IF(
    AND($H72 &gt; $BA$7, Tabella01MarzoInverter[[#This Row],[Active power TX2-INV-6]] &lt;= 0, Tabella01MarzoInverter[[#This Row],[Active power TX3-INV-3]] &lt;= 0),
    MIN(($H72 / 1000) * AG$10 * $BA$4, AG$11 * 0.876) * 0.25,
    IF(
        AND($H72 &gt; $BA$7, Tabella01MarzoInverter[[#This Row],[Active power TX2-INV-6]] &lt;= 0),
        Tabella01MarzoInverter[[#This Row],[Active power TX3-INV-3]] * 0.25,
        0
    )
    +
    IF(
        $N72 &lt; 0.875,
        MAX(0, MIN(($H72 / 1000) * AG$10 * $BA$4, AG$11 * 0.876) - (AG$11 * $N72)) * 0.25,
        0
    )
)</f>
        <v/>
      </c>
      <c r="AH72" s="117">
        <f>IF(
    AND($H72 &gt; $BA$7, Tabella01MarzoInverter[[#This Row],[Active power TX2-INV-7]] &lt;= 0, Tabella01MarzoInverter[[#This Row],[Active power TX3-INV-4]] &lt;= 0),
    MIN(($H72 / 1000) * AH$10 * $BA$4, AH$11 * 0.876) * 0.25,
    IF(
        AND($H72 &gt; $BA$7, Tabella01MarzoInverter[[#This Row],[Active power TX2-INV-7]] &lt;= 0),
        Tabella01MarzoInverter[[#This Row],[Active power TX3-INV-4]] * 0.25,
        0
    )
    +
    IF(
        $N72 &lt; 0.875,
        MAX(0, MIN(($H72 / 1000) * AH$10 * $BA$4, AH$11 * 0.876) - (AH$11 * $N72)) * 0.25,
        0
    )
)</f>
        <v/>
      </c>
      <c r="AI72" s="117">
        <f>IF(
    AND($H72 &gt; $BA$7, Tabella01MarzoInverter[[#This Row],[Active power TX2-INV-8]] &lt;= 0, Tabella01MarzoInverter[[#This Row],[Active power TX3-INV-5]] &lt;= 0),
    MIN(($H72 / 1000) * AI$10 * $BA$4, AI$11 * 0.876) * 0.25,
    IF(
        AND($H72 &gt; $BA$7, Tabella01MarzoInverter[[#This Row],[Active power TX2-INV-8]] &lt;= 0),
        Tabella01MarzoInverter[[#This Row],[Active power TX3-INV-5]] * 0.25,
        0
    )
    +
    IF(
        $N72 &lt; 0.875,
        MAX(0, MIN(($H72 / 1000) * AI$10 * $BA$4, AI$11 * 0.876) - (AI$11 * $N72)) * 0.25,
        0
    )
)</f>
        <v/>
      </c>
      <c r="AJ72" s="117">
        <f>IF(
    AND($H72 &gt; $BA$7, Tabella01MarzoInverter[[#This Row],[Active power TX2-INV-9]] &lt;= 0, Tabella01MarzoInverter[[#This Row],[Active power TX3-INV-6]] &lt;= 0),
    MIN(($H72 / 1000) * AJ$10 * $BA$4, AJ$11 * 0.876) * 0.25,
    IF(
        AND($H72 &gt; $BA$7, Tabella01MarzoInverter[[#This Row],[Active power TX2-INV-9]] &lt;= 0),
        Tabella01MarzoInverter[[#This Row],[Active power TX3-INV-6]] * 0.25,
        0
    )
    +
    IF(
        $N72 &lt; 0.875,
        MAX(0, MIN(($H72 / 1000) * AJ$10 * $BA$4, AJ$11 * 0.876) - (AJ$11 * $N72)) * 0.25,
        0
    )
)</f>
        <v/>
      </c>
      <c r="AK72" s="117">
        <f>IF(
    AND($H72 &gt; $BA$7, Tabella01MarzoInverter[[#This Row],[Active power TX2-INV-10]] &lt;= 0, Tabella01MarzoInverter[[#This Row],[Active power TX3-INV-7]] &lt;= 0),
    MIN(($H72 / 1000) * AK$10 * $BA$4, AK$11 * 0.876) * 0.25,
    IF(
        AND($H72 &gt; $BA$7, Tabella01MarzoInverter[[#This Row],[Active power TX2-INV-10]] &lt;= 0),
        Tabella01MarzoInverter[[#This Row],[Active power TX3-INV-7]] * 0.25,
        0
    )
    +
    IF(
        $N72 &lt; 0.875,
        MAX(0, MIN(($H72 / 1000) * AK$10 * $BA$4, AK$11 * 0.876) - (AK$11 * $N72)) * 0.25,
        0
    )
)</f>
        <v/>
      </c>
      <c r="AL72" s="117">
        <f>IF(
    AND($H72 &gt; $BA$7, Tabella01MarzoInverter[[#This Row],[Active power TX2-INV-11]] &lt;= 0, Tabella01MarzoInverter[[#This Row],[Active power TX3-INV-8]] &lt;= 0),
    MIN(($H72 / 1000) * AL$10 * $BA$4, AL$11 * 0.876) * 0.25,
    IF(
        AND($H72 &gt; $BA$7, Tabella01MarzoInverter[[#This Row],[Active power TX2-INV-11]] &lt;= 0),
        Tabella01MarzoInverter[[#This Row],[Active power TX3-INV-8]] * 0.25,
        0
    )
    +
    IF(
        $N72 &lt; 0.875,
        MAX(0, MIN(($H72 / 1000) * AL$10 * $BA$4, AL$11 * 0.876) - (AL$11 * $N72)) * 0.25,
        0
    )
)</f>
        <v/>
      </c>
      <c r="AM72" s="117">
        <f>IF(
    AND($H72 &gt; $BA$7, Tabella01MarzoInverter[[#This Row],[Active power TX2-INV-12]] &lt;= 0, Tabella01MarzoInverter[[#This Row],[Active power TX3-INV-9]] &lt;= 0),
    MIN(($H72 / 1000) * AM$10 * $BA$4, AM$11 * 0.876) * 0.25,
    IF(
        AND($H72 &gt; $BA$7, Tabella01MarzoInverter[[#This Row],[Active power TX2-INV-12]] &lt;= 0),
        Tabella01MarzoInverter[[#This Row],[Active power TX3-INV-9]] * 0.25,
        0
    )
    +
    IF(
        $N72 &lt; 0.875,
        MAX(0, MIN(($H72 / 1000) * AM$10 * $BA$4, AM$11 * 0.876) - (AM$11 * $N72)) * 0.25,
        0
    )
)</f>
        <v/>
      </c>
      <c r="AN72" s="118">
        <f>SUM(TabellaMar2026[[#This Row],[Colonna39]:[Colonna6]])</f>
        <v/>
      </c>
      <c r="AO72" s="117">
        <f t="array" ref="AO72">IF(
    AND($H72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($H72 / 1000) * AO$10 * $BA$4 * 0.25
    ),
    0
)
+
IF(
    $N72 &lt; 0.875,
    MAX(0, MIN(($H72 / 1000) * AO$10 * $BA$4, AO$11 * 0.876) - (AO$11 * $N72)) * 0.25,
    0
)</f>
        <v/>
      </c>
      <c r="AP72" s="117">
        <f t="array" ref="AP72">IF(
    AND($H72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($H72 / 1000) * AP$10 * $BA$4 * 0.25
    ),
    0
)
+
IF(
    $N72 &lt; 0.875,
    MAX(0, MIN(($H72 / 1000) * AP$10 * $BA$4, AP$11 * 0.876) - (AP$11 * $N72)) * 0.25,
    0
)</f>
        <v/>
      </c>
      <c r="AQ72" s="117">
        <f t="array" ref="AQ72">IF(
    AND($H72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($H72 / 1000) * AQ$10 * $BA$4 * 0.25
    ),
    0
)
+
IF(
    $N72 &lt; 0.875,
    MAX(0, MIN(($H72 / 1000) * AQ$10 * $BA$4, AQ$11 * 0.876) - (AQ$11 * $N72)) * 0.25,
    0
)</f>
        <v/>
      </c>
      <c r="AR72" s="117">
        <f t="array" ref="AR72">IF(
    AND($H72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($H72 / 1000) * AR$10 * $BA$4 * 0.25
    ),
    0
)
+
IF(
    $N72 &lt; 0.875,
    MAX(0, MIN(($H72 / 1000) * AR$10 * $BA$4, AR$11 * 0.876) - (AR$11 * $N72)) * 0.25,
    0
)</f>
        <v/>
      </c>
      <c r="AS72" s="117">
        <f t="array" ref="AS72">IF(
    AND($H72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($H72 / 1000) * AS$10 * $BA$4 * 0.25
    ),
    0
)
+
IF(
    $N72 &lt; 0.875,
    MAX(0, MIN(($H72 / 1000) * AS$10 * $BA$4, AS$11 * 0.876) - (AS$11 * $N72)) * 0.25,
    0
)</f>
        <v/>
      </c>
      <c r="AT72" s="117">
        <f t="array" ref="AT72">IF(
    AND($H72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($H72 / 1000) * AT$10 * $BA$4 * 0.25
    ),
    0
)
+
IF(
    $N72 &lt; 0.875,
    MAX(0, MIN(($H72 / 1000) * AT$10 * $BA$4, AT$11 * 0.876) - (AT$11 * $N72)) * 0.25,
    0
)</f>
        <v/>
      </c>
      <c r="AU72" s="117">
        <f t="array" ref="AU72">IF(
    AND($H72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($H72 / 1000) * AU$10 * $BA$4 * 0.25
    ),
    0
)
+
IF(
    $N72 &lt; 0.875,
    MAX(0, MIN(($H72 / 1000) * AU$10 * $BA$4, AU$11 * 0.876) - (AU$11 * $N72)) * 0.25,
    0
)</f>
        <v/>
      </c>
      <c r="AV72" s="117">
        <f t="array" ref="AV72">IF(
    AND($H72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($H72 / 1000) * AV$10 * $BA$4 * 0.25
    ),
    0
)
+
IF(
    $N72 &lt; 0.875,
    MAX(0, MIN(($H72 / 1000) * AV$10 * $BA$4, AV$11 * 0.876) - (AV$11 * $N72)) * 0.25,
    0
)</f>
        <v/>
      </c>
      <c r="AW72" s="117">
        <f t="array" ref="AW72">IF(
    AND($H72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($H72 / 1000) * AW$10 * $BA$4 * 0.25
    ),
    0
)
+
IF(
    $N72 &lt; 0.875,
    MAX(0, MIN(($H72 / 1000) * AW$10 * $BA$4, AW$11 * 0.876) - (AW$11 * $N72)) * 0.25,
    0
)</f>
        <v/>
      </c>
      <c r="AX72" s="117">
        <f t="array" ref="AX72">IF(
    AND($H72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($H72 / 1000) * AX$10 * $BA$4 * 0.25
    ),
    0
)
+
IF(
    $N72 &lt; 0.875,
    MAX(0, MIN(($H72 / 1000) * AX$10 * $BA$4, AX$11 * 0.876) - (AX$11 * $N72)) * 0.25,
    0
)</f>
        <v/>
      </c>
      <c r="AY72" s="117">
        <f t="array" ref="AY72">IF(
    AND($H72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($H72 / 1000) * AY$10 * $BA$4 * 0.25
    ),
    0
)
+
IF(
    $N72 &lt; 0.875,
    MAX(0, MIN(($H72 / 1000) * AY$10 * $BA$4, AY$11 * 0.876) - (AY$11 * $N72)) * 0.25,
    0
)</f>
        <v/>
      </c>
      <c r="AZ72" s="117">
        <f t="array" ref="AZ72">IF(
    AND($H72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($H72 / 1000) * AZ$10 * $BA$4 * 0.25
    ),
    0
)
+
IF(
    $N72 &lt; 0.875,
    MAX(0, MIN(($H72 / 1000) * AZ$10 * $BA$4, AZ$11 * 0.876) - (AZ$11 * $N72)) * 0.25,
    0
)</f>
        <v/>
      </c>
      <c r="BA72" s="119">
        <f>SUM(TabellaMar2026[[#This Row],[Colonna54]:[Colonna53]])</f>
        <v/>
      </c>
    </row>
    <row r="73">
      <c r="A73" s="112" t="n">
        <v>46143</v>
      </c>
      <c r="B73" t="inlineStr">
        <is>
          <t>14:30:00.000</t>
        </is>
      </c>
      <c r="C73" s="2" t="n">
        <v>907.9</v>
      </c>
      <c r="D73" s="113" t="n">
        <v>0.226975</v>
      </c>
      <c r="E73" s="113" t="n">
        <v>884</v>
      </c>
      <c r="F73" s="113" t="n">
        <v>0.221</v>
      </c>
      <c r="G73" s="113">
        <f>IFERROR((D73+F73)/2, 0)</f>
        <v/>
      </c>
      <c r="H73" s="114">
        <f>IFERROR(IF(AVERAGE(C73,E73)&gt;$BA$7,AVERAGE(C73,E73),0), 0)</f>
        <v/>
      </c>
      <c r="I73" s="114">
        <f>IFERROR(IF(AND(D73=0,F73=0),0,IF(H73&gt;$BA$6,MAX(D73,F73),G73)), 0)</f>
        <v/>
      </c>
      <c r="J73" s="113">
        <f>IFERROR(IF(AND(D73&gt;0,F73&gt;0),ABS(D73-F73)/AVERAGE(D73,F73),0), 0)</f>
        <v/>
      </c>
      <c r="K73" s="113" t="n">
        <v>30131.6</v>
      </c>
      <c r="L73" s="113" t="n">
        <v>30131.6</v>
      </c>
      <c r="M73" s="115">
        <f>IFERROR((L73-K73)*1000, 0)</f>
        <v/>
      </c>
      <c r="N73" s="113" t="n">
        <v>0.0005999999999999999</v>
      </c>
      <c r="O73" s="115">
        <f t="array" ref="O73">IF(
    AND($H73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($H73 / 1000) * O$10 * $BA$4 * 0.25
    ),
    0
)
+
IF(
    $N73 &lt; 0.875,
    MAX(0, MIN(($H73 / 1000) * O$10 * $BA$4, O$11 * 0.876) - (O$11 * $N73)) * 0.25,
    0
)</f>
        <v/>
      </c>
      <c r="P73" s="115">
        <f t="array" ref="P73">IF(
    AND($H73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($H73 / 1000) * P$10 * $BA$4 * 0.25
    ),
    0
)
+
IF(
    $N73 &lt; 0.875,
    MAX(0, MIN(($H73 / 1000) * P$10 * $BA$4, P$11 * 0.876) - (P$11 * $N73)) * 0.25,
    0
)</f>
        <v/>
      </c>
      <c r="Q73" s="115">
        <f t="array" ref="Q73">IF(
    AND($H73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($H73 / 1000) * Q$10 * $BA$4 * 0.25
    ),
    0
)
+
IF(
    $N73 &lt; 0.875,
    MAX(0, MIN(($H73 / 1000) * Q$10 * $BA$4, Q$11 * 0.876) - (Q$11 * $N73)) * 0.25,
    0
)</f>
        <v/>
      </c>
      <c r="R73" s="115">
        <f t="array" ref="R73">IF(
    AND($H73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($H73 / 1000) * R$10 * $BA$4 * 0.25
    ),
    0
)
+
IF(
    $N73 &lt; 0.875,
    MAX(0, MIN(($H73 / 1000) * R$10 * $BA$4, R$11 * 0.876) - (R$11 * $N73)) * 0.25,
    0
)</f>
        <v/>
      </c>
      <c r="S73" s="115">
        <f t="array" ref="S73">IF(
    AND($H73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($H73 / 1000) * S$10 * $BA$4 * 0.25
    ),
    0
)
+
IF(
    $N73 &lt; 0.875,
    MAX(0, MIN(($H73 / 1000) * S$10 * $BA$4, S$11 * 0.876) - (S$11 * $N73)) * 0.25,
    0
)</f>
        <v/>
      </c>
      <c r="T73" s="115">
        <f t="array" ref="T73">IF(
    AND($H73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($H73 / 1000) * T$10 * $BA$4 * 0.25
    ),
    0
)
+
IF(
    $N73 &lt; 0.875,
    MAX(0, MIN(($H73 / 1000) * T$10 * $BA$4, T$11 * 0.876) - (T$11 * $N73)) * 0.25,
    0
)</f>
        <v/>
      </c>
      <c r="U73" s="115">
        <f t="array" ref="U73">IF(
    AND($H73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($H73 / 1000) * U$10 * $BA$4 * 0.25
    ),
    0
)
+
IF(
    $N73 &lt; 0.875,
    MAX(0, MIN(($H73 / 1000) * U$10 * $BA$4, U$11 * 0.876) - (U$11 * $N73)) * 0.25,
    0
)</f>
        <v/>
      </c>
      <c r="V73" s="115">
        <f t="array" ref="V73">IF(
    AND($H73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($H73 / 1000) * V$10 * $BA$4 * 0.25
    ),
    0
)
+
IF(
    $N73 &lt; 0.875,
    MAX(0, MIN(($H73 / 1000) * V$10 * $BA$4, V$11 * 0.876) - (V$11 * $N73)) * 0.25,
    0
)</f>
        <v/>
      </c>
      <c r="W73" s="115">
        <f t="array" ref="W73">IF(
    AND($H73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($H73 / 1000) * W$10 * $BA$4 * 0.25
    ),
    0
)
+
IF(
    $N73 &lt; 0.875,
    MAX(0, MIN(($H73 / 1000) * W$10 * $BA$4, W$11 * 0.876) - (W$11 * $N73)) * 0.25,
    0
)</f>
        <v/>
      </c>
      <c r="X73" s="115">
        <f t="array" ref="X73">IF(
    AND($H73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($H73 / 1000) * X$10 * $BA$4 * 0.25
    ),
    0
)
+
IF(
    $N73 &lt; 0.875,
    MAX(0, MIN(($H73 / 1000) * X$10 * $BA$4, X$11 * 0.876) - (X$11 * $N73)) * 0.25,
    0
)</f>
        <v/>
      </c>
      <c r="Y73" s="115">
        <f t="array" ref="Y73">IF(
    AND($H73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($H73 / 1000) * Y$10 * $BA$4 * 0.25
    ),
    0
)
+
IF(
    $N73 &lt; 0.875,
    MAX(0, MIN(($H73 / 1000) * Y$10 * $BA$4, Y$11 * 0.876) - (Y$11 * $N73)) * 0.25,
    0
)</f>
        <v/>
      </c>
      <c r="Z73" s="115">
        <f t="array" ref="Z73">IF(
    AND($H73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($H73 / 1000) * Z$10 * $BA$4 * 0.25
    ),
    0
)
+
IF(
    $N73 &lt; 0.875,
    MAX(0, MIN(($H73 / 1000) * Z$10 * $BA$4, Z$11 * 0.876) - (Z$11 * $N73)) * 0.25,
    0
)</f>
        <v/>
      </c>
      <c r="AA73" s="116">
        <f>SUM(TabellaMar2026[[#This Row],[Colonna24]:[Colonna20]])</f>
        <v/>
      </c>
      <c r="AB73" s="117">
        <f>IF(
    AND($H73 &gt; $BA$7, Tabella01MarzoInverter[[#This Row],[Active power TX2-INV-1]] &lt;= 0, Tabella01MarzoInverter[[#This Row],[TX2 - Average Power]] &lt;= 0),
    MIN(($H73 / 1000) * AB$10 * $BA$4, AB$11 * 0.876) * 0.25,
    IF(
        AND($H73 &gt; $BA$7, Tabella01MarzoInverter[[#This Row],[Active power TX2-INV-1]] &lt;= 0),
        Tabella01MarzoInverter[[#This Row],[TX2 - Average Power]] * 0.25,
        0
    )
    +
    IF(
        $N73 &lt; 0.875,
        MAX(0, MIN(($H73 / 1000) * AB$10 * $BA$4, AB$11 * 0.876) - (AB$11 * $N73)) * 0.25,
        0
    )
)</f>
        <v/>
      </c>
      <c r="AC73" s="117">
        <f>IF(
    AND($H73 &gt; $BA$7, Tabella01MarzoInverter[[#This Row],[Active power TX2-INV-2]] &lt;= 0, Tabella01MarzoInverter[[#This Row],[TX2 - Max Power]] &lt;= 0),
    MIN(($H73 / 1000) * AC$10 * $BA$4, AC$11 * 0.876) * 0.25,
    IF(
        AND($H73 &gt; $BA$7, Tabella01MarzoInverter[[#This Row],[Active power TX2-INV-2]] &lt;= 0),
        Tabella01MarzoInverter[[#This Row],[TX2 - Max Power]] * 0.25,
        0
    )
    +
    IF(
        $N73 &lt; 0.875,
        MAX(0, MIN(($H73 / 1000) * AC$10 * $BA$4, AC$11 * 0.876) - (AC$11 * $N73)) * 0.25,
        0
    )
)</f>
        <v/>
      </c>
      <c r="AD73" s="117">
        <f>IF(
    AND($H73 &gt; $BA$7, Tabella01MarzoInverter[[#This Row],[Active power TX2-INV-3]] &lt;= 0, Tabella01MarzoInverter[[#This Row],[TX2 - Min Power]] &lt;= 0),
    MIN(($H73 / 1000) * AD$10 * $BA$4, AD$11 * 0.876) * 0.25,
    IF(
        AND($H73 &gt; $BA$7, Tabella01MarzoInverter[[#This Row],[Active power TX2-INV-3]] &lt;= 0),
        Tabella01MarzoInverter[[#This Row],[TX2 - Min Power]] * 0.25,
        0
    )
    +
    IF(
        $N73 &lt; 0.875,
        MAX(0, MIN(($H73 / 1000) * AD$10 * $BA$4, AD$11 * 0.876) - (AD$11 * $N73)) * 0.25,
        0
    )
)</f>
        <v/>
      </c>
      <c r="AE73" s="117">
        <f>IF(
    AND($H73 &gt; $BA$7, Tabella01MarzoInverter[[#This Row],[Active power TX2-INV-4]] &lt;= 0, Tabella01MarzoInverter[[#This Row],[Active power TX3-INV-1]] &lt;= 0),
    MIN(($H73 / 1000) * AE$10 * $BA$4, AE$11 * 0.876) * 0.25,
    IF(
        AND($H73 &gt; $BA$7, Tabella01MarzoInverter[[#This Row],[Active power TX2-INV-4]] &lt;= 0),
        Tabella01MarzoInverter[[#This Row],[Active power TX3-INV-1]] * 0.25,
        0
    )
    +
    IF(
        $N73 &lt; 0.875,
        MAX(0, MIN(($H73 / 1000) * AE$10 * $BA$4, AE$11 * 0.876) - (AE$11 * $N73)) * 0.25,
        0
    )
)</f>
        <v/>
      </c>
      <c r="AF73" s="117">
        <f>IF(
    AND($H73 &gt; $BA$7, Tabella01MarzoInverter[[#This Row],[Active power TX2-INV-5]] &lt;= 0, Tabella01MarzoInverter[[#This Row],[Active power TX3-INV-2]] &lt;= 0),
    MIN(($H73 / 1000) * AF$10 * $BA$4, AF$11 * 0.876) * 0.25,
    IF(
        AND($H73 &gt; $BA$7, Tabella01MarzoInverter[[#This Row],[Active power TX2-INV-5]] &lt;= 0),
        Tabella01MarzoInverter[[#This Row],[Active power TX3-INV-2]] * 0.25,
        0
    )
    +
    IF(
        $N73 &lt; 0.875,
        MAX(0, MIN(($H73 / 1000) * AF$10 * $BA$4, AF$11 * 0.876) - (AF$11 * $N73)) * 0.25,
        0
    )
)</f>
        <v/>
      </c>
      <c r="AG73" s="117">
        <f>IF(
    AND($H73 &gt; $BA$7, Tabella01MarzoInverter[[#This Row],[Active power TX2-INV-6]] &lt;= 0, Tabella01MarzoInverter[[#This Row],[Active power TX3-INV-3]] &lt;= 0),
    MIN(($H73 / 1000) * AG$10 * $BA$4, AG$11 * 0.876) * 0.25,
    IF(
        AND($H73 &gt; $BA$7, Tabella01MarzoInverter[[#This Row],[Active power TX2-INV-6]] &lt;= 0),
        Tabella01MarzoInverter[[#This Row],[Active power TX3-INV-3]] * 0.25,
        0
    )
    +
    IF(
        $N73 &lt; 0.875,
        MAX(0, MIN(($H73 / 1000) * AG$10 * $BA$4, AG$11 * 0.876) - (AG$11 * $N73)) * 0.25,
        0
    )
)</f>
        <v/>
      </c>
      <c r="AH73" s="117">
        <f>IF(
    AND($H73 &gt; $BA$7, Tabella01MarzoInverter[[#This Row],[Active power TX2-INV-7]] &lt;= 0, Tabella01MarzoInverter[[#This Row],[Active power TX3-INV-4]] &lt;= 0),
    MIN(($H73 / 1000) * AH$10 * $BA$4, AH$11 * 0.876) * 0.25,
    IF(
        AND($H73 &gt; $BA$7, Tabella01MarzoInverter[[#This Row],[Active power TX2-INV-7]] &lt;= 0),
        Tabella01MarzoInverter[[#This Row],[Active power TX3-INV-4]] * 0.25,
        0
    )
    +
    IF(
        $N73 &lt; 0.875,
        MAX(0, MIN(($H73 / 1000) * AH$10 * $BA$4, AH$11 * 0.876) - (AH$11 * $N73)) * 0.25,
        0
    )
)</f>
        <v/>
      </c>
      <c r="AI73" s="117">
        <f>IF(
    AND($H73 &gt; $BA$7, Tabella01MarzoInverter[[#This Row],[Active power TX2-INV-8]] &lt;= 0, Tabella01MarzoInverter[[#This Row],[Active power TX3-INV-5]] &lt;= 0),
    MIN(($H73 / 1000) * AI$10 * $BA$4, AI$11 * 0.876) * 0.25,
    IF(
        AND($H73 &gt; $BA$7, Tabella01MarzoInverter[[#This Row],[Active power TX2-INV-8]] &lt;= 0),
        Tabella01MarzoInverter[[#This Row],[Active power TX3-INV-5]] * 0.25,
        0
    )
    +
    IF(
        $N73 &lt; 0.875,
        MAX(0, MIN(($H73 / 1000) * AI$10 * $BA$4, AI$11 * 0.876) - (AI$11 * $N73)) * 0.25,
        0
    )
)</f>
        <v/>
      </c>
      <c r="AJ73" s="117">
        <f>IF(
    AND($H73 &gt; $BA$7, Tabella01MarzoInverter[[#This Row],[Active power TX2-INV-9]] &lt;= 0, Tabella01MarzoInverter[[#This Row],[Active power TX3-INV-6]] &lt;= 0),
    MIN(($H73 / 1000) * AJ$10 * $BA$4, AJ$11 * 0.876) * 0.25,
    IF(
        AND($H73 &gt; $BA$7, Tabella01MarzoInverter[[#This Row],[Active power TX2-INV-9]] &lt;= 0),
        Tabella01MarzoInverter[[#This Row],[Active power TX3-INV-6]] * 0.25,
        0
    )
    +
    IF(
        $N73 &lt; 0.875,
        MAX(0, MIN(($H73 / 1000) * AJ$10 * $BA$4, AJ$11 * 0.876) - (AJ$11 * $N73)) * 0.25,
        0
    )
)</f>
        <v/>
      </c>
      <c r="AK73" s="117">
        <f>IF(
    AND($H73 &gt; $BA$7, Tabella01MarzoInverter[[#This Row],[Active power TX2-INV-10]] &lt;= 0, Tabella01MarzoInverter[[#This Row],[Active power TX3-INV-7]] &lt;= 0),
    MIN(($H73 / 1000) * AK$10 * $BA$4, AK$11 * 0.876) * 0.25,
    IF(
        AND($H73 &gt; $BA$7, Tabella01MarzoInverter[[#This Row],[Active power TX2-INV-10]] &lt;= 0),
        Tabella01MarzoInverter[[#This Row],[Active power TX3-INV-7]] * 0.25,
        0
    )
    +
    IF(
        $N73 &lt; 0.875,
        MAX(0, MIN(($H73 / 1000) * AK$10 * $BA$4, AK$11 * 0.876) - (AK$11 * $N73)) * 0.25,
        0
    )
)</f>
        <v/>
      </c>
      <c r="AL73" s="117">
        <f>IF(
    AND($H73 &gt; $BA$7, Tabella01MarzoInverter[[#This Row],[Active power TX2-INV-11]] &lt;= 0, Tabella01MarzoInverter[[#This Row],[Active power TX3-INV-8]] &lt;= 0),
    MIN(($H73 / 1000) * AL$10 * $BA$4, AL$11 * 0.876) * 0.25,
    IF(
        AND($H73 &gt; $BA$7, Tabella01MarzoInverter[[#This Row],[Active power TX2-INV-11]] &lt;= 0),
        Tabella01MarzoInverter[[#This Row],[Active power TX3-INV-8]] * 0.25,
        0
    )
    +
    IF(
        $N73 &lt; 0.875,
        MAX(0, MIN(($H73 / 1000) * AL$10 * $BA$4, AL$11 * 0.876) - (AL$11 * $N73)) * 0.25,
        0
    )
)</f>
        <v/>
      </c>
      <c r="AM73" s="117">
        <f>IF(
    AND($H73 &gt; $BA$7, Tabella01MarzoInverter[[#This Row],[Active power TX2-INV-12]] &lt;= 0, Tabella01MarzoInverter[[#This Row],[Active power TX3-INV-9]] &lt;= 0),
    MIN(($H73 / 1000) * AM$10 * $BA$4, AM$11 * 0.876) * 0.25,
    IF(
        AND($H73 &gt; $BA$7, Tabella01MarzoInverter[[#This Row],[Active power TX2-INV-12]] &lt;= 0),
        Tabella01MarzoInverter[[#This Row],[Active power TX3-INV-9]] * 0.25,
        0
    )
    +
    IF(
        $N73 &lt; 0.875,
        MAX(0, MIN(($H73 / 1000) * AM$10 * $BA$4, AM$11 * 0.876) - (AM$11 * $N73)) * 0.25,
        0
    )
)</f>
        <v/>
      </c>
      <c r="AN73" s="118">
        <f>SUM(TabellaMar2026[[#This Row],[Colonna39]:[Colonna6]])</f>
        <v/>
      </c>
      <c r="AO73" s="117">
        <f t="array" ref="AO73">IF(
    AND($H73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($H73 / 1000) * AO$10 * $BA$4 * 0.25
    ),
    0
)
+
IF(
    $N73 &lt; 0.875,
    MAX(0, MIN(($H73 / 1000) * AO$10 * $BA$4, AO$11 * 0.876) - (AO$11 * $N73)) * 0.25,
    0
)</f>
        <v/>
      </c>
      <c r="AP73" s="117">
        <f t="array" ref="AP73">IF(
    AND($H73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($H73 / 1000) * AP$10 * $BA$4 * 0.25
    ),
    0
)
+
IF(
    $N73 &lt; 0.875,
    MAX(0, MIN(($H73 / 1000) * AP$10 * $BA$4, AP$11 * 0.876) - (AP$11 * $N73)) * 0.25,
    0
)</f>
        <v/>
      </c>
      <c r="AQ73" s="117">
        <f t="array" ref="AQ73">IF(
    AND($H73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($H73 / 1000) * AQ$10 * $BA$4 * 0.25
    ),
    0
)
+
IF(
    $N73 &lt; 0.875,
    MAX(0, MIN(($H73 / 1000) * AQ$10 * $BA$4, AQ$11 * 0.876) - (AQ$11 * $N73)) * 0.25,
    0
)</f>
        <v/>
      </c>
      <c r="AR73" s="117">
        <f t="array" ref="AR73">IF(
    AND($H73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($H73 / 1000) * AR$10 * $BA$4 * 0.25
    ),
    0
)
+
IF(
    $N73 &lt; 0.875,
    MAX(0, MIN(($H73 / 1000) * AR$10 * $BA$4, AR$11 * 0.876) - (AR$11 * $N73)) * 0.25,
    0
)</f>
        <v/>
      </c>
      <c r="AS73" s="117">
        <f t="array" ref="AS73">IF(
    AND($H73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($H73 / 1000) * AS$10 * $BA$4 * 0.25
    ),
    0
)
+
IF(
    $N73 &lt; 0.875,
    MAX(0, MIN(($H73 / 1000) * AS$10 * $BA$4, AS$11 * 0.876) - (AS$11 * $N73)) * 0.25,
    0
)</f>
        <v/>
      </c>
      <c r="AT73" s="117">
        <f t="array" ref="AT73">IF(
    AND($H73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($H73 / 1000) * AT$10 * $BA$4 * 0.25
    ),
    0
)
+
IF(
    $N73 &lt; 0.875,
    MAX(0, MIN(($H73 / 1000) * AT$10 * $BA$4, AT$11 * 0.876) - (AT$11 * $N73)) * 0.25,
    0
)</f>
        <v/>
      </c>
      <c r="AU73" s="117">
        <f t="array" ref="AU73">IF(
    AND($H73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($H73 / 1000) * AU$10 * $BA$4 * 0.25
    ),
    0
)
+
IF(
    $N73 &lt; 0.875,
    MAX(0, MIN(($H73 / 1000) * AU$10 * $BA$4, AU$11 * 0.876) - (AU$11 * $N73)) * 0.25,
    0
)</f>
        <v/>
      </c>
      <c r="AV73" s="117">
        <f t="array" ref="AV73">IF(
    AND($H73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($H73 / 1000) * AV$10 * $BA$4 * 0.25
    ),
    0
)
+
IF(
    $N73 &lt; 0.875,
    MAX(0, MIN(($H73 / 1000) * AV$10 * $BA$4, AV$11 * 0.876) - (AV$11 * $N73)) * 0.25,
    0
)</f>
        <v/>
      </c>
      <c r="AW73" s="117">
        <f t="array" ref="AW73">IF(
    AND($H73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($H73 / 1000) * AW$10 * $BA$4 * 0.25
    ),
    0
)
+
IF(
    $N73 &lt; 0.875,
    MAX(0, MIN(($H73 / 1000) * AW$10 * $BA$4, AW$11 * 0.876) - (AW$11 * $N73)) * 0.25,
    0
)</f>
        <v/>
      </c>
      <c r="AX73" s="117">
        <f t="array" ref="AX73">IF(
    AND($H73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($H73 / 1000) * AX$10 * $BA$4 * 0.25
    ),
    0
)
+
IF(
    $N73 &lt; 0.875,
    MAX(0, MIN(($H73 / 1000) * AX$10 * $BA$4, AX$11 * 0.876) - (AX$11 * $N73)) * 0.25,
    0
)</f>
        <v/>
      </c>
      <c r="AY73" s="117">
        <f t="array" ref="AY73">IF(
    AND($H73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($H73 / 1000) * AY$10 * $BA$4 * 0.25
    ),
    0
)
+
IF(
    $N73 &lt; 0.875,
    MAX(0, MIN(($H73 / 1000) * AY$10 * $BA$4, AY$11 * 0.876) - (AY$11 * $N73)) * 0.25,
    0
)</f>
        <v/>
      </c>
      <c r="AZ73" s="117">
        <f t="array" ref="AZ73">IF(
    AND($H73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($H73 / 1000) * AZ$10 * $BA$4 * 0.25
    ),
    0
)
+
IF(
    $N73 &lt; 0.875,
    MAX(0, MIN(($H73 / 1000) * AZ$10 * $BA$4, AZ$11 * 0.876) - (AZ$11 * $N73)) * 0.25,
    0
)</f>
        <v/>
      </c>
      <c r="BA73" s="119">
        <f>SUM(TabellaMar2026[[#This Row],[Colonna54]:[Colonna53]])</f>
        <v/>
      </c>
    </row>
    <row r="74">
      <c r="A74" s="112" t="n">
        <v>46143</v>
      </c>
      <c r="B74" t="inlineStr">
        <is>
          <t>14:45:00.000</t>
        </is>
      </c>
      <c r="C74" s="2" t="n">
        <v>976.1</v>
      </c>
      <c r="D74" s="113" t="n">
        <v>0.244025</v>
      </c>
      <c r="E74" s="113" t="n">
        <v>949</v>
      </c>
      <c r="F74" s="113" t="n">
        <v>0.23725</v>
      </c>
      <c r="G74" s="113">
        <f>IFERROR((D74+F74)/2, 0)</f>
        <v/>
      </c>
      <c r="H74" s="114">
        <f>IFERROR(IF(AVERAGE(C74,E74)&gt;$BA$7,AVERAGE(C74,E74),0), 0)</f>
        <v/>
      </c>
      <c r="I74" s="114">
        <f>IFERROR(IF(AND(D74=0,F74=0),0,IF(H74&gt;$BA$6,MAX(D74,F74),G74)), 0)</f>
        <v/>
      </c>
      <c r="J74" s="113">
        <f>IFERROR(IF(AND(D74&gt;0,F74&gt;0),ABS(D74-F74)/AVERAGE(D74,F74),0), 0)</f>
        <v/>
      </c>
      <c r="K74" s="113" t="n">
        <v>30131.6</v>
      </c>
      <c r="L74" s="113" t="n">
        <v>30131.6</v>
      </c>
      <c r="M74" s="115">
        <f>IFERROR((L74-K74)*1000, 0)</f>
        <v/>
      </c>
      <c r="N74" s="113" t="n">
        <v>0.0007000000000000001</v>
      </c>
      <c r="O74" s="115">
        <f t="array" ref="O74">IF(
    AND($H74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($H74 / 1000) * O$10 * $BA$4 * 0.25
    ),
    0
)
+
IF(
    $N74 &lt; 0.875,
    MAX(0, MIN(($H74 / 1000) * O$10 * $BA$4, O$11 * 0.876) - (O$11 * $N74)) * 0.25,
    0
)</f>
        <v/>
      </c>
      <c r="P74" s="115">
        <f t="array" ref="P74">IF(
    AND($H74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($H74 / 1000) * P$10 * $BA$4 * 0.25
    ),
    0
)
+
IF(
    $N74 &lt; 0.875,
    MAX(0, MIN(($H74 / 1000) * P$10 * $BA$4, P$11 * 0.876) - (P$11 * $N74)) * 0.25,
    0
)</f>
        <v/>
      </c>
      <c r="Q74" s="115">
        <f t="array" ref="Q74">IF(
    AND($H74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($H74 / 1000) * Q$10 * $BA$4 * 0.25
    ),
    0
)
+
IF(
    $N74 &lt; 0.875,
    MAX(0, MIN(($H74 / 1000) * Q$10 * $BA$4, Q$11 * 0.876) - (Q$11 * $N74)) * 0.25,
    0
)</f>
        <v/>
      </c>
      <c r="R74" s="115">
        <f t="array" ref="R74">IF(
    AND($H74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($H74 / 1000) * R$10 * $BA$4 * 0.25
    ),
    0
)
+
IF(
    $N74 &lt; 0.875,
    MAX(0, MIN(($H74 / 1000) * R$10 * $BA$4, R$11 * 0.876) - (R$11 * $N74)) * 0.25,
    0
)</f>
        <v/>
      </c>
      <c r="S74" s="115">
        <f t="array" ref="S74">IF(
    AND($H74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($H74 / 1000) * S$10 * $BA$4 * 0.25
    ),
    0
)
+
IF(
    $N74 &lt; 0.875,
    MAX(0, MIN(($H74 / 1000) * S$10 * $BA$4, S$11 * 0.876) - (S$11 * $N74)) * 0.25,
    0
)</f>
        <v/>
      </c>
      <c r="T74" s="115">
        <f t="array" ref="T74">IF(
    AND($H74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($H74 / 1000) * T$10 * $BA$4 * 0.25
    ),
    0
)
+
IF(
    $N74 &lt; 0.875,
    MAX(0, MIN(($H74 / 1000) * T$10 * $BA$4, T$11 * 0.876) - (T$11 * $N74)) * 0.25,
    0
)</f>
        <v/>
      </c>
      <c r="U74" s="115">
        <f t="array" ref="U74">IF(
    AND($H74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($H74 / 1000) * U$10 * $BA$4 * 0.25
    ),
    0
)
+
IF(
    $N74 &lt; 0.875,
    MAX(0, MIN(($H74 / 1000) * U$10 * $BA$4, U$11 * 0.876) - (U$11 * $N74)) * 0.25,
    0
)</f>
        <v/>
      </c>
      <c r="V74" s="115">
        <f t="array" ref="V74">IF(
    AND($H74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($H74 / 1000) * V$10 * $BA$4 * 0.25
    ),
    0
)
+
IF(
    $N74 &lt; 0.875,
    MAX(0, MIN(($H74 / 1000) * V$10 * $BA$4, V$11 * 0.876) - (V$11 * $N74)) * 0.25,
    0
)</f>
        <v/>
      </c>
      <c r="W74" s="115">
        <f t="array" ref="W74">IF(
    AND($H74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($H74 / 1000) * W$10 * $BA$4 * 0.25
    ),
    0
)
+
IF(
    $N74 &lt; 0.875,
    MAX(0, MIN(($H74 / 1000) * W$10 * $BA$4, W$11 * 0.876) - (W$11 * $N74)) * 0.25,
    0
)</f>
        <v/>
      </c>
      <c r="X74" s="115">
        <f t="array" ref="X74">IF(
    AND($H74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($H74 / 1000) * X$10 * $BA$4 * 0.25
    ),
    0
)
+
IF(
    $N74 &lt; 0.875,
    MAX(0, MIN(($H74 / 1000) * X$10 * $BA$4, X$11 * 0.876) - (X$11 * $N74)) * 0.25,
    0
)</f>
        <v/>
      </c>
      <c r="Y74" s="115">
        <f t="array" ref="Y74">IF(
    AND($H74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($H74 / 1000) * Y$10 * $BA$4 * 0.25
    ),
    0
)
+
IF(
    $N74 &lt; 0.875,
    MAX(0, MIN(($H74 / 1000) * Y$10 * $BA$4, Y$11 * 0.876) - (Y$11 * $N74)) * 0.25,
    0
)</f>
        <v/>
      </c>
      <c r="Z74" s="115">
        <f t="array" ref="Z74">IF(
    AND($H74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($H74 / 1000) * Z$10 * $BA$4 * 0.25
    ),
    0
)
+
IF(
    $N74 &lt; 0.875,
    MAX(0, MIN(($H74 / 1000) * Z$10 * $BA$4, Z$11 * 0.876) - (Z$11 * $N74)) * 0.25,
    0
)</f>
        <v/>
      </c>
      <c r="AA74" s="116">
        <f>SUM(TabellaMar2026[[#This Row],[Colonna24]:[Colonna20]])</f>
        <v/>
      </c>
      <c r="AB74" s="117">
        <f>IF(
    AND($H74 &gt; $BA$7, Tabella01MarzoInverter[[#This Row],[Active power TX2-INV-1]] &lt;= 0, Tabella01MarzoInverter[[#This Row],[TX2 - Average Power]] &lt;= 0),
    MIN(($H74 / 1000) * AB$10 * $BA$4, AB$11 * 0.876) * 0.25,
    IF(
        AND($H74 &gt; $BA$7, Tabella01MarzoInverter[[#This Row],[Active power TX2-INV-1]] &lt;= 0),
        Tabella01MarzoInverter[[#This Row],[TX2 - Average Power]] * 0.25,
        0
    )
    +
    IF(
        $N74 &lt; 0.875,
        MAX(0, MIN(($H74 / 1000) * AB$10 * $BA$4, AB$11 * 0.876) - (AB$11 * $N74)) * 0.25,
        0
    )
)</f>
        <v/>
      </c>
      <c r="AC74" s="117">
        <f>IF(
    AND($H74 &gt; $BA$7, Tabella01MarzoInverter[[#This Row],[Active power TX2-INV-2]] &lt;= 0, Tabella01MarzoInverter[[#This Row],[TX2 - Max Power]] &lt;= 0),
    MIN(($H74 / 1000) * AC$10 * $BA$4, AC$11 * 0.876) * 0.25,
    IF(
        AND($H74 &gt; $BA$7, Tabella01MarzoInverter[[#This Row],[Active power TX2-INV-2]] &lt;= 0),
        Tabella01MarzoInverter[[#This Row],[TX2 - Max Power]] * 0.25,
        0
    )
    +
    IF(
        $N74 &lt; 0.875,
        MAX(0, MIN(($H74 / 1000) * AC$10 * $BA$4, AC$11 * 0.876) - (AC$11 * $N74)) * 0.25,
        0
    )
)</f>
        <v/>
      </c>
      <c r="AD74" s="117">
        <f>IF(
    AND($H74 &gt; $BA$7, Tabella01MarzoInverter[[#This Row],[Active power TX2-INV-3]] &lt;= 0, Tabella01MarzoInverter[[#This Row],[TX2 - Min Power]] &lt;= 0),
    MIN(($H74 / 1000) * AD$10 * $BA$4, AD$11 * 0.876) * 0.25,
    IF(
        AND($H74 &gt; $BA$7, Tabella01MarzoInverter[[#This Row],[Active power TX2-INV-3]] &lt;= 0),
        Tabella01MarzoInverter[[#This Row],[TX2 - Min Power]] * 0.25,
        0
    )
    +
    IF(
        $N74 &lt; 0.875,
        MAX(0, MIN(($H74 / 1000) * AD$10 * $BA$4, AD$11 * 0.876) - (AD$11 * $N74)) * 0.25,
        0
    )
)</f>
        <v/>
      </c>
      <c r="AE74" s="117">
        <f>IF(
    AND($H74 &gt; $BA$7, Tabella01MarzoInverter[[#This Row],[Active power TX2-INV-4]] &lt;= 0, Tabella01MarzoInverter[[#This Row],[Active power TX3-INV-1]] &lt;= 0),
    MIN(($H74 / 1000) * AE$10 * $BA$4, AE$11 * 0.876) * 0.25,
    IF(
        AND($H74 &gt; $BA$7, Tabella01MarzoInverter[[#This Row],[Active power TX2-INV-4]] &lt;= 0),
        Tabella01MarzoInverter[[#This Row],[Active power TX3-INV-1]] * 0.25,
        0
    )
    +
    IF(
        $N74 &lt; 0.875,
        MAX(0, MIN(($H74 / 1000) * AE$10 * $BA$4, AE$11 * 0.876) - (AE$11 * $N74)) * 0.25,
        0
    )
)</f>
        <v/>
      </c>
      <c r="AF74" s="117">
        <f>IF(
    AND($H74 &gt; $BA$7, Tabella01MarzoInverter[[#This Row],[Active power TX2-INV-5]] &lt;= 0, Tabella01MarzoInverter[[#This Row],[Active power TX3-INV-2]] &lt;= 0),
    MIN(($H74 / 1000) * AF$10 * $BA$4, AF$11 * 0.876) * 0.25,
    IF(
        AND($H74 &gt; $BA$7, Tabella01MarzoInverter[[#This Row],[Active power TX2-INV-5]] &lt;= 0),
        Tabella01MarzoInverter[[#This Row],[Active power TX3-INV-2]] * 0.25,
        0
    )
    +
    IF(
        $N74 &lt; 0.875,
        MAX(0, MIN(($H74 / 1000) * AF$10 * $BA$4, AF$11 * 0.876) - (AF$11 * $N74)) * 0.25,
        0
    )
)</f>
        <v/>
      </c>
      <c r="AG74" s="117">
        <f>IF(
    AND($H74 &gt; $BA$7, Tabella01MarzoInverter[[#This Row],[Active power TX2-INV-6]] &lt;= 0, Tabella01MarzoInverter[[#This Row],[Active power TX3-INV-3]] &lt;= 0),
    MIN(($H74 / 1000) * AG$10 * $BA$4, AG$11 * 0.876) * 0.25,
    IF(
        AND($H74 &gt; $BA$7, Tabella01MarzoInverter[[#This Row],[Active power TX2-INV-6]] &lt;= 0),
        Tabella01MarzoInverter[[#This Row],[Active power TX3-INV-3]] * 0.25,
        0
    )
    +
    IF(
        $N74 &lt; 0.875,
        MAX(0, MIN(($H74 / 1000) * AG$10 * $BA$4, AG$11 * 0.876) - (AG$11 * $N74)) * 0.25,
        0
    )
)</f>
        <v/>
      </c>
      <c r="AH74" s="117">
        <f>IF(
    AND($H74 &gt; $BA$7, Tabella01MarzoInverter[[#This Row],[Active power TX2-INV-7]] &lt;= 0, Tabella01MarzoInverter[[#This Row],[Active power TX3-INV-4]] &lt;= 0),
    MIN(($H74 / 1000) * AH$10 * $BA$4, AH$11 * 0.876) * 0.25,
    IF(
        AND($H74 &gt; $BA$7, Tabella01MarzoInverter[[#This Row],[Active power TX2-INV-7]] &lt;= 0),
        Tabella01MarzoInverter[[#This Row],[Active power TX3-INV-4]] * 0.25,
        0
    )
    +
    IF(
        $N74 &lt; 0.875,
        MAX(0, MIN(($H74 / 1000) * AH$10 * $BA$4, AH$11 * 0.876) - (AH$11 * $N74)) * 0.25,
        0
    )
)</f>
        <v/>
      </c>
      <c r="AI74" s="117">
        <f>IF(
    AND($H74 &gt; $BA$7, Tabella01MarzoInverter[[#This Row],[Active power TX2-INV-8]] &lt;= 0, Tabella01MarzoInverter[[#This Row],[Active power TX3-INV-5]] &lt;= 0),
    MIN(($H74 / 1000) * AI$10 * $BA$4, AI$11 * 0.876) * 0.25,
    IF(
        AND($H74 &gt; $BA$7, Tabella01MarzoInverter[[#This Row],[Active power TX2-INV-8]] &lt;= 0),
        Tabella01MarzoInverter[[#This Row],[Active power TX3-INV-5]] * 0.25,
        0
    )
    +
    IF(
        $N74 &lt; 0.875,
        MAX(0, MIN(($H74 / 1000) * AI$10 * $BA$4, AI$11 * 0.876) - (AI$11 * $N74)) * 0.25,
        0
    )
)</f>
        <v/>
      </c>
      <c r="AJ74" s="117">
        <f>IF(
    AND($H74 &gt; $BA$7, Tabella01MarzoInverter[[#This Row],[Active power TX2-INV-9]] &lt;= 0, Tabella01MarzoInverter[[#This Row],[Active power TX3-INV-6]] &lt;= 0),
    MIN(($H74 / 1000) * AJ$10 * $BA$4, AJ$11 * 0.876) * 0.25,
    IF(
        AND($H74 &gt; $BA$7, Tabella01MarzoInverter[[#This Row],[Active power TX2-INV-9]] &lt;= 0),
        Tabella01MarzoInverter[[#This Row],[Active power TX3-INV-6]] * 0.25,
        0
    )
    +
    IF(
        $N74 &lt; 0.875,
        MAX(0, MIN(($H74 / 1000) * AJ$10 * $BA$4, AJ$11 * 0.876) - (AJ$11 * $N74)) * 0.25,
        0
    )
)</f>
        <v/>
      </c>
      <c r="AK74" s="117">
        <f>IF(
    AND($H74 &gt; $BA$7, Tabella01MarzoInverter[[#This Row],[Active power TX2-INV-10]] &lt;= 0, Tabella01MarzoInverter[[#This Row],[Active power TX3-INV-7]] &lt;= 0),
    MIN(($H74 / 1000) * AK$10 * $BA$4, AK$11 * 0.876) * 0.25,
    IF(
        AND($H74 &gt; $BA$7, Tabella01MarzoInverter[[#This Row],[Active power TX2-INV-10]] &lt;= 0),
        Tabella01MarzoInverter[[#This Row],[Active power TX3-INV-7]] * 0.25,
        0
    )
    +
    IF(
        $N74 &lt; 0.875,
        MAX(0, MIN(($H74 / 1000) * AK$10 * $BA$4, AK$11 * 0.876) - (AK$11 * $N74)) * 0.25,
        0
    )
)</f>
        <v/>
      </c>
      <c r="AL74" s="117">
        <f>IF(
    AND($H74 &gt; $BA$7, Tabella01MarzoInverter[[#This Row],[Active power TX2-INV-11]] &lt;= 0, Tabella01MarzoInverter[[#This Row],[Active power TX3-INV-8]] &lt;= 0),
    MIN(($H74 / 1000) * AL$10 * $BA$4, AL$11 * 0.876) * 0.25,
    IF(
        AND($H74 &gt; $BA$7, Tabella01MarzoInverter[[#This Row],[Active power TX2-INV-11]] &lt;= 0),
        Tabella01MarzoInverter[[#This Row],[Active power TX3-INV-8]] * 0.25,
        0
    )
    +
    IF(
        $N74 &lt; 0.875,
        MAX(0, MIN(($H74 / 1000) * AL$10 * $BA$4, AL$11 * 0.876) - (AL$11 * $N74)) * 0.25,
        0
    )
)</f>
        <v/>
      </c>
      <c r="AM74" s="117">
        <f>IF(
    AND($H74 &gt; $BA$7, Tabella01MarzoInverter[[#This Row],[Active power TX2-INV-12]] &lt;= 0, Tabella01MarzoInverter[[#This Row],[Active power TX3-INV-9]] &lt;= 0),
    MIN(($H74 / 1000) * AM$10 * $BA$4, AM$11 * 0.876) * 0.25,
    IF(
        AND($H74 &gt; $BA$7, Tabella01MarzoInverter[[#This Row],[Active power TX2-INV-12]] &lt;= 0),
        Tabella01MarzoInverter[[#This Row],[Active power TX3-INV-9]] * 0.25,
        0
    )
    +
    IF(
        $N74 &lt; 0.875,
        MAX(0, MIN(($H74 / 1000) * AM$10 * $BA$4, AM$11 * 0.876) - (AM$11 * $N74)) * 0.25,
        0
    )
)</f>
        <v/>
      </c>
      <c r="AN74" s="118">
        <f>SUM(TabellaMar2026[[#This Row],[Colonna39]:[Colonna6]])</f>
        <v/>
      </c>
      <c r="AO74" s="117">
        <f t="array" ref="AO74">IF(
    AND($H74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($H74 / 1000) * AO$10 * $BA$4 * 0.25
    ),
    0
)
+
IF(
    $N74 &lt; 0.875,
    MAX(0, MIN(($H74 / 1000) * AO$10 * $BA$4, AO$11 * 0.876) - (AO$11 * $N74)) * 0.25,
    0
)</f>
        <v/>
      </c>
      <c r="AP74" s="117">
        <f t="array" ref="AP74">IF(
    AND($H74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($H74 / 1000) * AP$10 * $BA$4 * 0.25
    ),
    0
)
+
IF(
    $N74 &lt; 0.875,
    MAX(0, MIN(($H74 / 1000) * AP$10 * $BA$4, AP$11 * 0.876) - (AP$11 * $N74)) * 0.25,
    0
)</f>
        <v/>
      </c>
      <c r="AQ74" s="117">
        <f t="array" ref="AQ74">IF(
    AND($H74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($H74 / 1000) * AQ$10 * $BA$4 * 0.25
    ),
    0
)
+
IF(
    $N74 &lt; 0.875,
    MAX(0, MIN(($H74 / 1000) * AQ$10 * $BA$4, AQ$11 * 0.876) - (AQ$11 * $N74)) * 0.25,
    0
)</f>
        <v/>
      </c>
      <c r="AR74" s="117">
        <f t="array" ref="AR74">IF(
    AND($H74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($H74 / 1000) * AR$10 * $BA$4 * 0.25
    ),
    0
)
+
IF(
    $N74 &lt; 0.875,
    MAX(0, MIN(($H74 / 1000) * AR$10 * $BA$4, AR$11 * 0.876) - (AR$11 * $N74)) * 0.25,
    0
)</f>
        <v/>
      </c>
      <c r="AS74" s="117">
        <f t="array" ref="AS74">IF(
    AND($H74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($H74 / 1000) * AS$10 * $BA$4 * 0.25
    ),
    0
)
+
IF(
    $N74 &lt; 0.875,
    MAX(0, MIN(($H74 / 1000) * AS$10 * $BA$4, AS$11 * 0.876) - (AS$11 * $N74)) * 0.25,
    0
)</f>
        <v/>
      </c>
      <c r="AT74" s="117">
        <f t="array" ref="AT74">IF(
    AND($H74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($H74 / 1000) * AT$10 * $BA$4 * 0.25
    ),
    0
)
+
IF(
    $N74 &lt; 0.875,
    MAX(0, MIN(($H74 / 1000) * AT$10 * $BA$4, AT$11 * 0.876) - (AT$11 * $N74)) * 0.25,
    0
)</f>
        <v/>
      </c>
      <c r="AU74" s="117">
        <f t="array" ref="AU74">IF(
    AND($H74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($H74 / 1000) * AU$10 * $BA$4 * 0.25
    ),
    0
)
+
IF(
    $N74 &lt; 0.875,
    MAX(0, MIN(($H74 / 1000) * AU$10 * $BA$4, AU$11 * 0.876) - (AU$11 * $N74)) * 0.25,
    0
)</f>
        <v/>
      </c>
      <c r="AV74" s="117">
        <f t="array" ref="AV74">IF(
    AND($H74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($H74 / 1000) * AV$10 * $BA$4 * 0.25
    ),
    0
)
+
IF(
    $N74 &lt; 0.875,
    MAX(0, MIN(($H74 / 1000) * AV$10 * $BA$4, AV$11 * 0.876) - (AV$11 * $N74)) * 0.25,
    0
)</f>
        <v/>
      </c>
      <c r="AW74" s="117">
        <f t="array" ref="AW74">IF(
    AND($H74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($H74 / 1000) * AW$10 * $BA$4 * 0.25
    ),
    0
)
+
IF(
    $N74 &lt; 0.875,
    MAX(0, MIN(($H74 / 1000) * AW$10 * $BA$4, AW$11 * 0.876) - (AW$11 * $N74)) * 0.25,
    0
)</f>
        <v/>
      </c>
      <c r="AX74" s="117">
        <f t="array" ref="AX74">IF(
    AND($H74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($H74 / 1000) * AX$10 * $BA$4 * 0.25
    ),
    0
)
+
IF(
    $N74 &lt; 0.875,
    MAX(0, MIN(($H74 / 1000) * AX$10 * $BA$4, AX$11 * 0.876) - (AX$11 * $N74)) * 0.25,
    0
)</f>
        <v/>
      </c>
      <c r="AY74" s="117">
        <f t="array" ref="AY74">IF(
    AND($H74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($H74 / 1000) * AY$10 * $BA$4 * 0.25
    ),
    0
)
+
IF(
    $N74 &lt; 0.875,
    MAX(0, MIN(($H74 / 1000) * AY$10 * $BA$4, AY$11 * 0.876) - (AY$11 * $N74)) * 0.25,
    0
)</f>
        <v/>
      </c>
      <c r="AZ74" s="117">
        <f t="array" ref="AZ74">IF(
    AND($H74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($H74 / 1000) * AZ$10 * $BA$4 * 0.25
    ),
    0
)
+
IF(
    $N74 &lt; 0.875,
    MAX(0, MIN(($H74 / 1000) * AZ$10 * $BA$4, AZ$11 * 0.876) - (AZ$11 * $N74)) * 0.25,
    0
)</f>
        <v/>
      </c>
      <c r="BA74" s="119">
        <f>SUM(TabellaMar2026[[#This Row],[Colonna54]:[Colonna53]])</f>
        <v/>
      </c>
    </row>
    <row r="75">
      <c r="A75" s="112" t="n">
        <v>46143</v>
      </c>
      <c r="B75" t="inlineStr">
        <is>
          <t>15:00:00.000</t>
        </is>
      </c>
      <c r="C75" s="2" t="n">
        <v>944.9</v>
      </c>
      <c r="D75" s="113" t="n">
        <v>0.236225</v>
      </c>
      <c r="E75" s="113" t="n">
        <v>921.9</v>
      </c>
      <c r="F75" s="113" t="n">
        <v>0.230475</v>
      </c>
      <c r="G75" s="113">
        <f>IFERROR((D75+F75)/2, 0)</f>
        <v/>
      </c>
      <c r="H75" s="114">
        <f>IFERROR(IF(AVERAGE(C75,E75)&gt;$BA$7,AVERAGE(C75,E75),0), 0)</f>
        <v/>
      </c>
      <c r="I75" s="114">
        <f>IFERROR(IF(AND(D75=0,F75=0),0,IF(H75&gt;$BA$6,MAX(D75,F75),G75)), 0)</f>
        <v/>
      </c>
      <c r="J75" s="113">
        <f>IFERROR(IF(AND(D75&gt;0,F75&gt;0),ABS(D75-F75)/AVERAGE(D75,F75),0), 0)</f>
        <v/>
      </c>
      <c r="K75" s="113" t="n">
        <v>30131.6</v>
      </c>
      <c r="L75" s="113" t="n">
        <v>30131.6</v>
      </c>
      <c r="M75" s="115">
        <f>IFERROR((L75-K75)*1000, 0)</f>
        <v/>
      </c>
      <c r="N75" s="113" t="n">
        <v>0.0007000000000000001</v>
      </c>
      <c r="O75" s="115">
        <f t="array" ref="O75">IF(
    AND($H75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($H75 / 1000) * O$10 * $BA$4 * 0.25
    ),
    0
)
+
IF(
    $N75 &lt; 0.875,
    MAX(0, MIN(($H75 / 1000) * O$10 * $BA$4, O$11 * 0.876) - (O$11 * $N75)) * 0.25,
    0
)</f>
        <v/>
      </c>
      <c r="P75" s="115">
        <f t="array" ref="P75">IF(
    AND($H75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($H75 / 1000) * P$10 * $BA$4 * 0.25
    ),
    0
)
+
IF(
    $N75 &lt; 0.875,
    MAX(0, MIN(($H75 / 1000) * P$10 * $BA$4, P$11 * 0.876) - (P$11 * $N75)) * 0.25,
    0
)</f>
        <v/>
      </c>
      <c r="Q75" s="115">
        <f t="array" ref="Q75">IF(
    AND($H75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($H75 / 1000) * Q$10 * $BA$4 * 0.25
    ),
    0
)
+
IF(
    $N75 &lt; 0.875,
    MAX(0, MIN(($H75 / 1000) * Q$10 * $BA$4, Q$11 * 0.876) - (Q$11 * $N75)) * 0.25,
    0
)</f>
        <v/>
      </c>
      <c r="R75" s="115">
        <f t="array" ref="R75">IF(
    AND($H75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($H75 / 1000) * R$10 * $BA$4 * 0.25
    ),
    0
)
+
IF(
    $N75 &lt; 0.875,
    MAX(0, MIN(($H75 / 1000) * R$10 * $BA$4, R$11 * 0.876) - (R$11 * $N75)) * 0.25,
    0
)</f>
        <v/>
      </c>
      <c r="S75" s="115">
        <f t="array" ref="S75">IF(
    AND($H75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($H75 / 1000) * S$10 * $BA$4 * 0.25
    ),
    0
)
+
IF(
    $N75 &lt; 0.875,
    MAX(0, MIN(($H75 / 1000) * S$10 * $BA$4, S$11 * 0.876) - (S$11 * $N75)) * 0.25,
    0
)</f>
        <v/>
      </c>
      <c r="T75" s="115">
        <f t="array" ref="T75">IF(
    AND($H75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($H75 / 1000) * T$10 * $BA$4 * 0.25
    ),
    0
)
+
IF(
    $N75 &lt; 0.875,
    MAX(0, MIN(($H75 / 1000) * T$10 * $BA$4, T$11 * 0.876) - (T$11 * $N75)) * 0.25,
    0
)</f>
        <v/>
      </c>
      <c r="U75" s="115">
        <f t="array" ref="U75">IF(
    AND($H75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($H75 / 1000) * U$10 * $BA$4 * 0.25
    ),
    0
)
+
IF(
    $N75 &lt; 0.875,
    MAX(0, MIN(($H75 / 1000) * U$10 * $BA$4, U$11 * 0.876) - (U$11 * $N75)) * 0.25,
    0
)</f>
        <v/>
      </c>
      <c r="V75" s="115">
        <f t="array" ref="V75">IF(
    AND($H75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($H75 / 1000) * V$10 * $BA$4 * 0.25
    ),
    0
)
+
IF(
    $N75 &lt; 0.875,
    MAX(0, MIN(($H75 / 1000) * V$10 * $BA$4, V$11 * 0.876) - (V$11 * $N75)) * 0.25,
    0
)</f>
        <v/>
      </c>
      <c r="W75" s="115">
        <f t="array" ref="W75">IF(
    AND($H75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($H75 / 1000) * W$10 * $BA$4 * 0.25
    ),
    0
)
+
IF(
    $N75 &lt; 0.875,
    MAX(0, MIN(($H75 / 1000) * W$10 * $BA$4, W$11 * 0.876) - (W$11 * $N75)) * 0.25,
    0
)</f>
        <v/>
      </c>
      <c r="X75" s="115">
        <f t="array" ref="X75">IF(
    AND($H75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($H75 / 1000) * X$10 * $BA$4 * 0.25
    ),
    0
)
+
IF(
    $N75 &lt; 0.875,
    MAX(0, MIN(($H75 / 1000) * X$10 * $BA$4, X$11 * 0.876) - (X$11 * $N75)) * 0.25,
    0
)</f>
        <v/>
      </c>
      <c r="Y75" s="115">
        <f t="array" ref="Y75">IF(
    AND($H75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($H75 / 1000) * Y$10 * $BA$4 * 0.25
    ),
    0
)
+
IF(
    $N75 &lt; 0.875,
    MAX(0, MIN(($H75 / 1000) * Y$10 * $BA$4, Y$11 * 0.876) - (Y$11 * $N75)) * 0.25,
    0
)</f>
        <v/>
      </c>
      <c r="Z75" s="115">
        <f t="array" ref="Z75">IF(
    AND($H75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($H75 / 1000) * Z$10 * $BA$4 * 0.25
    ),
    0
)
+
IF(
    $N75 &lt; 0.875,
    MAX(0, MIN(($H75 / 1000) * Z$10 * $BA$4, Z$11 * 0.876) - (Z$11 * $N75)) * 0.25,
    0
)</f>
        <v/>
      </c>
      <c r="AA75" s="116">
        <f>SUM(TabellaMar2026[[#This Row],[Colonna24]:[Colonna20]])</f>
        <v/>
      </c>
      <c r="AB75" s="117">
        <f>IF(
    AND($H75 &gt; $BA$7, Tabella01MarzoInverter[[#This Row],[Active power TX2-INV-1]] &lt;= 0, Tabella01MarzoInverter[[#This Row],[TX2 - Average Power]] &lt;= 0),
    MIN(($H75 / 1000) * AB$10 * $BA$4, AB$11 * 0.876) * 0.25,
    IF(
        AND($H75 &gt; $BA$7, Tabella01MarzoInverter[[#This Row],[Active power TX2-INV-1]] &lt;= 0),
        Tabella01MarzoInverter[[#This Row],[TX2 - Average Power]] * 0.25,
        0
    )
    +
    IF(
        $N75 &lt; 0.875,
        MAX(0, MIN(($H75 / 1000) * AB$10 * $BA$4, AB$11 * 0.876) - (AB$11 * $N75)) * 0.25,
        0
    )
)</f>
        <v/>
      </c>
      <c r="AC75" s="117">
        <f>IF(
    AND($H75 &gt; $BA$7, Tabella01MarzoInverter[[#This Row],[Active power TX2-INV-2]] &lt;= 0, Tabella01MarzoInverter[[#This Row],[TX2 - Max Power]] &lt;= 0),
    MIN(($H75 / 1000) * AC$10 * $BA$4, AC$11 * 0.876) * 0.25,
    IF(
        AND($H75 &gt; $BA$7, Tabella01MarzoInverter[[#This Row],[Active power TX2-INV-2]] &lt;= 0),
        Tabella01MarzoInverter[[#This Row],[TX2 - Max Power]] * 0.25,
        0
    )
    +
    IF(
        $N75 &lt; 0.875,
        MAX(0, MIN(($H75 / 1000) * AC$10 * $BA$4, AC$11 * 0.876) - (AC$11 * $N75)) * 0.25,
        0
    )
)</f>
        <v/>
      </c>
      <c r="AD75" s="117">
        <f>IF(
    AND($H75 &gt; $BA$7, Tabella01MarzoInverter[[#This Row],[Active power TX2-INV-3]] &lt;= 0, Tabella01MarzoInverter[[#This Row],[TX2 - Min Power]] &lt;= 0),
    MIN(($H75 / 1000) * AD$10 * $BA$4, AD$11 * 0.876) * 0.25,
    IF(
        AND($H75 &gt; $BA$7, Tabella01MarzoInverter[[#This Row],[Active power TX2-INV-3]] &lt;= 0),
        Tabella01MarzoInverter[[#This Row],[TX2 - Min Power]] * 0.25,
        0
    )
    +
    IF(
        $N75 &lt; 0.875,
        MAX(0, MIN(($H75 / 1000) * AD$10 * $BA$4, AD$11 * 0.876) - (AD$11 * $N75)) * 0.25,
        0
    )
)</f>
        <v/>
      </c>
      <c r="AE75" s="117">
        <f>IF(
    AND($H75 &gt; $BA$7, Tabella01MarzoInverter[[#This Row],[Active power TX2-INV-4]] &lt;= 0, Tabella01MarzoInverter[[#This Row],[Active power TX3-INV-1]] &lt;= 0),
    MIN(($H75 / 1000) * AE$10 * $BA$4, AE$11 * 0.876) * 0.25,
    IF(
        AND($H75 &gt; $BA$7, Tabella01MarzoInverter[[#This Row],[Active power TX2-INV-4]] &lt;= 0),
        Tabella01MarzoInverter[[#This Row],[Active power TX3-INV-1]] * 0.25,
        0
    )
    +
    IF(
        $N75 &lt; 0.875,
        MAX(0, MIN(($H75 / 1000) * AE$10 * $BA$4, AE$11 * 0.876) - (AE$11 * $N75)) * 0.25,
        0
    )
)</f>
        <v/>
      </c>
      <c r="AF75" s="117">
        <f>IF(
    AND($H75 &gt; $BA$7, Tabella01MarzoInverter[[#This Row],[Active power TX2-INV-5]] &lt;= 0, Tabella01MarzoInverter[[#This Row],[Active power TX3-INV-2]] &lt;= 0),
    MIN(($H75 / 1000) * AF$10 * $BA$4, AF$11 * 0.876) * 0.25,
    IF(
        AND($H75 &gt; $BA$7, Tabella01MarzoInverter[[#This Row],[Active power TX2-INV-5]] &lt;= 0),
        Tabella01MarzoInverter[[#This Row],[Active power TX3-INV-2]] * 0.25,
        0
    )
    +
    IF(
        $N75 &lt; 0.875,
        MAX(0, MIN(($H75 / 1000) * AF$10 * $BA$4, AF$11 * 0.876) - (AF$11 * $N75)) * 0.25,
        0
    )
)</f>
        <v/>
      </c>
      <c r="AG75" s="117">
        <f>IF(
    AND($H75 &gt; $BA$7, Tabella01MarzoInverter[[#This Row],[Active power TX2-INV-6]] &lt;= 0, Tabella01MarzoInverter[[#This Row],[Active power TX3-INV-3]] &lt;= 0),
    MIN(($H75 / 1000) * AG$10 * $BA$4, AG$11 * 0.876) * 0.25,
    IF(
        AND($H75 &gt; $BA$7, Tabella01MarzoInverter[[#This Row],[Active power TX2-INV-6]] &lt;= 0),
        Tabella01MarzoInverter[[#This Row],[Active power TX3-INV-3]] * 0.25,
        0
    )
    +
    IF(
        $N75 &lt; 0.875,
        MAX(0, MIN(($H75 / 1000) * AG$10 * $BA$4, AG$11 * 0.876) - (AG$11 * $N75)) * 0.25,
        0
    )
)</f>
        <v/>
      </c>
      <c r="AH75" s="117">
        <f>IF(
    AND($H75 &gt; $BA$7, Tabella01MarzoInverter[[#This Row],[Active power TX2-INV-7]] &lt;= 0, Tabella01MarzoInverter[[#This Row],[Active power TX3-INV-4]] &lt;= 0),
    MIN(($H75 / 1000) * AH$10 * $BA$4, AH$11 * 0.876) * 0.25,
    IF(
        AND($H75 &gt; $BA$7, Tabella01MarzoInverter[[#This Row],[Active power TX2-INV-7]] &lt;= 0),
        Tabella01MarzoInverter[[#This Row],[Active power TX3-INV-4]] * 0.25,
        0
    )
    +
    IF(
        $N75 &lt; 0.875,
        MAX(0, MIN(($H75 / 1000) * AH$10 * $BA$4, AH$11 * 0.876) - (AH$11 * $N75)) * 0.25,
        0
    )
)</f>
        <v/>
      </c>
      <c r="AI75" s="117">
        <f>IF(
    AND($H75 &gt; $BA$7, Tabella01MarzoInverter[[#This Row],[Active power TX2-INV-8]] &lt;= 0, Tabella01MarzoInverter[[#This Row],[Active power TX3-INV-5]] &lt;= 0),
    MIN(($H75 / 1000) * AI$10 * $BA$4, AI$11 * 0.876) * 0.25,
    IF(
        AND($H75 &gt; $BA$7, Tabella01MarzoInverter[[#This Row],[Active power TX2-INV-8]] &lt;= 0),
        Tabella01MarzoInverter[[#This Row],[Active power TX3-INV-5]] * 0.25,
        0
    )
    +
    IF(
        $N75 &lt; 0.875,
        MAX(0, MIN(($H75 / 1000) * AI$10 * $BA$4, AI$11 * 0.876) - (AI$11 * $N75)) * 0.25,
        0
    )
)</f>
        <v/>
      </c>
      <c r="AJ75" s="117">
        <f>IF(
    AND($H75 &gt; $BA$7, Tabella01MarzoInverter[[#This Row],[Active power TX2-INV-9]] &lt;= 0, Tabella01MarzoInverter[[#This Row],[Active power TX3-INV-6]] &lt;= 0),
    MIN(($H75 / 1000) * AJ$10 * $BA$4, AJ$11 * 0.876) * 0.25,
    IF(
        AND($H75 &gt; $BA$7, Tabella01MarzoInverter[[#This Row],[Active power TX2-INV-9]] &lt;= 0),
        Tabella01MarzoInverter[[#This Row],[Active power TX3-INV-6]] * 0.25,
        0
    )
    +
    IF(
        $N75 &lt; 0.875,
        MAX(0, MIN(($H75 / 1000) * AJ$10 * $BA$4, AJ$11 * 0.876) - (AJ$11 * $N75)) * 0.25,
        0
    )
)</f>
        <v/>
      </c>
      <c r="AK75" s="117">
        <f>IF(
    AND($H75 &gt; $BA$7, Tabella01MarzoInverter[[#This Row],[Active power TX2-INV-10]] &lt;= 0, Tabella01MarzoInverter[[#This Row],[Active power TX3-INV-7]] &lt;= 0),
    MIN(($H75 / 1000) * AK$10 * $BA$4, AK$11 * 0.876) * 0.25,
    IF(
        AND($H75 &gt; $BA$7, Tabella01MarzoInverter[[#This Row],[Active power TX2-INV-10]] &lt;= 0),
        Tabella01MarzoInverter[[#This Row],[Active power TX3-INV-7]] * 0.25,
        0
    )
    +
    IF(
        $N75 &lt; 0.875,
        MAX(0, MIN(($H75 / 1000) * AK$10 * $BA$4, AK$11 * 0.876) - (AK$11 * $N75)) * 0.25,
        0
    )
)</f>
        <v/>
      </c>
      <c r="AL75" s="117">
        <f>IF(
    AND($H75 &gt; $BA$7, Tabella01MarzoInverter[[#This Row],[Active power TX2-INV-11]] &lt;= 0, Tabella01MarzoInverter[[#This Row],[Active power TX3-INV-8]] &lt;= 0),
    MIN(($H75 / 1000) * AL$10 * $BA$4, AL$11 * 0.876) * 0.25,
    IF(
        AND($H75 &gt; $BA$7, Tabella01MarzoInverter[[#This Row],[Active power TX2-INV-11]] &lt;= 0),
        Tabella01MarzoInverter[[#This Row],[Active power TX3-INV-8]] * 0.25,
        0
    )
    +
    IF(
        $N75 &lt; 0.875,
        MAX(0, MIN(($H75 / 1000) * AL$10 * $BA$4, AL$11 * 0.876) - (AL$11 * $N75)) * 0.25,
        0
    )
)</f>
        <v/>
      </c>
      <c r="AM75" s="117">
        <f>IF(
    AND($H75 &gt; $BA$7, Tabella01MarzoInverter[[#This Row],[Active power TX2-INV-12]] &lt;= 0, Tabella01MarzoInverter[[#This Row],[Active power TX3-INV-9]] &lt;= 0),
    MIN(($H75 / 1000) * AM$10 * $BA$4, AM$11 * 0.876) * 0.25,
    IF(
        AND($H75 &gt; $BA$7, Tabella01MarzoInverter[[#This Row],[Active power TX2-INV-12]] &lt;= 0),
        Tabella01MarzoInverter[[#This Row],[Active power TX3-INV-9]] * 0.25,
        0
    )
    +
    IF(
        $N75 &lt; 0.875,
        MAX(0, MIN(($H75 / 1000) * AM$10 * $BA$4, AM$11 * 0.876) - (AM$11 * $N75)) * 0.25,
        0
    )
)</f>
        <v/>
      </c>
      <c r="AN75" s="118">
        <f>SUM(TabellaMar2026[[#This Row],[Colonna39]:[Colonna6]])</f>
        <v/>
      </c>
      <c r="AO75" s="117">
        <f t="array" ref="AO75">IF(
    AND($H75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($H75 / 1000) * AO$10 * $BA$4 * 0.25
    ),
    0
)
+
IF(
    $N75 &lt; 0.875,
    MAX(0, MIN(($H75 / 1000) * AO$10 * $BA$4, AO$11 * 0.876) - (AO$11 * $N75)) * 0.25,
    0
)</f>
        <v/>
      </c>
      <c r="AP75" s="117">
        <f t="array" ref="AP75">IF(
    AND($H75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($H75 / 1000) * AP$10 * $BA$4 * 0.25
    ),
    0
)
+
IF(
    $N75 &lt; 0.875,
    MAX(0, MIN(($H75 / 1000) * AP$10 * $BA$4, AP$11 * 0.876) - (AP$11 * $N75)) * 0.25,
    0
)</f>
        <v/>
      </c>
      <c r="AQ75" s="117">
        <f t="array" ref="AQ75">IF(
    AND($H75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($H75 / 1000) * AQ$10 * $BA$4 * 0.25
    ),
    0
)
+
IF(
    $N75 &lt; 0.875,
    MAX(0, MIN(($H75 / 1000) * AQ$10 * $BA$4, AQ$11 * 0.876) - (AQ$11 * $N75)) * 0.25,
    0
)</f>
        <v/>
      </c>
      <c r="AR75" s="117">
        <f t="array" ref="AR75">IF(
    AND($H75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($H75 / 1000) * AR$10 * $BA$4 * 0.25
    ),
    0
)
+
IF(
    $N75 &lt; 0.875,
    MAX(0, MIN(($H75 / 1000) * AR$10 * $BA$4, AR$11 * 0.876) - (AR$11 * $N75)) * 0.25,
    0
)</f>
        <v/>
      </c>
      <c r="AS75" s="117">
        <f t="array" ref="AS75">IF(
    AND($H75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($H75 / 1000) * AS$10 * $BA$4 * 0.25
    ),
    0
)
+
IF(
    $N75 &lt; 0.875,
    MAX(0, MIN(($H75 / 1000) * AS$10 * $BA$4, AS$11 * 0.876) - (AS$11 * $N75)) * 0.25,
    0
)</f>
        <v/>
      </c>
      <c r="AT75" s="117">
        <f t="array" ref="AT75">IF(
    AND($H75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($H75 / 1000) * AT$10 * $BA$4 * 0.25
    ),
    0
)
+
IF(
    $N75 &lt; 0.875,
    MAX(0, MIN(($H75 / 1000) * AT$10 * $BA$4, AT$11 * 0.876) - (AT$11 * $N75)) * 0.25,
    0
)</f>
        <v/>
      </c>
      <c r="AU75" s="117">
        <f t="array" ref="AU75">IF(
    AND($H75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($H75 / 1000) * AU$10 * $BA$4 * 0.25
    ),
    0
)
+
IF(
    $N75 &lt; 0.875,
    MAX(0, MIN(($H75 / 1000) * AU$10 * $BA$4, AU$11 * 0.876) - (AU$11 * $N75)) * 0.25,
    0
)</f>
        <v/>
      </c>
      <c r="AV75" s="117">
        <f t="array" ref="AV75">IF(
    AND($H75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($H75 / 1000) * AV$10 * $BA$4 * 0.25
    ),
    0
)
+
IF(
    $N75 &lt; 0.875,
    MAX(0, MIN(($H75 / 1000) * AV$10 * $BA$4, AV$11 * 0.876) - (AV$11 * $N75)) * 0.25,
    0
)</f>
        <v/>
      </c>
      <c r="AW75" s="117">
        <f t="array" ref="AW75">IF(
    AND($H75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($H75 / 1000) * AW$10 * $BA$4 * 0.25
    ),
    0
)
+
IF(
    $N75 &lt; 0.875,
    MAX(0, MIN(($H75 / 1000) * AW$10 * $BA$4, AW$11 * 0.876) - (AW$11 * $N75)) * 0.25,
    0
)</f>
        <v/>
      </c>
      <c r="AX75" s="117">
        <f t="array" ref="AX75">IF(
    AND($H75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($H75 / 1000) * AX$10 * $BA$4 * 0.25
    ),
    0
)
+
IF(
    $N75 &lt; 0.875,
    MAX(0, MIN(($H75 / 1000) * AX$10 * $BA$4, AX$11 * 0.876) - (AX$11 * $N75)) * 0.25,
    0
)</f>
        <v/>
      </c>
      <c r="AY75" s="117">
        <f t="array" ref="AY75">IF(
    AND($H75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($H75 / 1000) * AY$10 * $BA$4 * 0.25
    ),
    0
)
+
IF(
    $N75 &lt; 0.875,
    MAX(0, MIN(($H75 / 1000) * AY$10 * $BA$4, AY$11 * 0.876) - (AY$11 * $N75)) * 0.25,
    0
)</f>
        <v/>
      </c>
      <c r="AZ75" s="117">
        <f t="array" ref="AZ75">IF(
    AND($H75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($H75 / 1000) * AZ$10 * $BA$4 * 0.25
    ),
    0
)
+
IF(
    $N75 &lt; 0.875,
    MAX(0, MIN(($H75 / 1000) * AZ$10 * $BA$4, AZ$11 * 0.876) - (AZ$11 * $N75)) * 0.25,
    0
)</f>
        <v/>
      </c>
      <c r="BA75" s="119">
        <f>SUM(TabellaMar2026[[#This Row],[Colonna54]:[Colonna53]])</f>
        <v/>
      </c>
    </row>
    <row r="76">
      <c r="A76" s="112" t="n">
        <v>46143</v>
      </c>
      <c r="B76" t="inlineStr">
        <is>
          <t>15:15:00.000</t>
        </is>
      </c>
      <c r="C76" s="2" t="n">
        <v>902.7</v>
      </c>
      <c r="D76" s="113" t="n">
        <v>0.225675</v>
      </c>
      <c r="E76" s="113" t="n">
        <v>881.8</v>
      </c>
      <c r="F76" s="113" t="n">
        <v>0.22045</v>
      </c>
      <c r="G76" s="113">
        <f>IFERROR((D76+F76)/2, 0)</f>
        <v/>
      </c>
      <c r="H76" s="114">
        <f>IFERROR(IF(AVERAGE(C76,E76)&gt;$BA$7,AVERAGE(C76,E76),0), 0)</f>
        <v/>
      </c>
      <c r="I76" s="114">
        <f>IFERROR(IF(AND(D76=0,F76=0),0,IF(H76&gt;$BA$6,MAX(D76,F76),G76)), 0)</f>
        <v/>
      </c>
      <c r="J76" s="113">
        <f>IFERROR(IF(AND(D76&gt;0,F76&gt;0),ABS(D76-F76)/AVERAGE(D76,F76),0), 0)</f>
        <v/>
      </c>
      <c r="K76" s="113" t="n">
        <v>30131.6</v>
      </c>
      <c r="L76" s="113" t="n">
        <v>30131.6</v>
      </c>
      <c r="M76" s="115">
        <f>IFERROR((L76-K76)*1000, 0)</f>
        <v/>
      </c>
      <c r="N76" s="113" t="n">
        <v>0.0007000000000000001</v>
      </c>
      <c r="O76" s="115">
        <f t="array" ref="O76">IF(
    AND($H76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($H76 / 1000) * O$10 * $BA$4 * 0.25
    ),
    0
)
+
IF(
    $N76 &lt; 0.875,
    MAX(0, MIN(($H76 / 1000) * O$10 * $BA$4, O$11 * 0.876) - (O$11 * $N76)) * 0.25,
    0
)</f>
        <v/>
      </c>
      <c r="P76" s="115">
        <f t="array" ref="P76">IF(
    AND($H76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($H76 / 1000) * P$10 * $BA$4 * 0.25
    ),
    0
)
+
IF(
    $N76 &lt; 0.875,
    MAX(0, MIN(($H76 / 1000) * P$10 * $BA$4, P$11 * 0.876) - (P$11 * $N76)) * 0.25,
    0
)</f>
        <v/>
      </c>
      <c r="Q76" s="115">
        <f t="array" ref="Q76">IF(
    AND($H76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($H76 / 1000) * Q$10 * $BA$4 * 0.25
    ),
    0
)
+
IF(
    $N76 &lt; 0.875,
    MAX(0, MIN(($H76 / 1000) * Q$10 * $BA$4, Q$11 * 0.876) - (Q$11 * $N76)) * 0.25,
    0
)</f>
        <v/>
      </c>
      <c r="R76" s="115">
        <f t="array" ref="R76">IF(
    AND($H76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($H76 / 1000) * R$10 * $BA$4 * 0.25
    ),
    0
)
+
IF(
    $N76 &lt; 0.875,
    MAX(0, MIN(($H76 / 1000) * R$10 * $BA$4, R$11 * 0.876) - (R$11 * $N76)) * 0.25,
    0
)</f>
        <v/>
      </c>
      <c r="S76" s="115">
        <f t="array" ref="S76">IF(
    AND($H76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($H76 / 1000) * S$10 * $BA$4 * 0.25
    ),
    0
)
+
IF(
    $N76 &lt; 0.875,
    MAX(0, MIN(($H76 / 1000) * S$10 * $BA$4, S$11 * 0.876) - (S$11 * $N76)) * 0.25,
    0
)</f>
        <v/>
      </c>
      <c r="T76" s="115">
        <f t="array" ref="T76">IF(
    AND($H76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($H76 / 1000) * T$10 * $BA$4 * 0.25
    ),
    0
)
+
IF(
    $N76 &lt; 0.875,
    MAX(0, MIN(($H76 / 1000) * T$10 * $BA$4, T$11 * 0.876) - (T$11 * $N76)) * 0.25,
    0
)</f>
        <v/>
      </c>
      <c r="U76" s="115">
        <f t="array" ref="U76">IF(
    AND($H76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($H76 / 1000) * U$10 * $BA$4 * 0.25
    ),
    0
)
+
IF(
    $N76 &lt; 0.875,
    MAX(0, MIN(($H76 / 1000) * U$10 * $BA$4, U$11 * 0.876) - (U$11 * $N76)) * 0.25,
    0
)</f>
        <v/>
      </c>
      <c r="V76" s="115">
        <f t="array" ref="V76">IF(
    AND($H76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($H76 / 1000) * V$10 * $BA$4 * 0.25
    ),
    0
)
+
IF(
    $N76 &lt; 0.875,
    MAX(0, MIN(($H76 / 1000) * V$10 * $BA$4, V$11 * 0.876) - (V$11 * $N76)) * 0.25,
    0
)</f>
        <v/>
      </c>
      <c r="W76" s="115">
        <f t="array" ref="W76">IF(
    AND($H76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($H76 / 1000) * W$10 * $BA$4 * 0.25
    ),
    0
)
+
IF(
    $N76 &lt; 0.875,
    MAX(0, MIN(($H76 / 1000) * W$10 * $BA$4, W$11 * 0.876) - (W$11 * $N76)) * 0.25,
    0
)</f>
        <v/>
      </c>
      <c r="X76" s="115">
        <f t="array" ref="X76">IF(
    AND($H76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($H76 / 1000) * X$10 * $BA$4 * 0.25
    ),
    0
)
+
IF(
    $N76 &lt; 0.875,
    MAX(0, MIN(($H76 / 1000) * X$10 * $BA$4, X$11 * 0.876) - (X$11 * $N76)) * 0.25,
    0
)</f>
        <v/>
      </c>
      <c r="Y76" s="115">
        <f t="array" ref="Y76">IF(
    AND($H76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($H76 / 1000) * Y$10 * $BA$4 * 0.25
    ),
    0
)
+
IF(
    $N76 &lt; 0.875,
    MAX(0, MIN(($H76 / 1000) * Y$10 * $BA$4, Y$11 * 0.876) - (Y$11 * $N76)) * 0.25,
    0
)</f>
        <v/>
      </c>
      <c r="Z76" s="115">
        <f t="array" ref="Z76">IF(
    AND($H76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($H76 / 1000) * Z$10 * $BA$4 * 0.25
    ),
    0
)
+
IF(
    $N76 &lt; 0.875,
    MAX(0, MIN(($H76 / 1000) * Z$10 * $BA$4, Z$11 * 0.876) - (Z$11 * $N76)) * 0.25,
    0
)</f>
        <v/>
      </c>
      <c r="AA76" s="116">
        <f>SUM(TabellaMar2026[[#This Row],[Colonna24]:[Colonna20]])</f>
        <v/>
      </c>
      <c r="AB76" s="117">
        <f>IF(
    AND($H76 &gt; $BA$7, Tabella01MarzoInverter[[#This Row],[Active power TX2-INV-1]] &lt;= 0, Tabella01MarzoInverter[[#This Row],[TX2 - Average Power]] &lt;= 0),
    MIN(($H76 / 1000) * AB$10 * $BA$4, AB$11 * 0.876) * 0.25,
    IF(
        AND($H76 &gt; $BA$7, Tabella01MarzoInverter[[#This Row],[Active power TX2-INV-1]] &lt;= 0),
        Tabella01MarzoInverter[[#This Row],[TX2 - Average Power]] * 0.25,
        0
    )
    +
    IF(
        $N76 &lt; 0.875,
        MAX(0, MIN(($H76 / 1000) * AB$10 * $BA$4, AB$11 * 0.876) - (AB$11 * $N76)) * 0.25,
        0
    )
)</f>
        <v/>
      </c>
      <c r="AC76" s="117">
        <f>IF(
    AND($H76 &gt; $BA$7, Tabella01MarzoInverter[[#This Row],[Active power TX2-INV-2]] &lt;= 0, Tabella01MarzoInverter[[#This Row],[TX2 - Max Power]] &lt;= 0),
    MIN(($H76 / 1000) * AC$10 * $BA$4, AC$11 * 0.876) * 0.25,
    IF(
        AND($H76 &gt; $BA$7, Tabella01MarzoInverter[[#This Row],[Active power TX2-INV-2]] &lt;= 0),
        Tabella01MarzoInverter[[#This Row],[TX2 - Max Power]] * 0.25,
        0
    )
    +
    IF(
        $N76 &lt; 0.875,
        MAX(0, MIN(($H76 / 1000) * AC$10 * $BA$4, AC$11 * 0.876) - (AC$11 * $N76)) * 0.25,
        0
    )
)</f>
        <v/>
      </c>
      <c r="AD76" s="117">
        <f>IF(
    AND($H76 &gt; $BA$7, Tabella01MarzoInverter[[#This Row],[Active power TX2-INV-3]] &lt;= 0, Tabella01MarzoInverter[[#This Row],[TX2 - Min Power]] &lt;= 0),
    MIN(($H76 / 1000) * AD$10 * $BA$4, AD$11 * 0.876) * 0.25,
    IF(
        AND($H76 &gt; $BA$7, Tabella01MarzoInverter[[#This Row],[Active power TX2-INV-3]] &lt;= 0),
        Tabella01MarzoInverter[[#This Row],[TX2 - Min Power]] * 0.25,
        0
    )
    +
    IF(
        $N76 &lt; 0.875,
        MAX(0, MIN(($H76 / 1000) * AD$10 * $BA$4, AD$11 * 0.876) - (AD$11 * $N76)) * 0.25,
        0
    )
)</f>
        <v/>
      </c>
      <c r="AE76" s="117">
        <f>IF(
    AND($H76 &gt; $BA$7, Tabella01MarzoInverter[[#This Row],[Active power TX2-INV-4]] &lt;= 0, Tabella01MarzoInverter[[#This Row],[Active power TX3-INV-1]] &lt;= 0),
    MIN(($H76 / 1000) * AE$10 * $BA$4, AE$11 * 0.876) * 0.25,
    IF(
        AND($H76 &gt; $BA$7, Tabella01MarzoInverter[[#This Row],[Active power TX2-INV-4]] &lt;= 0),
        Tabella01MarzoInverter[[#This Row],[Active power TX3-INV-1]] * 0.25,
        0
    )
    +
    IF(
        $N76 &lt; 0.875,
        MAX(0, MIN(($H76 / 1000) * AE$10 * $BA$4, AE$11 * 0.876) - (AE$11 * $N76)) * 0.25,
        0
    )
)</f>
        <v/>
      </c>
      <c r="AF76" s="117">
        <f>IF(
    AND($H76 &gt; $BA$7, Tabella01MarzoInverter[[#This Row],[Active power TX2-INV-5]] &lt;= 0, Tabella01MarzoInverter[[#This Row],[Active power TX3-INV-2]] &lt;= 0),
    MIN(($H76 / 1000) * AF$10 * $BA$4, AF$11 * 0.876) * 0.25,
    IF(
        AND($H76 &gt; $BA$7, Tabella01MarzoInverter[[#This Row],[Active power TX2-INV-5]] &lt;= 0),
        Tabella01MarzoInverter[[#This Row],[Active power TX3-INV-2]] * 0.25,
        0
    )
    +
    IF(
        $N76 &lt; 0.875,
        MAX(0, MIN(($H76 / 1000) * AF$10 * $BA$4, AF$11 * 0.876) - (AF$11 * $N76)) * 0.25,
        0
    )
)</f>
        <v/>
      </c>
      <c r="AG76" s="117">
        <f>IF(
    AND($H76 &gt; $BA$7, Tabella01MarzoInverter[[#This Row],[Active power TX2-INV-6]] &lt;= 0, Tabella01MarzoInverter[[#This Row],[Active power TX3-INV-3]] &lt;= 0),
    MIN(($H76 / 1000) * AG$10 * $BA$4, AG$11 * 0.876) * 0.25,
    IF(
        AND($H76 &gt; $BA$7, Tabella01MarzoInverter[[#This Row],[Active power TX2-INV-6]] &lt;= 0),
        Tabella01MarzoInverter[[#This Row],[Active power TX3-INV-3]] * 0.25,
        0
    )
    +
    IF(
        $N76 &lt; 0.875,
        MAX(0, MIN(($H76 / 1000) * AG$10 * $BA$4, AG$11 * 0.876) - (AG$11 * $N76)) * 0.25,
        0
    )
)</f>
        <v/>
      </c>
      <c r="AH76" s="117">
        <f>IF(
    AND($H76 &gt; $BA$7, Tabella01MarzoInverter[[#This Row],[Active power TX2-INV-7]] &lt;= 0, Tabella01MarzoInverter[[#This Row],[Active power TX3-INV-4]] &lt;= 0),
    MIN(($H76 / 1000) * AH$10 * $BA$4, AH$11 * 0.876) * 0.25,
    IF(
        AND($H76 &gt; $BA$7, Tabella01MarzoInverter[[#This Row],[Active power TX2-INV-7]] &lt;= 0),
        Tabella01MarzoInverter[[#This Row],[Active power TX3-INV-4]] * 0.25,
        0
    )
    +
    IF(
        $N76 &lt; 0.875,
        MAX(0, MIN(($H76 / 1000) * AH$10 * $BA$4, AH$11 * 0.876) - (AH$11 * $N76)) * 0.25,
        0
    )
)</f>
        <v/>
      </c>
      <c r="AI76" s="117">
        <f>IF(
    AND($H76 &gt; $BA$7, Tabella01MarzoInverter[[#This Row],[Active power TX2-INV-8]] &lt;= 0, Tabella01MarzoInverter[[#This Row],[Active power TX3-INV-5]] &lt;= 0),
    MIN(($H76 / 1000) * AI$10 * $BA$4, AI$11 * 0.876) * 0.25,
    IF(
        AND($H76 &gt; $BA$7, Tabella01MarzoInverter[[#This Row],[Active power TX2-INV-8]] &lt;= 0),
        Tabella01MarzoInverter[[#This Row],[Active power TX3-INV-5]] * 0.25,
        0
    )
    +
    IF(
        $N76 &lt; 0.875,
        MAX(0, MIN(($H76 / 1000) * AI$10 * $BA$4, AI$11 * 0.876) - (AI$11 * $N76)) * 0.25,
        0
    )
)</f>
        <v/>
      </c>
      <c r="AJ76" s="117">
        <f>IF(
    AND($H76 &gt; $BA$7, Tabella01MarzoInverter[[#This Row],[Active power TX2-INV-9]] &lt;= 0, Tabella01MarzoInverter[[#This Row],[Active power TX3-INV-6]] &lt;= 0),
    MIN(($H76 / 1000) * AJ$10 * $BA$4, AJ$11 * 0.876) * 0.25,
    IF(
        AND($H76 &gt; $BA$7, Tabella01MarzoInverter[[#This Row],[Active power TX2-INV-9]] &lt;= 0),
        Tabella01MarzoInverter[[#This Row],[Active power TX3-INV-6]] * 0.25,
        0
    )
    +
    IF(
        $N76 &lt; 0.875,
        MAX(0, MIN(($H76 / 1000) * AJ$10 * $BA$4, AJ$11 * 0.876) - (AJ$11 * $N76)) * 0.25,
        0
    )
)</f>
        <v/>
      </c>
      <c r="AK76" s="117">
        <f>IF(
    AND($H76 &gt; $BA$7, Tabella01MarzoInverter[[#This Row],[Active power TX2-INV-10]] &lt;= 0, Tabella01MarzoInverter[[#This Row],[Active power TX3-INV-7]] &lt;= 0),
    MIN(($H76 / 1000) * AK$10 * $BA$4, AK$11 * 0.876) * 0.25,
    IF(
        AND($H76 &gt; $BA$7, Tabella01MarzoInverter[[#This Row],[Active power TX2-INV-10]] &lt;= 0),
        Tabella01MarzoInverter[[#This Row],[Active power TX3-INV-7]] * 0.25,
        0
    )
    +
    IF(
        $N76 &lt; 0.875,
        MAX(0, MIN(($H76 / 1000) * AK$10 * $BA$4, AK$11 * 0.876) - (AK$11 * $N76)) * 0.25,
        0
    )
)</f>
        <v/>
      </c>
      <c r="AL76" s="117">
        <f>IF(
    AND($H76 &gt; $BA$7, Tabella01MarzoInverter[[#This Row],[Active power TX2-INV-11]] &lt;= 0, Tabella01MarzoInverter[[#This Row],[Active power TX3-INV-8]] &lt;= 0),
    MIN(($H76 / 1000) * AL$10 * $BA$4, AL$11 * 0.876) * 0.25,
    IF(
        AND($H76 &gt; $BA$7, Tabella01MarzoInverter[[#This Row],[Active power TX2-INV-11]] &lt;= 0),
        Tabella01MarzoInverter[[#This Row],[Active power TX3-INV-8]] * 0.25,
        0
    )
    +
    IF(
        $N76 &lt; 0.875,
        MAX(0, MIN(($H76 / 1000) * AL$10 * $BA$4, AL$11 * 0.876) - (AL$11 * $N76)) * 0.25,
        0
    )
)</f>
        <v/>
      </c>
      <c r="AM76" s="117">
        <f>IF(
    AND($H76 &gt; $BA$7, Tabella01MarzoInverter[[#This Row],[Active power TX2-INV-12]] &lt;= 0, Tabella01MarzoInverter[[#This Row],[Active power TX3-INV-9]] &lt;= 0),
    MIN(($H76 / 1000) * AM$10 * $BA$4, AM$11 * 0.876) * 0.25,
    IF(
        AND($H76 &gt; $BA$7, Tabella01MarzoInverter[[#This Row],[Active power TX2-INV-12]] &lt;= 0),
        Tabella01MarzoInverter[[#This Row],[Active power TX3-INV-9]] * 0.25,
        0
    )
    +
    IF(
        $N76 &lt; 0.875,
        MAX(0, MIN(($H76 / 1000) * AM$10 * $BA$4, AM$11 * 0.876) - (AM$11 * $N76)) * 0.25,
        0
    )
)</f>
        <v/>
      </c>
      <c r="AN76" s="118">
        <f>SUM(TabellaMar2026[[#This Row],[Colonna39]:[Colonna6]])</f>
        <v/>
      </c>
      <c r="AO76" s="117">
        <f t="array" ref="AO76">IF(
    AND($H76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($H76 / 1000) * AO$10 * $BA$4 * 0.25
    ),
    0
)
+
IF(
    $N76 &lt; 0.875,
    MAX(0, MIN(($H76 / 1000) * AO$10 * $BA$4, AO$11 * 0.876) - (AO$11 * $N76)) * 0.25,
    0
)</f>
        <v/>
      </c>
      <c r="AP76" s="117">
        <f t="array" ref="AP76">IF(
    AND($H76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($H76 / 1000) * AP$10 * $BA$4 * 0.25
    ),
    0
)
+
IF(
    $N76 &lt; 0.875,
    MAX(0, MIN(($H76 / 1000) * AP$10 * $BA$4, AP$11 * 0.876) - (AP$11 * $N76)) * 0.25,
    0
)</f>
        <v/>
      </c>
      <c r="AQ76" s="117">
        <f t="array" ref="AQ76">IF(
    AND($H76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($H76 / 1000) * AQ$10 * $BA$4 * 0.25
    ),
    0
)
+
IF(
    $N76 &lt; 0.875,
    MAX(0, MIN(($H76 / 1000) * AQ$10 * $BA$4, AQ$11 * 0.876) - (AQ$11 * $N76)) * 0.25,
    0
)</f>
        <v/>
      </c>
      <c r="AR76" s="117">
        <f t="array" ref="AR76">IF(
    AND($H76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($H76 / 1000) * AR$10 * $BA$4 * 0.25
    ),
    0
)
+
IF(
    $N76 &lt; 0.875,
    MAX(0, MIN(($H76 / 1000) * AR$10 * $BA$4, AR$11 * 0.876) - (AR$11 * $N76)) * 0.25,
    0
)</f>
        <v/>
      </c>
      <c r="AS76" s="117">
        <f t="array" ref="AS76">IF(
    AND($H76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($H76 / 1000) * AS$10 * $BA$4 * 0.25
    ),
    0
)
+
IF(
    $N76 &lt; 0.875,
    MAX(0, MIN(($H76 / 1000) * AS$10 * $BA$4, AS$11 * 0.876) - (AS$11 * $N76)) * 0.25,
    0
)</f>
        <v/>
      </c>
      <c r="AT76" s="117">
        <f t="array" ref="AT76">IF(
    AND($H76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($H76 / 1000) * AT$10 * $BA$4 * 0.25
    ),
    0
)
+
IF(
    $N76 &lt; 0.875,
    MAX(0, MIN(($H76 / 1000) * AT$10 * $BA$4, AT$11 * 0.876) - (AT$11 * $N76)) * 0.25,
    0
)</f>
        <v/>
      </c>
      <c r="AU76" s="117">
        <f t="array" ref="AU76">IF(
    AND($H76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($H76 / 1000) * AU$10 * $BA$4 * 0.25
    ),
    0
)
+
IF(
    $N76 &lt; 0.875,
    MAX(0, MIN(($H76 / 1000) * AU$10 * $BA$4, AU$11 * 0.876) - (AU$11 * $N76)) * 0.25,
    0
)</f>
        <v/>
      </c>
      <c r="AV76" s="117">
        <f t="array" ref="AV76">IF(
    AND($H76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($H76 / 1000) * AV$10 * $BA$4 * 0.25
    ),
    0
)
+
IF(
    $N76 &lt; 0.875,
    MAX(0, MIN(($H76 / 1000) * AV$10 * $BA$4, AV$11 * 0.876) - (AV$11 * $N76)) * 0.25,
    0
)</f>
        <v/>
      </c>
      <c r="AW76" s="117">
        <f t="array" ref="AW76">IF(
    AND($H76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($H76 / 1000) * AW$10 * $BA$4 * 0.25
    ),
    0
)
+
IF(
    $N76 &lt; 0.875,
    MAX(0, MIN(($H76 / 1000) * AW$10 * $BA$4, AW$11 * 0.876) - (AW$11 * $N76)) * 0.25,
    0
)</f>
        <v/>
      </c>
      <c r="AX76" s="117">
        <f t="array" ref="AX76">IF(
    AND($H76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($H76 / 1000) * AX$10 * $BA$4 * 0.25
    ),
    0
)
+
IF(
    $N76 &lt; 0.875,
    MAX(0, MIN(($H76 / 1000) * AX$10 * $BA$4, AX$11 * 0.876) - (AX$11 * $N76)) * 0.25,
    0
)</f>
        <v/>
      </c>
      <c r="AY76" s="117">
        <f t="array" ref="AY76">IF(
    AND($H76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($H76 / 1000) * AY$10 * $BA$4 * 0.25
    ),
    0
)
+
IF(
    $N76 &lt; 0.875,
    MAX(0, MIN(($H76 / 1000) * AY$10 * $BA$4, AY$11 * 0.876) - (AY$11 * $N76)) * 0.25,
    0
)</f>
        <v/>
      </c>
      <c r="AZ76" s="117">
        <f t="array" ref="AZ76">IF(
    AND($H76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($H76 / 1000) * AZ$10 * $BA$4 * 0.25
    ),
    0
)
+
IF(
    $N76 &lt; 0.875,
    MAX(0, MIN(($H76 / 1000) * AZ$10 * $BA$4, AZ$11 * 0.876) - (AZ$11 * $N76)) * 0.25,
    0
)</f>
        <v/>
      </c>
      <c r="BA76" s="119">
        <f>SUM(TabellaMar2026[[#This Row],[Colonna54]:[Colonna53]])</f>
        <v/>
      </c>
    </row>
    <row r="77">
      <c r="A77" s="112" t="n">
        <v>46143</v>
      </c>
      <c r="B77" t="inlineStr">
        <is>
          <t>15:30:00.000</t>
        </is>
      </c>
      <c r="C77" s="2" t="n">
        <v>1027.6</v>
      </c>
      <c r="D77" s="113" t="n">
        <v>0.2569</v>
      </c>
      <c r="E77" s="113" t="n">
        <v>999.9</v>
      </c>
      <c r="F77" s="113" t="n">
        <v>0.249975</v>
      </c>
      <c r="G77" s="113">
        <f>IFERROR((D77+F77)/2, 0)</f>
        <v/>
      </c>
      <c r="H77" s="114">
        <f>IFERROR(IF(AVERAGE(C77,E77)&gt;$BA$7,AVERAGE(C77,E77),0), 0)</f>
        <v/>
      </c>
      <c r="I77" s="114">
        <f>IFERROR(IF(AND(D77=0,F77=0),0,IF(H77&gt;$BA$6,MAX(D77,F77),G77)), 0)</f>
        <v/>
      </c>
      <c r="J77" s="113">
        <f>IFERROR(IF(AND(D77&gt;0,F77&gt;0),ABS(D77-F77)/AVERAGE(D77,F77),0), 0)</f>
        <v/>
      </c>
      <c r="K77" s="113" t="n">
        <v>30131.6</v>
      </c>
      <c r="L77" s="113" t="n">
        <v>30131.6</v>
      </c>
      <c r="M77" s="115">
        <f>IFERROR((L77-K77)*1000, 0)</f>
        <v/>
      </c>
      <c r="N77" s="113" t="n">
        <v>0.0007000000000000001</v>
      </c>
      <c r="O77" s="115">
        <f t="array" ref="O77">IF(
    AND($H77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($H77 / 1000) * O$10 * $BA$4 * 0.25
    ),
    0
)
+
IF(
    $N77 &lt; 0.875,
    MAX(0, MIN(($H77 / 1000) * O$10 * $BA$4, O$11 * 0.876) - (O$11 * $N77)) * 0.25,
    0
)</f>
        <v/>
      </c>
      <c r="P77" s="115">
        <f t="array" ref="P77">IF(
    AND($H77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($H77 / 1000) * P$10 * $BA$4 * 0.25
    ),
    0
)
+
IF(
    $N77 &lt; 0.875,
    MAX(0, MIN(($H77 / 1000) * P$10 * $BA$4, P$11 * 0.876) - (P$11 * $N77)) * 0.25,
    0
)</f>
        <v/>
      </c>
      <c r="Q77" s="115">
        <f t="array" ref="Q77">IF(
    AND($H77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($H77 / 1000) * Q$10 * $BA$4 * 0.25
    ),
    0
)
+
IF(
    $N77 &lt; 0.875,
    MAX(0, MIN(($H77 / 1000) * Q$10 * $BA$4, Q$11 * 0.876) - (Q$11 * $N77)) * 0.25,
    0
)</f>
        <v/>
      </c>
      <c r="R77" s="115">
        <f t="array" ref="R77">IF(
    AND($H77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($H77 / 1000) * R$10 * $BA$4 * 0.25
    ),
    0
)
+
IF(
    $N77 &lt; 0.875,
    MAX(0, MIN(($H77 / 1000) * R$10 * $BA$4, R$11 * 0.876) - (R$11 * $N77)) * 0.25,
    0
)</f>
        <v/>
      </c>
      <c r="S77" s="115">
        <f t="array" ref="S77">IF(
    AND($H77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($H77 / 1000) * S$10 * $BA$4 * 0.25
    ),
    0
)
+
IF(
    $N77 &lt; 0.875,
    MAX(0, MIN(($H77 / 1000) * S$10 * $BA$4, S$11 * 0.876) - (S$11 * $N77)) * 0.25,
    0
)</f>
        <v/>
      </c>
      <c r="T77" s="115">
        <f t="array" ref="T77">IF(
    AND($H77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($H77 / 1000) * T$10 * $BA$4 * 0.25
    ),
    0
)
+
IF(
    $N77 &lt; 0.875,
    MAX(0, MIN(($H77 / 1000) * T$10 * $BA$4, T$11 * 0.876) - (T$11 * $N77)) * 0.25,
    0
)</f>
        <v/>
      </c>
      <c r="U77" s="115">
        <f t="array" ref="U77">IF(
    AND($H77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($H77 / 1000) * U$10 * $BA$4 * 0.25
    ),
    0
)
+
IF(
    $N77 &lt; 0.875,
    MAX(0, MIN(($H77 / 1000) * U$10 * $BA$4, U$11 * 0.876) - (U$11 * $N77)) * 0.25,
    0
)</f>
        <v/>
      </c>
      <c r="V77" s="115">
        <f t="array" ref="V77">IF(
    AND($H77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($H77 / 1000) * V$10 * $BA$4 * 0.25
    ),
    0
)
+
IF(
    $N77 &lt; 0.875,
    MAX(0, MIN(($H77 / 1000) * V$10 * $BA$4, V$11 * 0.876) - (V$11 * $N77)) * 0.25,
    0
)</f>
        <v/>
      </c>
      <c r="W77" s="115">
        <f t="array" ref="W77">IF(
    AND($H77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($H77 / 1000) * W$10 * $BA$4 * 0.25
    ),
    0
)
+
IF(
    $N77 &lt; 0.875,
    MAX(0, MIN(($H77 / 1000) * W$10 * $BA$4, W$11 * 0.876) - (W$11 * $N77)) * 0.25,
    0
)</f>
        <v/>
      </c>
      <c r="X77" s="115">
        <f t="array" ref="X77">IF(
    AND($H77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($H77 / 1000) * X$10 * $BA$4 * 0.25
    ),
    0
)
+
IF(
    $N77 &lt; 0.875,
    MAX(0, MIN(($H77 / 1000) * X$10 * $BA$4, X$11 * 0.876) - (X$11 * $N77)) * 0.25,
    0
)</f>
        <v/>
      </c>
      <c r="Y77" s="115">
        <f t="array" ref="Y77">IF(
    AND($H77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($H77 / 1000) * Y$10 * $BA$4 * 0.25
    ),
    0
)
+
IF(
    $N77 &lt; 0.875,
    MAX(0, MIN(($H77 / 1000) * Y$10 * $BA$4, Y$11 * 0.876) - (Y$11 * $N77)) * 0.25,
    0
)</f>
        <v/>
      </c>
      <c r="Z77" s="115">
        <f t="array" ref="Z77">IF(
    AND($H77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($H77 / 1000) * Z$10 * $BA$4 * 0.25
    ),
    0
)
+
IF(
    $N77 &lt; 0.875,
    MAX(0, MIN(($H77 / 1000) * Z$10 * $BA$4, Z$11 * 0.876) - (Z$11 * $N77)) * 0.25,
    0
)</f>
        <v/>
      </c>
      <c r="AA77" s="116">
        <f>SUM(TabellaMar2026[[#This Row],[Colonna24]:[Colonna20]])</f>
        <v/>
      </c>
      <c r="AB77" s="117">
        <f>IF(
    AND($H77 &gt; $BA$7, Tabella01MarzoInverter[[#This Row],[Active power TX2-INV-1]] &lt;= 0, Tabella01MarzoInverter[[#This Row],[TX2 - Average Power]] &lt;= 0),
    MIN(($H77 / 1000) * AB$10 * $BA$4, AB$11 * 0.876) * 0.25,
    IF(
        AND($H77 &gt; $BA$7, Tabella01MarzoInverter[[#This Row],[Active power TX2-INV-1]] &lt;= 0),
        Tabella01MarzoInverter[[#This Row],[TX2 - Average Power]] * 0.25,
        0
    )
    +
    IF(
        $N77 &lt; 0.875,
        MAX(0, MIN(($H77 / 1000) * AB$10 * $BA$4, AB$11 * 0.876) - (AB$11 * $N77)) * 0.25,
        0
    )
)</f>
        <v/>
      </c>
      <c r="AC77" s="117">
        <f>IF(
    AND($H77 &gt; $BA$7, Tabella01MarzoInverter[[#This Row],[Active power TX2-INV-2]] &lt;= 0, Tabella01MarzoInverter[[#This Row],[TX2 - Max Power]] &lt;= 0),
    MIN(($H77 / 1000) * AC$10 * $BA$4, AC$11 * 0.876) * 0.25,
    IF(
        AND($H77 &gt; $BA$7, Tabella01MarzoInverter[[#This Row],[Active power TX2-INV-2]] &lt;= 0),
        Tabella01MarzoInverter[[#This Row],[TX2 - Max Power]] * 0.25,
        0
    )
    +
    IF(
        $N77 &lt; 0.875,
        MAX(0, MIN(($H77 / 1000) * AC$10 * $BA$4, AC$11 * 0.876) - (AC$11 * $N77)) * 0.25,
        0
    )
)</f>
        <v/>
      </c>
      <c r="AD77" s="117">
        <f>IF(
    AND($H77 &gt; $BA$7, Tabella01MarzoInverter[[#This Row],[Active power TX2-INV-3]] &lt;= 0, Tabella01MarzoInverter[[#This Row],[TX2 - Min Power]] &lt;= 0),
    MIN(($H77 / 1000) * AD$10 * $BA$4, AD$11 * 0.876) * 0.25,
    IF(
        AND($H77 &gt; $BA$7, Tabella01MarzoInverter[[#This Row],[Active power TX2-INV-3]] &lt;= 0),
        Tabella01MarzoInverter[[#This Row],[TX2 - Min Power]] * 0.25,
        0
    )
    +
    IF(
        $N77 &lt; 0.875,
        MAX(0, MIN(($H77 / 1000) * AD$10 * $BA$4, AD$11 * 0.876) - (AD$11 * $N77)) * 0.25,
        0
    )
)</f>
        <v/>
      </c>
      <c r="AE77" s="117">
        <f>IF(
    AND($H77 &gt; $BA$7, Tabella01MarzoInverter[[#This Row],[Active power TX2-INV-4]] &lt;= 0, Tabella01MarzoInverter[[#This Row],[Active power TX3-INV-1]] &lt;= 0),
    MIN(($H77 / 1000) * AE$10 * $BA$4, AE$11 * 0.876) * 0.25,
    IF(
        AND($H77 &gt; $BA$7, Tabella01MarzoInverter[[#This Row],[Active power TX2-INV-4]] &lt;= 0),
        Tabella01MarzoInverter[[#This Row],[Active power TX3-INV-1]] * 0.25,
        0
    )
    +
    IF(
        $N77 &lt; 0.875,
        MAX(0, MIN(($H77 / 1000) * AE$10 * $BA$4, AE$11 * 0.876) - (AE$11 * $N77)) * 0.25,
        0
    )
)</f>
        <v/>
      </c>
      <c r="AF77" s="117">
        <f>IF(
    AND($H77 &gt; $BA$7, Tabella01MarzoInverter[[#This Row],[Active power TX2-INV-5]] &lt;= 0, Tabella01MarzoInverter[[#This Row],[Active power TX3-INV-2]] &lt;= 0),
    MIN(($H77 / 1000) * AF$10 * $BA$4, AF$11 * 0.876) * 0.25,
    IF(
        AND($H77 &gt; $BA$7, Tabella01MarzoInverter[[#This Row],[Active power TX2-INV-5]] &lt;= 0),
        Tabella01MarzoInverter[[#This Row],[Active power TX3-INV-2]] * 0.25,
        0
    )
    +
    IF(
        $N77 &lt; 0.875,
        MAX(0, MIN(($H77 / 1000) * AF$10 * $BA$4, AF$11 * 0.876) - (AF$11 * $N77)) * 0.25,
        0
    )
)</f>
        <v/>
      </c>
      <c r="AG77" s="117">
        <f>IF(
    AND($H77 &gt; $BA$7, Tabella01MarzoInverter[[#This Row],[Active power TX2-INV-6]] &lt;= 0, Tabella01MarzoInverter[[#This Row],[Active power TX3-INV-3]] &lt;= 0),
    MIN(($H77 / 1000) * AG$10 * $BA$4, AG$11 * 0.876) * 0.25,
    IF(
        AND($H77 &gt; $BA$7, Tabella01MarzoInverter[[#This Row],[Active power TX2-INV-6]] &lt;= 0),
        Tabella01MarzoInverter[[#This Row],[Active power TX3-INV-3]] * 0.25,
        0
    )
    +
    IF(
        $N77 &lt; 0.875,
        MAX(0, MIN(($H77 / 1000) * AG$10 * $BA$4, AG$11 * 0.876) - (AG$11 * $N77)) * 0.25,
        0
    )
)</f>
        <v/>
      </c>
      <c r="AH77" s="117">
        <f>IF(
    AND($H77 &gt; $BA$7, Tabella01MarzoInverter[[#This Row],[Active power TX2-INV-7]] &lt;= 0, Tabella01MarzoInverter[[#This Row],[Active power TX3-INV-4]] &lt;= 0),
    MIN(($H77 / 1000) * AH$10 * $BA$4, AH$11 * 0.876) * 0.25,
    IF(
        AND($H77 &gt; $BA$7, Tabella01MarzoInverter[[#This Row],[Active power TX2-INV-7]] &lt;= 0),
        Tabella01MarzoInverter[[#This Row],[Active power TX3-INV-4]] * 0.25,
        0
    )
    +
    IF(
        $N77 &lt; 0.875,
        MAX(0, MIN(($H77 / 1000) * AH$10 * $BA$4, AH$11 * 0.876) - (AH$11 * $N77)) * 0.25,
        0
    )
)</f>
        <v/>
      </c>
      <c r="AI77" s="117">
        <f>IF(
    AND($H77 &gt; $BA$7, Tabella01MarzoInverter[[#This Row],[Active power TX2-INV-8]] &lt;= 0, Tabella01MarzoInverter[[#This Row],[Active power TX3-INV-5]] &lt;= 0),
    MIN(($H77 / 1000) * AI$10 * $BA$4, AI$11 * 0.876) * 0.25,
    IF(
        AND($H77 &gt; $BA$7, Tabella01MarzoInverter[[#This Row],[Active power TX2-INV-8]] &lt;= 0),
        Tabella01MarzoInverter[[#This Row],[Active power TX3-INV-5]] * 0.25,
        0
    )
    +
    IF(
        $N77 &lt; 0.875,
        MAX(0, MIN(($H77 / 1000) * AI$10 * $BA$4, AI$11 * 0.876) - (AI$11 * $N77)) * 0.25,
        0
    )
)</f>
        <v/>
      </c>
      <c r="AJ77" s="117">
        <f>IF(
    AND($H77 &gt; $BA$7, Tabella01MarzoInverter[[#This Row],[Active power TX2-INV-9]] &lt;= 0, Tabella01MarzoInverter[[#This Row],[Active power TX3-INV-6]] &lt;= 0),
    MIN(($H77 / 1000) * AJ$10 * $BA$4, AJ$11 * 0.876) * 0.25,
    IF(
        AND($H77 &gt; $BA$7, Tabella01MarzoInverter[[#This Row],[Active power TX2-INV-9]] &lt;= 0),
        Tabella01MarzoInverter[[#This Row],[Active power TX3-INV-6]] * 0.25,
        0
    )
    +
    IF(
        $N77 &lt; 0.875,
        MAX(0, MIN(($H77 / 1000) * AJ$10 * $BA$4, AJ$11 * 0.876) - (AJ$11 * $N77)) * 0.25,
        0
    )
)</f>
        <v/>
      </c>
      <c r="AK77" s="117">
        <f>IF(
    AND($H77 &gt; $BA$7, Tabella01MarzoInverter[[#This Row],[Active power TX2-INV-10]] &lt;= 0, Tabella01MarzoInverter[[#This Row],[Active power TX3-INV-7]] &lt;= 0),
    MIN(($H77 / 1000) * AK$10 * $BA$4, AK$11 * 0.876) * 0.25,
    IF(
        AND($H77 &gt; $BA$7, Tabella01MarzoInverter[[#This Row],[Active power TX2-INV-10]] &lt;= 0),
        Tabella01MarzoInverter[[#This Row],[Active power TX3-INV-7]] * 0.25,
        0
    )
    +
    IF(
        $N77 &lt; 0.875,
        MAX(0, MIN(($H77 / 1000) * AK$10 * $BA$4, AK$11 * 0.876) - (AK$11 * $N77)) * 0.25,
        0
    )
)</f>
        <v/>
      </c>
      <c r="AL77" s="117">
        <f>IF(
    AND($H77 &gt; $BA$7, Tabella01MarzoInverter[[#This Row],[Active power TX2-INV-11]] &lt;= 0, Tabella01MarzoInverter[[#This Row],[Active power TX3-INV-8]] &lt;= 0),
    MIN(($H77 / 1000) * AL$10 * $BA$4, AL$11 * 0.876) * 0.25,
    IF(
        AND($H77 &gt; $BA$7, Tabella01MarzoInverter[[#This Row],[Active power TX2-INV-11]] &lt;= 0),
        Tabella01MarzoInverter[[#This Row],[Active power TX3-INV-8]] * 0.25,
        0
    )
    +
    IF(
        $N77 &lt; 0.875,
        MAX(0, MIN(($H77 / 1000) * AL$10 * $BA$4, AL$11 * 0.876) - (AL$11 * $N77)) * 0.25,
        0
    )
)</f>
        <v/>
      </c>
      <c r="AM77" s="117">
        <f>IF(
    AND($H77 &gt; $BA$7, Tabella01MarzoInverter[[#This Row],[Active power TX2-INV-12]] &lt;= 0, Tabella01MarzoInverter[[#This Row],[Active power TX3-INV-9]] &lt;= 0),
    MIN(($H77 / 1000) * AM$10 * $BA$4, AM$11 * 0.876) * 0.25,
    IF(
        AND($H77 &gt; $BA$7, Tabella01MarzoInverter[[#This Row],[Active power TX2-INV-12]] &lt;= 0),
        Tabella01MarzoInverter[[#This Row],[Active power TX3-INV-9]] * 0.25,
        0
    )
    +
    IF(
        $N77 &lt; 0.875,
        MAX(0, MIN(($H77 / 1000) * AM$10 * $BA$4, AM$11 * 0.876) - (AM$11 * $N77)) * 0.25,
        0
    )
)</f>
        <v/>
      </c>
      <c r="AN77" s="118">
        <f>SUM(TabellaMar2026[[#This Row],[Colonna39]:[Colonna6]])</f>
        <v/>
      </c>
      <c r="AO77" s="117">
        <f t="array" ref="AO77">IF(
    AND($H77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($H77 / 1000) * AO$10 * $BA$4 * 0.25
    ),
    0
)
+
IF(
    $N77 &lt; 0.875,
    MAX(0, MIN(($H77 / 1000) * AO$10 * $BA$4, AO$11 * 0.876) - (AO$11 * $N77)) * 0.25,
    0
)</f>
        <v/>
      </c>
      <c r="AP77" s="117">
        <f t="array" ref="AP77">IF(
    AND($H77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($H77 / 1000) * AP$10 * $BA$4 * 0.25
    ),
    0
)
+
IF(
    $N77 &lt; 0.875,
    MAX(0, MIN(($H77 / 1000) * AP$10 * $BA$4, AP$11 * 0.876) - (AP$11 * $N77)) * 0.25,
    0
)</f>
        <v/>
      </c>
      <c r="AQ77" s="117">
        <f t="array" ref="AQ77">IF(
    AND($H77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($H77 / 1000) * AQ$10 * $BA$4 * 0.25
    ),
    0
)
+
IF(
    $N77 &lt; 0.875,
    MAX(0, MIN(($H77 / 1000) * AQ$10 * $BA$4, AQ$11 * 0.876) - (AQ$11 * $N77)) * 0.25,
    0
)</f>
        <v/>
      </c>
      <c r="AR77" s="117">
        <f t="array" ref="AR77">IF(
    AND($H77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($H77 / 1000) * AR$10 * $BA$4 * 0.25
    ),
    0
)
+
IF(
    $N77 &lt; 0.875,
    MAX(0, MIN(($H77 / 1000) * AR$10 * $BA$4, AR$11 * 0.876) - (AR$11 * $N77)) * 0.25,
    0
)</f>
        <v/>
      </c>
      <c r="AS77" s="117">
        <f t="array" ref="AS77">IF(
    AND($H77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($H77 / 1000) * AS$10 * $BA$4 * 0.25
    ),
    0
)
+
IF(
    $N77 &lt; 0.875,
    MAX(0, MIN(($H77 / 1000) * AS$10 * $BA$4, AS$11 * 0.876) - (AS$11 * $N77)) * 0.25,
    0
)</f>
        <v/>
      </c>
      <c r="AT77" s="117">
        <f t="array" ref="AT77">IF(
    AND($H77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($H77 / 1000) * AT$10 * $BA$4 * 0.25
    ),
    0
)
+
IF(
    $N77 &lt; 0.875,
    MAX(0, MIN(($H77 / 1000) * AT$10 * $BA$4, AT$11 * 0.876) - (AT$11 * $N77)) * 0.25,
    0
)</f>
        <v/>
      </c>
      <c r="AU77" s="117">
        <f t="array" ref="AU77">IF(
    AND($H77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($H77 / 1000) * AU$10 * $BA$4 * 0.25
    ),
    0
)
+
IF(
    $N77 &lt; 0.875,
    MAX(0, MIN(($H77 / 1000) * AU$10 * $BA$4, AU$11 * 0.876) - (AU$11 * $N77)) * 0.25,
    0
)</f>
        <v/>
      </c>
      <c r="AV77" s="117">
        <f t="array" ref="AV77">IF(
    AND($H77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($H77 / 1000) * AV$10 * $BA$4 * 0.25
    ),
    0
)
+
IF(
    $N77 &lt; 0.875,
    MAX(0, MIN(($H77 / 1000) * AV$10 * $BA$4, AV$11 * 0.876) - (AV$11 * $N77)) * 0.25,
    0
)</f>
        <v/>
      </c>
      <c r="AW77" s="117">
        <f t="array" ref="AW77">IF(
    AND($H77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($H77 / 1000) * AW$10 * $BA$4 * 0.25
    ),
    0
)
+
IF(
    $N77 &lt; 0.875,
    MAX(0, MIN(($H77 / 1000) * AW$10 * $BA$4, AW$11 * 0.876) - (AW$11 * $N77)) * 0.25,
    0
)</f>
        <v/>
      </c>
      <c r="AX77" s="117">
        <f t="array" ref="AX77">IF(
    AND($H77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($H77 / 1000) * AX$10 * $BA$4 * 0.25
    ),
    0
)
+
IF(
    $N77 &lt; 0.875,
    MAX(0, MIN(($H77 / 1000) * AX$10 * $BA$4, AX$11 * 0.876) - (AX$11 * $N77)) * 0.25,
    0
)</f>
        <v/>
      </c>
      <c r="AY77" s="117">
        <f t="array" ref="AY77">IF(
    AND($H77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($H77 / 1000) * AY$10 * $BA$4 * 0.25
    ),
    0
)
+
IF(
    $N77 &lt; 0.875,
    MAX(0, MIN(($H77 / 1000) * AY$10 * $BA$4, AY$11 * 0.876) - (AY$11 * $N77)) * 0.25,
    0
)</f>
        <v/>
      </c>
      <c r="AZ77" s="117">
        <f t="array" ref="AZ77">IF(
    AND($H77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($H77 / 1000) * AZ$10 * $BA$4 * 0.25
    ),
    0
)
+
IF(
    $N77 &lt; 0.875,
    MAX(0, MIN(($H77 / 1000) * AZ$10 * $BA$4, AZ$11 * 0.876) - (AZ$11 * $N77)) * 0.25,
    0
)</f>
        <v/>
      </c>
      <c r="BA77" s="119">
        <f>SUM(TabellaMar2026[[#This Row],[Colonna54]:[Colonna53]])</f>
        <v/>
      </c>
    </row>
    <row r="78">
      <c r="A78" s="112" t="n">
        <v>46143</v>
      </c>
      <c r="B78" t="inlineStr">
        <is>
          <t>15:45:00.000</t>
        </is>
      </c>
      <c r="C78" s="2" t="n">
        <v>987.4</v>
      </c>
      <c r="D78" s="113" t="n">
        <v>0.24685</v>
      </c>
      <c r="E78" s="113" t="n">
        <v>966.7</v>
      </c>
      <c r="F78" s="113" t="n">
        <v>0.241675</v>
      </c>
      <c r="G78" s="113">
        <f>IFERROR((D78+F78)/2, 0)</f>
        <v/>
      </c>
      <c r="H78" s="114">
        <f>IFERROR(IF(AVERAGE(C78,E78)&gt;$BA$7,AVERAGE(C78,E78),0), 0)</f>
        <v/>
      </c>
      <c r="I78" s="114">
        <f>IFERROR(IF(AND(D78=0,F78=0),0,IF(H78&gt;$BA$6,MAX(D78,F78),G78)), 0)</f>
        <v/>
      </c>
      <c r="J78" s="113">
        <f>IFERROR(IF(AND(D78&gt;0,F78&gt;0),ABS(D78-F78)/AVERAGE(D78,F78),0), 0)</f>
        <v/>
      </c>
      <c r="K78" s="113" t="n">
        <v>30131.6</v>
      </c>
      <c r="L78" s="113" t="n">
        <v>30131.6</v>
      </c>
      <c r="M78" s="115">
        <f>IFERROR((L78-K78)*1000, 0)</f>
        <v/>
      </c>
      <c r="N78" s="113" t="n">
        <v>0.0007000000000000001</v>
      </c>
      <c r="O78" s="115">
        <f t="array" ref="O78">IF(
    AND($H78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($H78 / 1000) * O$10 * $BA$4 * 0.25
    ),
    0
)
+
IF(
    $N78 &lt; 0.875,
    MAX(0, MIN(($H78 / 1000) * O$10 * $BA$4, O$11 * 0.876) - (O$11 * $N78)) * 0.25,
    0
)</f>
        <v/>
      </c>
      <c r="P78" s="115">
        <f t="array" ref="P78">IF(
    AND($H78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($H78 / 1000) * P$10 * $BA$4 * 0.25
    ),
    0
)
+
IF(
    $N78 &lt; 0.875,
    MAX(0, MIN(($H78 / 1000) * P$10 * $BA$4, P$11 * 0.876) - (P$11 * $N78)) * 0.25,
    0
)</f>
        <v/>
      </c>
      <c r="Q78" s="115">
        <f t="array" ref="Q78">IF(
    AND($H78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($H78 / 1000) * Q$10 * $BA$4 * 0.25
    ),
    0
)
+
IF(
    $N78 &lt; 0.875,
    MAX(0, MIN(($H78 / 1000) * Q$10 * $BA$4, Q$11 * 0.876) - (Q$11 * $N78)) * 0.25,
    0
)</f>
        <v/>
      </c>
      <c r="R78" s="115">
        <f t="array" ref="R78">IF(
    AND($H78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($H78 / 1000) * R$10 * $BA$4 * 0.25
    ),
    0
)
+
IF(
    $N78 &lt; 0.875,
    MAX(0, MIN(($H78 / 1000) * R$10 * $BA$4, R$11 * 0.876) - (R$11 * $N78)) * 0.25,
    0
)</f>
        <v/>
      </c>
      <c r="S78" s="115">
        <f t="array" ref="S78">IF(
    AND($H78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($H78 / 1000) * S$10 * $BA$4 * 0.25
    ),
    0
)
+
IF(
    $N78 &lt; 0.875,
    MAX(0, MIN(($H78 / 1000) * S$10 * $BA$4, S$11 * 0.876) - (S$11 * $N78)) * 0.25,
    0
)</f>
        <v/>
      </c>
      <c r="T78" s="115">
        <f t="array" ref="T78">IF(
    AND($H78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($H78 / 1000) * T$10 * $BA$4 * 0.25
    ),
    0
)
+
IF(
    $N78 &lt; 0.875,
    MAX(0, MIN(($H78 / 1000) * T$10 * $BA$4, T$11 * 0.876) - (T$11 * $N78)) * 0.25,
    0
)</f>
        <v/>
      </c>
      <c r="U78" s="115">
        <f t="array" ref="U78">IF(
    AND($H78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($H78 / 1000) * U$10 * $BA$4 * 0.25
    ),
    0
)
+
IF(
    $N78 &lt; 0.875,
    MAX(0, MIN(($H78 / 1000) * U$10 * $BA$4, U$11 * 0.876) - (U$11 * $N78)) * 0.25,
    0
)</f>
        <v/>
      </c>
      <c r="V78" s="115">
        <f t="array" ref="V78">IF(
    AND($H78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($H78 / 1000) * V$10 * $BA$4 * 0.25
    ),
    0
)
+
IF(
    $N78 &lt; 0.875,
    MAX(0, MIN(($H78 / 1000) * V$10 * $BA$4, V$11 * 0.876) - (V$11 * $N78)) * 0.25,
    0
)</f>
        <v/>
      </c>
      <c r="W78" s="115">
        <f t="array" ref="W78">IF(
    AND($H78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($H78 / 1000) * W$10 * $BA$4 * 0.25
    ),
    0
)
+
IF(
    $N78 &lt; 0.875,
    MAX(0, MIN(($H78 / 1000) * W$10 * $BA$4, W$11 * 0.876) - (W$11 * $N78)) * 0.25,
    0
)</f>
        <v/>
      </c>
      <c r="X78" s="115">
        <f t="array" ref="X78">IF(
    AND($H78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($H78 / 1000) * X$10 * $BA$4 * 0.25
    ),
    0
)
+
IF(
    $N78 &lt; 0.875,
    MAX(0, MIN(($H78 / 1000) * X$10 * $BA$4, X$11 * 0.876) - (X$11 * $N78)) * 0.25,
    0
)</f>
        <v/>
      </c>
      <c r="Y78" s="115">
        <f t="array" ref="Y78">IF(
    AND($H78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($H78 / 1000) * Y$10 * $BA$4 * 0.25
    ),
    0
)
+
IF(
    $N78 &lt; 0.875,
    MAX(0, MIN(($H78 / 1000) * Y$10 * $BA$4, Y$11 * 0.876) - (Y$11 * $N78)) * 0.25,
    0
)</f>
        <v/>
      </c>
      <c r="Z78" s="115">
        <f t="array" ref="Z78">IF(
    AND($H78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($H78 / 1000) * Z$10 * $BA$4 * 0.25
    ),
    0
)
+
IF(
    $N78 &lt; 0.875,
    MAX(0, MIN(($H78 / 1000) * Z$10 * $BA$4, Z$11 * 0.876) - (Z$11 * $N78)) * 0.25,
    0
)</f>
        <v/>
      </c>
      <c r="AA78" s="116">
        <f>SUM(TabellaMar2026[[#This Row],[Colonna24]:[Colonna20]])</f>
        <v/>
      </c>
      <c r="AB78" s="117">
        <f>IF(
    AND($H78 &gt; $BA$7, Tabella01MarzoInverter[[#This Row],[Active power TX2-INV-1]] &lt;= 0, Tabella01MarzoInverter[[#This Row],[TX2 - Average Power]] &lt;= 0),
    MIN(($H78 / 1000) * AB$10 * $BA$4, AB$11 * 0.876) * 0.25,
    IF(
        AND($H78 &gt; $BA$7, Tabella01MarzoInverter[[#This Row],[Active power TX2-INV-1]] &lt;= 0),
        Tabella01MarzoInverter[[#This Row],[TX2 - Average Power]] * 0.25,
        0
    )
    +
    IF(
        $N78 &lt; 0.875,
        MAX(0, MIN(($H78 / 1000) * AB$10 * $BA$4, AB$11 * 0.876) - (AB$11 * $N78)) * 0.25,
        0
    )
)</f>
        <v/>
      </c>
      <c r="AC78" s="117">
        <f>IF(
    AND($H78 &gt; $BA$7, Tabella01MarzoInverter[[#This Row],[Active power TX2-INV-2]] &lt;= 0, Tabella01MarzoInverter[[#This Row],[TX2 - Max Power]] &lt;= 0),
    MIN(($H78 / 1000) * AC$10 * $BA$4, AC$11 * 0.876) * 0.25,
    IF(
        AND($H78 &gt; $BA$7, Tabella01MarzoInverter[[#This Row],[Active power TX2-INV-2]] &lt;= 0),
        Tabella01MarzoInverter[[#This Row],[TX2 - Max Power]] * 0.25,
        0
    )
    +
    IF(
        $N78 &lt; 0.875,
        MAX(0, MIN(($H78 / 1000) * AC$10 * $BA$4, AC$11 * 0.876) - (AC$11 * $N78)) * 0.25,
        0
    )
)</f>
        <v/>
      </c>
      <c r="AD78" s="117">
        <f>IF(
    AND($H78 &gt; $BA$7, Tabella01MarzoInverter[[#This Row],[Active power TX2-INV-3]] &lt;= 0, Tabella01MarzoInverter[[#This Row],[TX2 - Min Power]] &lt;= 0),
    MIN(($H78 / 1000) * AD$10 * $BA$4, AD$11 * 0.876) * 0.25,
    IF(
        AND($H78 &gt; $BA$7, Tabella01MarzoInverter[[#This Row],[Active power TX2-INV-3]] &lt;= 0),
        Tabella01MarzoInverter[[#This Row],[TX2 - Min Power]] * 0.25,
        0
    )
    +
    IF(
        $N78 &lt; 0.875,
        MAX(0, MIN(($H78 / 1000) * AD$10 * $BA$4, AD$11 * 0.876) - (AD$11 * $N78)) * 0.25,
        0
    )
)</f>
        <v/>
      </c>
      <c r="AE78" s="117">
        <f>IF(
    AND($H78 &gt; $BA$7, Tabella01MarzoInverter[[#This Row],[Active power TX2-INV-4]] &lt;= 0, Tabella01MarzoInverter[[#This Row],[Active power TX3-INV-1]] &lt;= 0),
    MIN(($H78 / 1000) * AE$10 * $BA$4, AE$11 * 0.876) * 0.25,
    IF(
        AND($H78 &gt; $BA$7, Tabella01MarzoInverter[[#This Row],[Active power TX2-INV-4]] &lt;= 0),
        Tabella01MarzoInverter[[#This Row],[Active power TX3-INV-1]] * 0.25,
        0
    )
    +
    IF(
        $N78 &lt; 0.875,
        MAX(0, MIN(($H78 / 1000) * AE$10 * $BA$4, AE$11 * 0.876) - (AE$11 * $N78)) * 0.25,
        0
    )
)</f>
        <v/>
      </c>
      <c r="AF78" s="117">
        <f>IF(
    AND($H78 &gt; $BA$7, Tabella01MarzoInverter[[#This Row],[Active power TX2-INV-5]] &lt;= 0, Tabella01MarzoInverter[[#This Row],[Active power TX3-INV-2]] &lt;= 0),
    MIN(($H78 / 1000) * AF$10 * $BA$4, AF$11 * 0.876) * 0.25,
    IF(
        AND($H78 &gt; $BA$7, Tabella01MarzoInverter[[#This Row],[Active power TX2-INV-5]] &lt;= 0),
        Tabella01MarzoInverter[[#This Row],[Active power TX3-INV-2]] * 0.25,
        0
    )
    +
    IF(
        $N78 &lt; 0.875,
        MAX(0, MIN(($H78 / 1000) * AF$10 * $BA$4, AF$11 * 0.876) - (AF$11 * $N78)) * 0.25,
        0
    )
)</f>
        <v/>
      </c>
      <c r="AG78" s="117">
        <f>IF(
    AND($H78 &gt; $BA$7, Tabella01MarzoInverter[[#This Row],[Active power TX2-INV-6]] &lt;= 0, Tabella01MarzoInverter[[#This Row],[Active power TX3-INV-3]] &lt;= 0),
    MIN(($H78 / 1000) * AG$10 * $BA$4, AG$11 * 0.876) * 0.25,
    IF(
        AND($H78 &gt; $BA$7, Tabella01MarzoInverter[[#This Row],[Active power TX2-INV-6]] &lt;= 0),
        Tabella01MarzoInverter[[#This Row],[Active power TX3-INV-3]] * 0.25,
        0
    )
    +
    IF(
        $N78 &lt; 0.875,
        MAX(0, MIN(($H78 / 1000) * AG$10 * $BA$4, AG$11 * 0.876) - (AG$11 * $N78)) * 0.25,
        0
    )
)</f>
        <v/>
      </c>
      <c r="AH78" s="117">
        <f>IF(
    AND($H78 &gt; $BA$7, Tabella01MarzoInverter[[#This Row],[Active power TX2-INV-7]] &lt;= 0, Tabella01MarzoInverter[[#This Row],[Active power TX3-INV-4]] &lt;= 0),
    MIN(($H78 / 1000) * AH$10 * $BA$4, AH$11 * 0.876) * 0.25,
    IF(
        AND($H78 &gt; $BA$7, Tabella01MarzoInverter[[#This Row],[Active power TX2-INV-7]] &lt;= 0),
        Tabella01MarzoInverter[[#This Row],[Active power TX3-INV-4]] * 0.25,
        0
    )
    +
    IF(
        $N78 &lt; 0.875,
        MAX(0, MIN(($H78 / 1000) * AH$10 * $BA$4, AH$11 * 0.876) - (AH$11 * $N78)) * 0.25,
        0
    )
)</f>
        <v/>
      </c>
      <c r="AI78" s="117">
        <f>IF(
    AND($H78 &gt; $BA$7, Tabella01MarzoInverter[[#This Row],[Active power TX2-INV-8]] &lt;= 0, Tabella01MarzoInverter[[#This Row],[Active power TX3-INV-5]] &lt;= 0),
    MIN(($H78 / 1000) * AI$10 * $BA$4, AI$11 * 0.876) * 0.25,
    IF(
        AND($H78 &gt; $BA$7, Tabella01MarzoInverter[[#This Row],[Active power TX2-INV-8]] &lt;= 0),
        Tabella01MarzoInverter[[#This Row],[Active power TX3-INV-5]] * 0.25,
        0
    )
    +
    IF(
        $N78 &lt; 0.875,
        MAX(0, MIN(($H78 / 1000) * AI$10 * $BA$4, AI$11 * 0.876) - (AI$11 * $N78)) * 0.25,
        0
    )
)</f>
        <v/>
      </c>
      <c r="AJ78" s="117">
        <f>IF(
    AND($H78 &gt; $BA$7, Tabella01MarzoInverter[[#This Row],[Active power TX2-INV-9]] &lt;= 0, Tabella01MarzoInverter[[#This Row],[Active power TX3-INV-6]] &lt;= 0),
    MIN(($H78 / 1000) * AJ$10 * $BA$4, AJ$11 * 0.876) * 0.25,
    IF(
        AND($H78 &gt; $BA$7, Tabella01MarzoInverter[[#This Row],[Active power TX2-INV-9]] &lt;= 0),
        Tabella01MarzoInverter[[#This Row],[Active power TX3-INV-6]] * 0.25,
        0
    )
    +
    IF(
        $N78 &lt; 0.875,
        MAX(0, MIN(($H78 / 1000) * AJ$10 * $BA$4, AJ$11 * 0.876) - (AJ$11 * $N78)) * 0.25,
        0
    )
)</f>
        <v/>
      </c>
      <c r="AK78" s="117">
        <f>IF(
    AND($H78 &gt; $BA$7, Tabella01MarzoInverter[[#This Row],[Active power TX2-INV-10]] &lt;= 0, Tabella01MarzoInverter[[#This Row],[Active power TX3-INV-7]] &lt;= 0),
    MIN(($H78 / 1000) * AK$10 * $BA$4, AK$11 * 0.876) * 0.25,
    IF(
        AND($H78 &gt; $BA$7, Tabella01MarzoInverter[[#This Row],[Active power TX2-INV-10]] &lt;= 0),
        Tabella01MarzoInverter[[#This Row],[Active power TX3-INV-7]] * 0.25,
        0
    )
    +
    IF(
        $N78 &lt; 0.875,
        MAX(0, MIN(($H78 / 1000) * AK$10 * $BA$4, AK$11 * 0.876) - (AK$11 * $N78)) * 0.25,
        0
    )
)</f>
        <v/>
      </c>
      <c r="AL78" s="117">
        <f>IF(
    AND($H78 &gt; $BA$7, Tabella01MarzoInverter[[#This Row],[Active power TX2-INV-11]] &lt;= 0, Tabella01MarzoInverter[[#This Row],[Active power TX3-INV-8]] &lt;= 0),
    MIN(($H78 / 1000) * AL$10 * $BA$4, AL$11 * 0.876) * 0.25,
    IF(
        AND($H78 &gt; $BA$7, Tabella01MarzoInverter[[#This Row],[Active power TX2-INV-11]] &lt;= 0),
        Tabella01MarzoInverter[[#This Row],[Active power TX3-INV-8]] * 0.25,
        0
    )
    +
    IF(
        $N78 &lt; 0.875,
        MAX(0, MIN(($H78 / 1000) * AL$10 * $BA$4, AL$11 * 0.876) - (AL$11 * $N78)) * 0.25,
        0
    )
)</f>
        <v/>
      </c>
      <c r="AM78" s="117">
        <f>IF(
    AND($H78 &gt; $BA$7, Tabella01MarzoInverter[[#This Row],[Active power TX2-INV-12]] &lt;= 0, Tabella01MarzoInverter[[#This Row],[Active power TX3-INV-9]] &lt;= 0),
    MIN(($H78 / 1000) * AM$10 * $BA$4, AM$11 * 0.876) * 0.25,
    IF(
        AND($H78 &gt; $BA$7, Tabella01MarzoInverter[[#This Row],[Active power TX2-INV-12]] &lt;= 0),
        Tabella01MarzoInverter[[#This Row],[Active power TX3-INV-9]] * 0.25,
        0
    )
    +
    IF(
        $N78 &lt; 0.875,
        MAX(0, MIN(($H78 / 1000) * AM$10 * $BA$4, AM$11 * 0.876) - (AM$11 * $N78)) * 0.25,
        0
    )
)</f>
        <v/>
      </c>
      <c r="AN78" s="118">
        <f>SUM(TabellaMar2026[[#This Row],[Colonna39]:[Colonna6]])</f>
        <v/>
      </c>
      <c r="AO78" s="117">
        <f t="array" ref="AO78">IF(
    AND($H78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($H78 / 1000) * AO$10 * $BA$4 * 0.25
    ),
    0
)
+
IF(
    $N78 &lt; 0.875,
    MAX(0, MIN(($H78 / 1000) * AO$10 * $BA$4, AO$11 * 0.876) - (AO$11 * $N78)) * 0.25,
    0
)</f>
        <v/>
      </c>
      <c r="AP78" s="117">
        <f t="array" ref="AP78">IF(
    AND($H78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($H78 / 1000) * AP$10 * $BA$4 * 0.25
    ),
    0
)
+
IF(
    $N78 &lt; 0.875,
    MAX(0, MIN(($H78 / 1000) * AP$10 * $BA$4, AP$11 * 0.876) - (AP$11 * $N78)) * 0.25,
    0
)</f>
        <v/>
      </c>
      <c r="AQ78" s="117">
        <f t="array" ref="AQ78">IF(
    AND($H78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($H78 / 1000) * AQ$10 * $BA$4 * 0.25
    ),
    0
)
+
IF(
    $N78 &lt; 0.875,
    MAX(0, MIN(($H78 / 1000) * AQ$10 * $BA$4, AQ$11 * 0.876) - (AQ$11 * $N78)) * 0.25,
    0
)</f>
        <v/>
      </c>
      <c r="AR78" s="117">
        <f t="array" ref="AR78">IF(
    AND($H78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($H78 / 1000) * AR$10 * $BA$4 * 0.25
    ),
    0
)
+
IF(
    $N78 &lt; 0.875,
    MAX(0, MIN(($H78 / 1000) * AR$10 * $BA$4, AR$11 * 0.876) - (AR$11 * $N78)) * 0.25,
    0
)</f>
        <v/>
      </c>
      <c r="AS78" s="117">
        <f t="array" ref="AS78">IF(
    AND($H78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($H78 / 1000) * AS$10 * $BA$4 * 0.25
    ),
    0
)
+
IF(
    $N78 &lt; 0.875,
    MAX(0, MIN(($H78 / 1000) * AS$10 * $BA$4, AS$11 * 0.876) - (AS$11 * $N78)) * 0.25,
    0
)</f>
        <v/>
      </c>
      <c r="AT78" s="117">
        <f t="array" ref="AT78">IF(
    AND($H78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($H78 / 1000) * AT$10 * $BA$4 * 0.25
    ),
    0
)
+
IF(
    $N78 &lt; 0.875,
    MAX(0, MIN(($H78 / 1000) * AT$10 * $BA$4, AT$11 * 0.876) - (AT$11 * $N78)) * 0.25,
    0
)</f>
        <v/>
      </c>
      <c r="AU78" s="117">
        <f t="array" ref="AU78">IF(
    AND($H78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($H78 / 1000) * AU$10 * $BA$4 * 0.25
    ),
    0
)
+
IF(
    $N78 &lt; 0.875,
    MAX(0, MIN(($H78 / 1000) * AU$10 * $BA$4, AU$11 * 0.876) - (AU$11 * $N78)) * 0.25,
    0
)</f>
        <v/>
      </c>
      <c r="AV78" s="117">
        <f t="array" ref="AV78">IF(
    AND($H78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($H78 / 1000) * AV$10 * $BA$4 * 0.25
    ),
    0
)
+
IF(
    $N78 &lt; 0.875,
    MAX(0, MIN(($H78 / 1000) * AV$10 * $BA$4, AV$11 * 0.876) - (AV$11 * $N78)) * 0.25,
    0
)</f>
        <v/>
      </c>
      <c r="AW78" s="117">
        <f t="array" ref="AW78">IF(
    AND($H78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($H78 / 1000) * AW$10 * $BA$4 * 0.25
    ),
    0
)
+
IF(
    $N78 &lt; 0.875,
    MAX(0, MIN(($H78 / 1000) * AW$10 * $BA$4, AW$11 * 0.876) - (AW$11 * $N78)) * 0.25,
    0
)</f>
        <v/>
      </c>
      <c r="AX78" s="117">
        <f t="array" ref="AX78">IF(
    AND($H78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($H78 / 1000) * AX$10 * $BA$4 * 0.25
    ),
    0
)
+
IF(
    $N78 &lt; 0.875,
    MAX(0, MIN(($H78 / 1000) * AX$10 * $BA$4, AX$11 * 0.876) - (AX$11 * $N78)) * 0.25,
    0
)</f>
        <v/>
      </c>
      <c r="AY78" s="117">
        <f t="array" ref="AY78">IF(
    AND($H78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($H78 / 1000) * AY$10 * $BA$4 * 0.25
    ),
    0
)
+
IF(
    $N78 &lt; 0.875,
    MAX(0, MIN(($H78 / 1000) * AY$10 * $BA$4, AY$11 * 0.876) - (AY$11 * $N78)) * 0.25,
    0
)</f>
        <v/>
      </c>
      <c r="AZ78" s="117">
        <f t="array" ref="AZ78">IF(
    AND($H78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($H78 / 1000) * AZ$10 * $BA$4 * 0.25
    ),
    0
)
+
IF(
    $N78 &lt; 0.875,
    MAX(0, MIN(($H78 / 1000) * AZ$10 * $BA$4, AZ$11 * 0.876) - (AZ$11 * $N78)) * 0.25,
    0
)</f>
        <v/>
      </c>
      <c r="BA78" s="119">
        <f>SUM(TabellaMar2026[[#This Row],[Colonna54]:[Colonna53]])</f>
        <v/>
      </c>
    </row>
    <row r="79">
      <c r="A79" s="112" t="n">
        <v>46143</v>
      </c>
      <c r="B79" t="inlineStr">
        <is>
          <t>16:00:00.000</t>
        </is>
      </c>
      <c r="C79" s="2" t="n">
        <v>1007.6</v>
      </c>
      <c r="D79" s="113" t="n">
        <v>0.2519</v>
      </c>
      <c r="E79" s="113" t="n">
        <v>982.3</v>
      </c>
      <c r="F79" s="113" t="n">
        <v>0.245575</v>
      </c>
      <c r="G79" s="113">
        <f>IFERROR((D79+F79)/2, 0)</f>
        <v/>
      </c>
      <c r="H79" s="114">
        <f>IFERROR(IF(AVERAGE(C79,E79)&gt;$BA$7,AVERAGE(C79,E79),0), 0)</f>
        <v/>
      </c>
      <c r="I79" s="114">
        <f>IFERROR(IF(AND(D79=0,F79=0),0,IF(H79&gt;$BA$6,MAX(D79,F79),G79)), 0)</f>
        <v/>
      </c>
      <c r="J79" s="113">
        <f>IFERROR(IF(AND(D79&gt;0,F79&gt;0),ABS(D79-F79)/AVERAGE(D79,F79),0), 0)</f>
        <v/>
      </c>
      <c r="K79" s="113" t="n">
        <v>30131.6</v>
      </c>
      <c r="L79" s="113" t="n">
        <v>30131.6</v>
      </c>
      <c r="M79" s="115">
        <f>IFERROR((L79-K79)*1000, 0)</f>
        <v/>
      </c>
      <c r="N79" s="113" t="n">
        <v>0.0007000000000000001</v>
      </c>
      <c r="O79" s="115">
        <f t="array" ref="O79">IF(
    AND($H79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($H79 / 1000) * O$10 * $BA$4 * 0.25
    ),
    0
)
+
IF(
    $N79 &lt; 0.875,
    MAX(0, MIN(($H79 / 1000) * O$10 * $BA$4, O$11 * 0.876) - (O$11 * $N79)) * 0.25,
    0
)</f>
        <v/>
      </c>
      <c r="P79" s="115">
        <f t="array" ref="P79">IF(
    AND($H79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($H79 / 1000) * P$10 * $BA$4 * 0.25
    ),
    0
)
+
IF(
    $N79 &lt; 0.875,
    MAX(0, MIN(($H79 / 1000) * P$10 * $BA$4, P$11 * 0.876) - (P$11 * $N79)) * 0.25,
    0
)</f>
        <v/>
      </c>
      <c r="Q79" s="115">
        <f t="array" ref="Q79">IF(
    AND($H79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($H79 / 1000) * Q$10 * $BA$4 * 0.25
    ),
    0
)
+
IF(
    $N79 &lt; 0.875,
    MAX(0, MIN(($H79 / 1000) * Q$10 * $BA$4, Q$11 * 0.876) - (Q$11 * $N79)) * 0.25,
    0
)</f>
        <v/>
      </c>
      <c r="R79" s="115">
        <f t="array" ref="R79">IF(
    AND($H79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($H79 / 1000) * R$10 * $BA$4 * 0.25
    ),
    0
)
+
IF(
    $N79 &lt; 0.875,
    MAX(0, MIN(($H79 / 1000) * R$10 * $BA$4, R$11 * 0.876) - (R$11 * $N79)) * 0.25,
    0
)</f>
        <v/>
      </c>
      <c r="S79" s="115">
        <f t="array" ref="S79">IF(
    AND($H79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($H79 / 1000) * S$10 * $BA$4 * 0.25
    ),
    0
)
+
IF(
    $N79 &lt; 0.875,
    MAX(0, MIN(($H79 / 1000) * S$10 * $BA$4, S$11 * 0.876) - (S$11 * $N79)) * 0.25,
    0
)</f>
        <v/>
      </c>
      <c r="T79" s="115">
        <f t="array" ref="T79">IF(
    AND($H79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($H79 / 1000) * T$10 * $BA$4 * 0.25
    ),
    0
)
+
IF(
    $N79 &lt; 0.875,
    MAX(0, MIN(($H79 / 1000) * T$10 * $BA$4, T$11 * 0.876) - (T$11 * $N79)) * 0.25,
    0
)</f>
        <v/>
      </c>
      <c r="U79" s="115">
        <f t="array" ref="U79">IF(
    AND($H79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($H79 / 1000) * U$10 * $BA$4 * 0.25
    ),
    0
)
+
IF(
    $N79 &lt; 0.875,
    MAX(0, MIN(($H79 / 1000) * U$10 * $BA$4, U$11 * 0.876) - (U$11 * $N79)) * 0.25,
    0
)</f>
        <v/>
      </c>
      <c r="V79" s="115">
        <f t="array" ref="V79">IF(
    AND($H79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($H79 / 1000) * V$10 * $BA$4 * 0.25
    ),
    0
)
+
IF(
    $N79 &lt; 0.875,
    MAX(0, MIN(($H79 / 1000) * V$10 * $BA$4, V$11 * 0.876) - (V$11 * $N79)) * 0.25,
    0
)</f>
        <v/>
      </c>
      <c r="W79" s="115">
        <f t="array" ref="W79">IF(
    AND($H79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($H79 / 1000) * W$10 * $BA$4 * 0.25
    ),
    0
)
+
IF(
    $N79 &lt; 0.875,
    MAX(0, MIN(($H79 / 1000) * W$10 * $BA$4, W$11 * 0.876) - (W$11 * $N79)) * 0.25,
    0
)</f>
        <v/>
      </c>
      <c r="X79" s="115">
        <f t="array" ref="X79">IF(
    AND($H79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($H79 / 1000) * X$10 * $BA$4 * 0.25
    ),
    0
)
+
IF(
    $N79 &lt; 0.875,
    MAX(0, MIN(($H79 / 1000) * X$10 * $BA$4, X$11 * 0.876) - (X$11 * $N79)) * 0.25,
    0
)</f>
        <v/>
      </c>
      <c r="Y79" s="115">
        <f t="array" ref="Y79">IF(
    AND($H79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($H79 / 1000) * Y$10 * $BA$4 * 0.25
    ),
    0
)
+
IF(
    $N79 &lt; 0.875,
    MAX(0, MIN(($H79 / 1000) * Y$10 * $BA$4, Y$11 * 0.876) - (Y$11 * $N79)) * 0.25,
    0
)</f>
        <v/>
      </c>
      <c r="Z79" s="115">
        <f t="array" ref="Z79">IF(
    AND($H79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($H79 / 1000) * Z$10 * $BA$4 * 0.25
    ),
    0
)
+
IF(
    $N79 &lt; 0.875,
    MAX(0, MIN(($H79 / 1000) * Z$10 * $BA$4, Z$11 * 0.876) - (Z$11 * $N79)) * 0.25,
    0
)</f>
        <v/>
      </c>
      <c r="AA79" s="116">
        <f>SUM(TabellaMar2026[[#This Row],[Colonna24]:[Colonna20]])</f>
        <v/>
      </c>
      <c r="AB79" s="117">
        <f>IF(
    AND($H79 &gt; $BA$7, Tabella01MarzoInverter[[#This Row],[Active power TX2-INV-1]] &lt;= 0, Tabella01MarzoInverter[[#This Row],[TX2 - Average Power]] &lt;= 0),
    MIN(($H79 / 1000) * AB$10 * $BA$4, AB$11 * 0.876) * 0.25,
    IF(
        AND($H79 &gt; $BA$7, Tabella01MarzoInverter[[#This Row],[Active power TX2-INV-1]] &lt;= 0),
        Tabella01MarzoInverter[[#This Row],[TX2 - Average Power]] * 0.25,
        0
    )
    +
    IF(
        $N79 &lt; 0.875,
        MAX(0, MIN(($H79 / 1000) * AB$10 * $BA$4, AB$11 * 0.876) - (AB$11 * $N79)) * 0.25,
        0
    )
)</f>
        <v/>
      </c>
      <c r="AC79" s="117">
        <f>IF(
    AND($H79 &gt; $BA$7, Tabella01MarzoInverter[[#This Row],[Active power TX2-INV-2]] &lt;= 0, Tabella01MarzoInverter[[#This Row],[TX2 - Max Power]] &lt;= 0),
    MIN(($H79 / 1000) * AC$10 * $BA$4, AC$11 * 0.876) * 0.25,
    IF(
        AND($H79 &gt; $BA$7, Tabella01MarzoInverter[[#This Row],[Active power TX2-INV-2]] &lt;= 0),
        Tabella01MarzoInverter[[#This Row],[TX2 - Max Power]] * 0.25,
        0
    )
    +
    IF(
        $N79 &lt; 0.875,
        MAX(0, MIN(($H79 / 1000) * AC$10 * $BA$4, AC$11 * 0.876) - (AC$11 * $N79)) * 0.25,
        0
    )
)</f>
        <v/>
      </c>
      <c r="AD79" s="117">
        <f>IF(
    AND($H79 &gt; $BA$7, Tabella01MarzoInverter[[#This Row],[Active power TX2-INV-3]] &lt;= 0, Tabella01MarzoInverter[[#This Row],[TX2 - Min Power]] &lt;= 0),
    MIN(($H79 / 1000) * AD$10 * $BA$4, AD$11 * 0.876) * 0.25,
    IF(
        AND($H79 &gt; $BA$7, Tabella01MarzoInverter[[#This Row],[Active power TX2-INV-3]] &lt;= 0),
        Tabella01MarzoInverter[[#This Row],[TX2 - Min Power]] * 0.25,
        0
    )
    +
    IF(
        $N79 &lt; 0.875,
        MAX(0, MIN(($H79 / 1000) * AD$10 * $BA$4, AD$11 * 0.876) - (AD$11 * $N79)) * 0.25,
        0
    )
)</f>
        <v/>
      </c>
      <c r="AE79" s="117">
        <f>IF(
    AND($H79 &gt; $BA$7, Tabella01MarzoInverter[[#This Row],[Active power TX2-INV-4]] &lt;= 0, Tabella01MarzoInverter[[#This Row],[Active power TX3-INV-1]] &lt;= 0),
    MIN(($H79 / 1000) * AE$10 * $BA$4, AE$11 * 0.876) * 0.25,
    IF(
        AND($H79 &gt; $BA$7, Tabella01MarzoInverter[[#This Row],[Active power TX2-INV-4]] &lt;= 0),
        Tabella01MarzoInverter[[#This Row],[Active power TX3-INV-1]] * 0.25,
        0
    )
    +
    IF(
        $N79 &lt; 0.875,
        MAX(0, MIN(($H79 / 1000) * AE$10 * $BA$4, AE$11 * 0.876) - (AE$11 * $N79)) * 0.25,
        0
    )
)</f>
        <v/>
      </c>
      <c r="AF79" s="117">
        <f>IF(
    AND($H79 &gt; $BA$7, Tabella01MarzoInverter[[#This Row],[Active power TX2-INV-5]] &lt;= 0, Tabella01MarzoInverter[[#This Row],[Active power TX3-INV-2]] &lt;= 0),
    MIN(($H79 / 1000) * AF$10 * $BA$4, AF$11 * 0.876) * 0.25,
    IF(
        AND($H79 &gt; $BA$7, Tabella01MarzoInverter[[#This Row],[Active power TX2-INV-5]] &lt;= 0),
        Tabella01MarzoInverter[[#This Row],[Active power TX3-INV-2]] * 0.25,
        0
    )
    +
    IF(
        $N79 &lt; 0.875,
        MAX(0, MIN(($H79 / 1000) * AF$10 * $BA$4, AF$11 * 0.876) - (AF$11 * $N79)) * 0.25,
        0
    )
)</f>
        <v/>
      </c>
      <c r="AG79" s="117">
        <f>IF(
    AND($H79 &gt; $BA$7, Tabella01MarzoInverter[[#This Row],[Active power TX2-INV-6]] &lt;= 0, Tabella01MarzoInverter[[#This Row],[Active power TX3-INV-3]] &lt;= 0),
    MIN(($H79 / 1000) * AG$10 * $BA$4, AG$11 * 0.876) * 0.25,
    IF(
        AND($H79 &gt; $BA$7, Tabella01MarzoInverter[[#This Row],[Active power TX2-INV-6]] &lt;= 0),
        Tabella01MarzoInverter[[#This Row],[Active power TX3-INV-3]] * 0.25,
        0
    )
    +
    IF(
        $N79 &lt; 0.875,
        MAX(0, MIN(($H79 / 1000) * AG$10 * $BA$4, AG$11 * 0.876) - (AG$11 * $N79)) * 0.25,
        0
    )
)</f>
        <v/>
      </c>
      <c r="AH79" s="117">
        <f>IF(
    AND($H79 &gt; $BA$7, Tabella01MarzoInverter[[#This Row],[Active power TX2-INV-7]] &lt;= 0, Tabella01MarzoInverter[[#This Row],[Active power TX3-INV-4]] &lt;= 0),
    MIN(($H79 / 1000) * AH$10 * $BA$4, AH$11 * 0.876) * 0.25,
    IF(
        AND($H79 &gt; $BA$7, Tabella01MarzoInverter[[#This Row],[Active power TX2-INV-7]] &lt;= 0),
        Tabella01MarzoInverter[[#This Row],[Active power TX3-INV-4]] * 0.25,
        0
    )
    +
    IF(
        $N79 &lt; 0.875,
        MAX(0, MIN(($H79 / 1000) * AH$10 * $BA$4, AH$11 * 0.876) - (AH$11 * $N79)) * 0.25,
        0
    )
)</f>
        <v/>
      </c>
      <c r="AI79" s="117">
        <f>IF(
    AND($H79 &gt; $BA$7, Tabella01MarzoInverter[[#This Row],[Active power TX2-INV-8]] &lt;= 0, Tabella01MarzoInverter[[#This Row],[Active power TX3-INV-5]] &lt;= 0),
    MIN(($H79 / 1000) * AI$10 * $BA$4, AI$11 * 0.876) * 0.25,
    IF(
        AND($H79 &gt; $BA$7, Tabella01MarzoInverter[[#This Row],[Active power TX2-INV-8]] &lt;= 0),
        Tabella01MarzoInverter[[#This Row],[Active power TX3-INV-5]] * 0.25,
        0
    )
    +
    IF(
        $N79 &lt; 0.875,
        MAX(0, MIN(($H79 / 1000) * AI$10 * $BA$4, AI$11 * 0.876) - (AI$11 * $N79)) * 0.25,
        0
    )
)</f>
        <v/>
      </c>
      <c r="AJ79" s="117">
        <f>IF(
    AND($H79 &gt; $BA$7, Tabella01MarzoInverter[[#This Row],[Active power TX2-INV-9]] &lt;= 0, Tabella01MarzoInverter[[#This Row],[Active power TX3-INV-6]] &lt;= 0),
    MIN(($H79 / 1000) * AJ$10 * $BA$4, AJ$11 * 0.876) * 0.25,
    IF(
        AND($H79 &gt; $BA$7, Tabella01MarzoInverter[[#This Row],[Active power TX2-INV-9]] &lt;= 0),
        Tabella01MarzoInverter[[#This Row],[Active power TX3-INV-6]] * 0.25,
        0
    )
    +
    IF(
        $N79 &lt; 0.875,
        MAX(0, MIN(($H79 / 1000) * AJ$10 * $BA$4, AJ$11 * 0.876) - (AJ$11 * $N79)) * 0.25,
        0
    )
)</f>
        <v/>
      </c>
      <c r="AK79" s="117">
        <f>IF(
    AND($H79 &gt; $BA$7, Tabella01MarzoInverter[[#This Row],[Active power TX2-INV-10]] &lt;= 0, Tabella01MarzoInverter[[#This Row],[Active power TX3-INV-7]] &lt;= 0),
    MIN(($H79 / 1000) * AK$10 * $BA$4, AK$11 * 0.876) * 0.25,
    IF(
        AND($H79 &gt; $BA$7, Tabella01MarzoInverter[[#This Row],[Active power TX2-INV-10]] &lt;= 0),
        Tabella01MarzoInverter[[#This Row],[Active power TX3-INV-7]] * 0.25,
        0
    )
    +
    IF(
        $N79 &lt; 0.875,
        MAX(0, MIN(($H79 / 1000) * AK$10 * $BA$4, AK$11 * 0.876) - (AK$11 * $N79)) * 0.25,
        0
    )
)</f>
        <v/>
      </c>
      <c r="AL79" s="117">
        <f>IF(
    AND($H79 &gt; $BA$7, Tabella01MarzoInverter[[#This Row],[Active power TX2-INV-11]] &lt;= 0, Tabella01MarzoInverter[[#This Row],[Active power TX3-INV-8]] &lt;= 0),
    MIN(($H79 / 1000) * AL$10 * $BA$4, AL$11 * 0.876) * 0.25,
    IF(
        AND($H79 &gt; $BA$7, Tabella01MarzoInverter[[#This Row],[Active power TX2-INV-11]] &lt;= 0),
        Tabella01MarzoInverter[[#This Row],[Active power TX3-INV-8]] * 0.25,
        0
    )
    +
    IF(
        $N79 &lt; 0.875,
        MAX(0, MIN(($H79 / 1000) * AL$10 * $BA$4, AL$11 * 0.876) - (AL$11 * $N79)) * 0.25,
        0
    )
)</f>
        <v/>
      </c>
      <c r="AM79" s="117">
        <f>IF(
    AND($H79 &gt; $BA$7, Tabella01MarzoInverter[[#This Row],[Active power TX2-INV-12]] &lt;= 0, Tabella01MarzoInverter[[#This Row],[Active power TX3-INV-9]] &lt;= 0),
    MIN(($H79 / 1000) * AM$10 * $BA$4, AM$11 * 0.876) * 0.25,
    IF(
        AND($H79 &gt; $BA$7, Tabella01MarzoInverter[[#This Row],[Active power TX2-INV-12]] &lt;= 0),
        Tabella01MarzoInverter[[#This Row],[Active power TX3-INV-9]] * 0.25,
        0
    )
    +
    IF(
        $N79 &lt; 0.875,
        MAX(0, MIN(($H79 / 1000) * AM$10 * $BA$4, AM$11 * 0.876) - (AM$11 * $N79)) * 0.25,
        0
    )
)</f>
        <v/>
      </c>
      <c r="AN79" s="118">
        <f>SUM(TabellaMar2026[[#This Row],[Colonna39]:[Colonna6]])</f>
        <v/>
      </c>
      <c r="AO79" s="117">
        <f t="array" ref="AO79">IF(
    AND($H79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($H79 / 1000) * AO$10 * $BA$4 * 0.25
    ),
    0
)
+
IF(
    $N79 &lt; 0.875,
    MAX(0, MIN(($H79 / 1000) * AO$10 * $BA$4, AO$11 * 0.876) - (AO$11 * $N79)) * 0.25,
    0
)</f>
        <v/>
      </c>
      <c r="AP79" s="117">
        <f t="array" ref="AP79">IF(
    AND($H79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($H79 / 1000) * AP$10 * $BA$4 * 0.25
    ),
    0
)
+
IF(
    $N79 &lt; 0.875,
    MAX(0, MIN(($H79 / 1000) * AP$10 * $BA$4, AP$11 * 0.876) - (AP$11 * $N79)) * 0.25,
    0
)</f>
        <v/>
      </c>
      <c r="AQ79" s="117">
        <f t="array" ref="AQ79">IF(
    AND($H79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($H79 / 1000) * AQ$10 * $BA$4 * 0.25
    ),
    0
)
+
IF(
    $N79 &lt; 0.875,
    MAX(0, MIN(($H79 / 1000) * AQ$10 * $BA$4, AQ$11 * 0.876) - (AQ$11 * $N79)) * 0.25,
    0
)</f>
        <v/>
      </c>
      <c r="AR79" s="117">
        <f t="array" ref="AR79">IF(
    AND($H79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($H79 / 1000) * AR$10 * $BA$4 * 0.25
    ),
    0
)
+
IF(
    $N79 &lt; 0.875,
    MAX(0, MIN(($H79 / 1000) * AR$10 * $BA$4, AR$11 * 0.876) - (AR$11 * $N79)) * 0.25,
    0
)</f>
        <v/>
      </c>
      <c r="AS79" s="117">
        <f t="array" ref="AS79">IF(
    AND($H79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($H79 / 1000) * AS$10 * $BA$4 * 0.25
    ),
    0
)
+
IF(
    $N79 &lt; 0.875,
    MAX(0, MIN(($H79 / 1000) * AS$10 * $BA$4, AS$11 * 0.876) - (AS$11 * $N79)) * 0.25,
    0
)</f>
        <v/>
      </c>
      <c r="AT79" s="117">
        <f t="array" ref="AT79">IF(
    AND($H79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($H79 / 1000) * AT$10 * $BA$4 * 0.25
    ),
    0
)
+
IF(
    $N79 &lt; 0.875,
    MAX(0, MIN(($H79 / 1000) * AT$10 * $BA$4, AT$11 * 0.876) - (AT$11 * $N79)) * 0.25,
    0
)</f>
        <v/>
      </c>
      <c r="AU79" s="117">
        <f t="array" ref="AU79">IF(
    AND($H79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($H79 / 1000) * AU$10 * $BA$4 * 0.25
    ),
    0
)
+
IF(
    $N79 &lt; 0.875,
    MAX(0, MIN(($H79 / 1000) * AU$10 * $BA$4, AU$11 * 0.876) - (AU$11 * $N79)) * 0.25,
    0
)</f>
        <v/>
      </c>
      <c r="AV79" s="117">
        <f t="array" ref="AV79">IF(
    AND($H79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($H79 / 1000) * AV$10 * $BA$4 * 0.25
    ),
    0
)
+
IF(
    $N79 &lt; 0.875,
    MAX(0, MIN(($H79 / 1000) * AV$10 * $BA$4, AV$11 * 0.876) - (AV$11 * $N79)) * 0.25,
    0
)</f>
        <v/>
      </c>
      <c r="AW79" s="117">
        <f t="array" ref="AW79">IF(
    AND($H79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($H79 / 1000) * AW$10 * $BA$4 * 0.25
    ),
    0
)
+
IF(
    $N79 &lt; 0.875,
    MAX(0, MIN(($H79 / 1000) * AW$10 * $BA$4, AW$11 * 0.876) - (AW$11 * $N79)) * 0.25,
    0
)</f>
        <v/>
      </c>
      <c r="AX79" s="117">
        <f t="array" ref="AX79">IF(
    AND($H79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($H79 / 1000) * AX$10 * $BA$4 * 0.25
    ),
    0
)
+
IF(
    $N79 &lt; 0.875,
    MAX(0, MIN(($H79 / 1000) * AX$10 * $BA$4, AX$11 * 0.876) - (AX$11 * $N79)) * 0.25,
    0
)</f>
        <v/>
      </c>
      <c r="AY79" s="117">
        <f t="array" ref="AY79">IF(
    AND($H79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($H79 / 1000) * AY$10 * $BA$4 * 0.25
    ),
    0
)
+
IF(
    $N79 &lt; 0.875,
    MAX(0, MIN(($H79 / 1000) * AY$10 * $BA$4, AY$11 * 0.876) - (AY$11 * $N79)) * 0.25,
    0
)</f>
        <v/>
      </c>
      <c r="AZ79" s="117">
        <f t="array" ref="AZ79">IF(
    AND($H79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($H79 / 1000) * AZ$10 * $BA$4 * 0.25
    ),
    0
)
+
IF(
    $N79 &lt; 0.875,
    MAX(0, MIN(($H79 / 1000) * AZ$10 * $BA$4, AZ$11 * 0.876) - (AZ$11 * $N79)) * 0.25,
    0
)</f>
        <v/>
      </c>
      <c r="BA79" s="119">
        <f>SUM(TabellaMar2026[[#This Row],[Colonna54]:[Colonna53]])</f>
        <v/>
      </c>
    </row>
    <row r="80">
      <c r="A80" s="112" t="n">
        <v>46143</v>
      </c>
      <c r="B80" t="inlineStr">
        <is>
          <t>16:15:00.000</t>
        </is>
      </c>
      <c r="C80" s="2" t="n">
        <v>920.4</v>
      </c>
      <c r="D80" s="113" t="n">
        <v>0.2301</v>
      </c>
      <c r="E80" s="113" t="n">
        <v>901.4</v>
      </c>
      <c r="F80" s="113" t="n">
        <v>0.22535</v>
      </c>
      <c r="G80" s="113">
        <f>IFERROR((D80+F80)/2, 0)</f>
        <v/>
      </c>
      <c r="H80" s="114">
        <f>IFERROR(IF(AVERAGE(C80,E80)&gt;$BA$7,AVERAGE(C80,E80),0), 0)</f>
        <v/>
      </c>
      <c r="I80" s="114">
        <f>IFERROR(IF(AND(D80=0,F80=0),0,IF(H80&gt;$BA$6,MAX(D80,F80),G80)), 0)</f>
        <v/>
      </c>
      <c r="J80" s="113">
        <f>IFERROR(IF(AND(D80&gt;0,F80&gt;0),ABS(D80-F80)/AVERAGE(D80,F80),0), 0)</f>
        <v/>
      </c>
      <c r="K80" s="113" t="n">
        <v>30131.6</v>
      </c>
      <c r="L80" s="113" t="n">
        <v>30131.6</v>
      </c>
      <c r="M80" s="115">
        <f>IFERROR((L80-K80)*1000, 0)</f>
        <v/>
      </c>
      <c r="N80" s="113" t="n">
        <v>0.0007000000000000001</v>
      </c>
      <c r="O80" s="115">
        <f t="array" ref="O80">IF(
    AND($H80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($H80 / 1000) * O$10 * $BA$4 * 0.25
    ),
    0
)
+
IF(
    $N80 &lt; 0.875,
    MAX(0, MIN(($H80 / 1000) * O$10 * $BA$4, O$11 * 0.876) - (O$11 * $N80)) * 0.25,
    0
)</f>
        <v/>
      </c>
      <c r="P80" s="115">
        <f t="array" ref="P80">IF(
    AND($H80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($H80 / 1000) * P$10 * $BA$4 * 0.25
    ),
    0
)
+
IF(
    $N80 &lt; 0.875,
    MAX(0, MIN(($H80 / 1000) * P$10 * $BA$4, P$11 * 0.876) - (P$11 * $N80)) * 0.25,
    0
)</f>
        <v/>
      </c>
      <c r="Q80" s="115">
        <f t="array" ref="Q80">IF(
    AND($H80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($H80 / 1000) * Q$10 * $BA$4 * 0.25
    ),
    0
)
+
IF(
    $N80 &lt; 0.875,
    MAX(0, MIN(($H80 / 1000) * Q$10 * $BA$4, Q$11 * 0.876) - (Q$11 * $N80)) * 0.25,
    0
)</f>
        <v/>
      </c>
      <c r="R80" s="115">
        <f t="array" ref="R80">IF(
    AND($H80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($H80 / 1000) * R$10 * $BA$4 * 0.25
    ),
    0
)
+
IF(
    $N80 &lt; 0.875,
    MAX(0, MIN(($H80 / 1000) * R$10 * $BA$4, R$11 * 0.876) - (R$11 * $N80)) * 0.25,
    0
)</f>
        <v/>
      </c>
      <c r="S80" s="115">
        <f t="array" ref="S80">IF(
    AND($H80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($H80 / 1000) * S$10 * $BA$4 * 0.25
    ),
    0
)
+
IF(
    $N80 &lt; 0.875,
    MAX(0, MIN(($H80 / 1000) * S$10 * $BA$4, S$11 * 0.876) - (S$11 * $N80)) * 0.25,
    0
)</f>
        <v/>
      </c>
      <c r="T80" s="115">
        <f t="array" ref="T80">IF(
    AND($H80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($H80 / 1000) * T$10 * $BA$4 * 0.25
    ),
    0
)
+
IF(
    $N80 &lt; 0.875,
    MAX(0, MIN(($H80 / 1000) * T$10 * $BA$4, T$11 * 0.876) - (T$11 * $N80)) * 0.25,
    0
)</f>
        <v/>
      </c>
      <c r="U80" s="115">
        <f t="array" ref="U80">IF(
    AND($H80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($H80 / 1000) * U$10 * $BA$4 * 0.25
    ),
    0
)
+
IF(
    $N80 &lt; 0.875,
    MAX(0, MIN(($H80 / 1000) * U$10 * $BA$4, U$11 * 0.876) - (U$11 * $N80)) * 0.25,
    0
)</f>
        <v/>
      </c>
      <c r="V80" s="115">
        <f t="array" ref="V80">IF(
    AND($H80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($H80 / 1000) * V$10 * $BA$4 * 0.25
    ),
    0
)
+
IF(
    $N80 &lt; 0.875,
    MAX(0, MIN(($H80 / 1000) * V$10 * $BA$4, V$11 * 0.876) - (V$11 * $N80)) * 0.25,
    0
)</f>
        <v/>
      </c>
      <c r="W80" s="115">
        <f t="array" ref="W80">IF(
    AND($H80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($H80 / 1000) * W$10 * $BA$4 * 0.25
    ),
    0
)
+
IF(
    $N80 &lt; 0.875,
    MAX(0, MIN(($H80 / 1000) * W$10 * $BA$4, W$11 * 0.876) - (W$11 * $N80)) * 0.25,
    0
)</f>
        <v/>
      </c>
      <c r="X80" s="115">
        <f t="array" ref="X80">IF(
    AND($H80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($H80 / 1000) * X$10 * $BA$4 * 0.25
    ),
    0
)
+
IF(
    $N80 &lt; 0.875,
    MAX(0, MIN(($H80 / 1000) * X$10 * $BA$4, X$11 * 0.876) - (X$11 * $N80)) * 0.25,
    0
)</f>
        <v/>
      </c>
      <c r="Y80" s="115">
        <f t="array" ref="Y80">IF(
    AND($H80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($H80 / 1000) * Y$10 * $BA$4 * 0.25
    ),
    0
)
+
IF(
    $N80 &lt; 0.875,
    MAX(0, MIN(($H80 / 1000) * Y$10 * $BA$4, Y$11 * 0.876) - (Y$11 * $N80)) * 0.25,
    0
)</f>
        <v/>
      </c>
      <c r="Z80" s="115">
        <f t="array" ref="Z80">IF(
    AND($H80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($H80 / 1000) * Z$10 * $BA$4 * 0.25
    ),
    0
)
+
IF(
    $N80 &lt; 0.875,
    MAX(0, MIN(($H80 / 1000) * Z$10 * $BA$4, Z$11 * 0.876) - (Z$11 * $N80)) * 0.25,
    0
)</f>
        <v/>
      </c>
      <c r="AA80" s="116">
        <f>SUM(TabellaMar2026[[#This Row],[Colonna24]:[Colonna20]])</f>
        <v/>
      </c>
      <c r="AB80" s="117">
        <f>IF(
    AND($H80 &gt; $BA$7, Tabella01MarzoInverter[[#This Row],[Active power TX2-INV-1]] &lt;= 0, Tabella01MarzoInverter[[#This Row],[TX2 - Average Power]] &lt;= 0),
    MIN(($H80 / 1000) * AB$10 * $BA$4, AB$11 * 0.876) * 0.25,
    IF(
        AND($H80 &gt; $BA$7, Tabella01MarzoInverter[[#This Row],[Active power TX2-INV-1]] &lt;= 0),
        Tabella01MarzoInverter[[#This Row],[TX2 - Average Power]] * 0.25,
        0
    )
    +
    IF(
        $N80 &lt; 0.875,
        MAX(0, MIN(($H80 / 1000) * AB$10 * $BA$4, AB$11 * 0.876) - (AB$11 * $N80)) * 0.25,
        0
    )
)</f>
        <v/>
      </c>
      <c r="AC80" s="117">
        <f>IF(
    AND($H80 &gt; $BA$7, Tabella01MarzoInverter[[#This Row],[Active power TX2-INV-2]] &lt;= 0, Tabella01MarzoInverter[[#This Row],[TX2 - Max Power]] &lt;= 0),
    MIN(($H80 / 1000) * AC$10 * $BA$4, AC$11 * 0.876) * 0.25,
    IF(
        AND($H80 &gt; $BA$7, Tabella01MarzoInverter[[#This Row],[Active power TX2-INV-2]] &lt;= 0),
        Tabella01MarzoInverter[[#This Row],[TX2 - Max Power]] * 0.25,
        0
    )
    +
    IF(
        $N80 &lt; 0.875,
        MAX(0, MIN(($H80 / 1000) * AC$10 * $BA$4, AC$11 * 0.876) - (AC$11 * $N80)) * 0.25,
        0
    )
)</f>
        <v/>
      </c>
      <c r="AD80" s="117">
        <f>IF(
    AND($H80 &gt; $BA$7, Tabella01MarzoInverter[[#This Row],[Active power TX2-INV-3]] &lt;= 0, Tabella01MarzoInverter[[#This Row],[TX2 - Min Power]] &lt;= 0),
    MIN(($H80 / 1000) * AD$10 * $BA$4, AD$11 * 0.876) * 0.25,
    IF(
        AND($H80 &gt; $BA$7, Tabella01MarzoInverter[[#This Row],[Active power TX2-INV-3]] &lt;= 0),
        Tabella01MarzoInverter[[#This Row],[TX2 - Min Power]] * 0.25,
        0
    )
    +
    IF(
        $N80 &lt; 0.875,
        MAX(0, MIN(($H80 / 1000) * AD$10 * $BA$4, AD$11 * 0.876) - (AD$11 * $N80)) * 0.25,
        0
    )
)</f>
        <v/>
      </c>
      <c r="AE80" s="117">
        <f>IF(
    AND($H80 &gt; $BA$7, Tabella01MarzoInverter[[#This Row],[Active power TX2-INV-4]] &lt;= 0, Tabella01MarzoInverter[[#This Row],[Active power TX3-INV-1]] &lt;= 0),
    MIN(($H80 / 1000) * AE$10 * $BA$4, AE$11 * 0.876) * 0.25,
    IF(
        AND($H80 &gt; $BA$7, Tabella01MarzoInverter[[#This Row],[Active power TX2-INV-4]] &lt;= 0),
        Tabella01MarzoInverter[[#This Row],[Active power TX3-INV-1]] * 0.25,
        0
    )
    +
    IF(
        $N80 &lt; 0.875,
        MAX(0, MIN(($H80 / 1000) * AE$10 * $BA$4, AE$11 * 0.876) - (AE$11 * $N80)) * 0.25,
        0
    )
)</f>
        <v/>
      </c>
      <c r="AF80" s="117">
        <f>IF(
    AND($H80 &gt; $BA$7, Tabella01MarzoInverter[[#This Row],[Active power TX2-INV-5]] &lt;= 0, Tabella01MarzoInverter[[#This Row],[Active power TX3-INV-2]] &lt;= 0),
    MIN(($H80 / 1000) * AF$10 * $BA$4, AF$11 * 0.876) * 0.25,
    IF(
        AND($H80 &gt; $BA$7, Tabella01MarzoInverter[[#This Row],[Active power TX2-INV-5]] &lt;= 0),
        Tabella01MarzoInverter[[#This Row],[Active power TX3-INV-2]] * 0.25,
        0
    )
    +
    IF(
        $N80 &lt; 0.875,
        MAX(0, MIN(($H80 / 1000) * AF$10 * $BA$4, AF$11 * 0.876) - (AF$11 * $N80)) * 0.25,
        0
    )
)</f>
        <v/>
      </c>
      <c r="AG80" s="117">
        <f>IF(
    AND($H80 &gt; $BA$7, Tabella01MarzoInverter[[#This Row],[Active power TX2-INV-6]] &lt;= 0, Tabella01MarzoInverter[[#This Row],[Active power TX3-INV-3]] &lt;= 0),
    MIN(($H80 / 1000) * AG$10 * $BA$4, AG$11 * 0.876) * 0.25,
    IF(
        AND($H80 &gt; $BA$7, Tabella01MarzoInverter[[#This Row],[Active power TX2-INV-6]] &lt;= 0),
        Tabella01MarzoInverter[[#This Row],[Active power TX3-INV-3]] * 0.25,
        0
    )
    +
    IF(
        $N80 &lt; 0.875,
        MAX(0, MIN(($H80 / 1000) * AG$10 * $BA$4, AG$11 * 0.876) - (AG$11 * $N80)) * 0.25,
        0
    )
)</f>
        <v/>
      </c>
      <c r="AH80" s="117">
        <f>IF(
    AND($H80 &gt; $BA$7, Tabella01MarzoInverter[[#This Row],[Active power TX2-INV-7]] &lt;= 0, Tabella01MarzoInverter[[#This Row],[Active power TX3-INV-4]] &lt;= 0),
    MIN(($H80 / 1000) * AH$10 * $BA$4, AH$11 * 0.876) * 0.25,
    IF(
        AND($H80 &gt; $BA$7, Tabella01MarzoInverter[[#This Row],[Active power TX2-INV-7]] &lt;= 0),
        Tabella01MarzoInverter[[#This Row],[Active power TX3-INV-4]] * 0.25,
        0
    )
    +
    IF(
        $N80 &lt; 0.875,
        MAX(0, MIN(($H80 / 1000) * AH$10 * $BA$4, AH$11 * 0.876) - (AH$11 * $N80)) * 0.25,
        0
    )
)</f>
        <v/>
      </c>
      <c r="AI80" s="117">
        <f>IF(
    AND($H80 &gt; $BA$7, Tabella01MarzoInverter[[#This Row],[Active power TX2-INV-8]] &lt;= 0, Tabella01MarzoInverter[[#This Row],[Active power TX3-INV-5]] &lt;= 0),
    MIN(($H80 / 1000) * AI$10 * $BA$4, AI$11 * 0.876) * 0.25,
    IF(
        AND($H80 &gt; $BA$7, Tabella01MarzoInverter[[#This Row],[Active power TX2-INV-8]] &lt;= 0),
        Tabella01MarzoInverter[[#This Row],[Active power TX3-INV-5]] * 0.25,
        0
    )
    +
    IF(
        $N80 &lt; 0.875,
        MAX(0, MIN(($H80 / 1000) * AI$10 * $BA$4, AI$11 * 0.876) - (AI$11 * $N80)) * 0.25,
        0
    )
)</f>
        <v/>
      </c>
      <c r="AJ80" s="117">
        <f>IF(
    AND($H80 &gt; $BA$7, Tabella01MarzoInverter[[#This Row],[Active power TX2-INV-9]] &lt;= 0, Tabella01MarzoInverter[[#This Row],[Active power TX3-INV-6]] &lt;= 0),
    MIN(($H80 / 1000) * AJ$10 * $BA$4, AJ$11 * 0.876) * 0.25,
    IF(
        AND($H80 &gt; $BA$7, Tabella01MarzoInverter[[#This Row],[Active power TX2-INV-9]] &lt;= 0),
        Tabella01MarzoInverter[[#This Row],[Active power TX3-INV-6]] * 0.25,
        0
    )
    +
    IF(
        $N80 &lt; 0.875,
        MAX(0, MIN(($H80 / 1000) * AJ$10 * $BA$4, AJ$11 * 0.876) - (AJ$11 * $N80)) * 0.25,
        0
    )
)</f>
        <v/>
      </c>
      <c r="AK80" s="117">
        <f>IF(
    AND($H80 &gt; $BA$7, Tabella01MarzoInverter[[#This Row],[Active power TX2-INV-10]] &lt;= 0, Tabella01MarzoInverter[[#This Row],[Active power TX3-INV-7]] &lt;= 0),
    MIN(($H80 / 1000) * AK$10 * $BA$4, AK$11 * 0.876) * 0.25,
    IF(
        AND($H80 &gt; $BA$7, Tabella01MarzoInverter[[#This Row],[Active power TX2-INV-10]] &lt;= 0),
        Tabella01MarzoInverter[[#This Row],[Active power TX3-INV-7]] * 0.25,
        0
    )
    +
    IF(
        $N80 &lt; 0.875,
        MAX(0, MIN(($H80 / 1000) * AK$10 * $BA$4, AK$11 * 0.876) - (AK$11 * $N80)) * 0.25,
        0
    )
)</f>
        <v/>
      </c>
      <c r="AL80" s="117">
        <f>IF(
    AND($H80 &gt; $BA$7, Tabella01MarzoInverter[[#This Row],[Active power TX2-INV-11]] &lt;= 0, Tabella01MarzoInverter[[#This Row],[Active power TX3-INV-8]] &lt;= 0),
    MIN(($H80 / 1000) * AL$10 * $BA$4, AL$11 * 0.876) * 0.25,
    IF(
        AND($H80 &gt; $BA$7, Tabella01MarzoInverter[[#This Row],[Active power TX2-INV-11]] &lt;= 0),
        Tabella01MarzoInverter[[#This Row],[Active power TX3-INV-8]] * 0.25,
        0
    )
    +
    IF(
        $N80 &lt; 0.875,
        MAX(0, MIN(($H80 / 1000) * AL$10 * $BA$4, AL$11 * 0.876) - (AL$11 * $N80)) * 0.25,
        0
    )
)</f>
        <v/>
      </c>
      <c r="AM80" s="117">
        <f>IF(
    AND($H80 &gt; $BA$7, Tabella01MarzoInverter[[#This Row],[Active power TX2-INV-12]] &lt;= 0, Tabella01MarzoInverter[[#This Row],[Active power TX3-INV-9]] &lt;= 0),
    MIN(($H80 / 1000) * AM$10 * $BA$4, AM$11 * 0.876) * 0.25,
    IF(
        AND($H80 &gt; $BA$7, Tabella01MarzoInverter[[#This Row],[Active power TX2-INV-12]] &lt;= 0),
        Tabella01MarzoInverter[[#This Row],[Active power TX3-INV-9]] * 0.25,
        0
    )
    +
    IF(
        $N80 &lt; 0.875,
        MAX(0, MIN(($H80 / 1000) * AM$10 * $BA$4, AM$11 * 0.876) - (AM$11 * $N80)) * 0.25,
        0
    )
)</f>
        <v/>
      </c>
      <c r="AN80" s="118">
        <f>SUM(TabellaMar2026[[#This Row],[Colonna39]:[Colonna6]])</f>
        <v/>
      </c>
      <c r="AO80" s="117">
        <f t="array" ref="AO80">IF(
    AND($H80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($H80 / 1000) * AO$10 * $BA$4 * 0.25
    ),
    0
)
+
IF(
    $N80 &lt; 0.875,
    MAX(0, MIN(($H80 / 1000) * AO$10 * $BA$4, AO$11 * 0.876) - (AO$11 * $N80)) * 0.25,
    0
)</f>
        <v/>
      </c>
      <c r="AP80" s="117">
        <f t="array" ref="AP80">IF(
    AND($H80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($H80 / 1000) * AP$10 * $BA$4 * 0.25
    ),
    0
)
+
IF(
    $N80 &lt; 0.875,
    MAX(0, MIN(($H80 / 1000) * AP$10 * $BA$4, AP$11 * 0.876) - (AP$11 * $N80)) * 0.25,
    0
)</f>
        <v/>
      </c>
      <c r="AQ80" s="117">
        <f t="array" ref="AQ80">IF(
    AND($H80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($H80 / 1000) * AQ$10 * $BA$4 * 0.25
    ),
    0
)
+
IF(
    $N80 &lt; 0.875,
    MAX(0, MIN(($H80 / 1000) * AQ$10 * $BA$4, AQ$11 * 0.876) - (AQ$11 * $N80)) * 0.25,
    0
)</f>
        <v/>
      </c>
      <c r="AR80" s="117">
        <f t="array" ref="AR80">IF(
    AND($H80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($H80 / 1000) * AR$10 * $BA$4 * 0.25
    ),
    0
)
+
IF(
    $N80 &lt; 0.875,
    MAX(0, MIN(($H80 / 1000) * AR$10 * $BA$4, AR$11 * 0.876) - (AR$11 * $N80)) * 0.25,
    0
)</f>
        <v/>
      </c>
      <c r="AS80" s="117">
        <f t="array" ref="AS80">IF(
    AND($H80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($H80 / 1000) * AS$10 * $BA$4 * 0.25
    ),
    0
)
+
IF(
    $N80 &lt; 0.875,
    MAX(0, MIN(($H80 / 1000) * AS$10 * $BA$4, AS$11 * 0.876) - (AS$11 * $N80)) * 0.25,
    0
)</f>
        <v/>
      </c>
      <c r="AT80" s="117">
        <f t="array" ref="AT80">IF(
    AND($H80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($H80 / 1000) * AT$10 * $BA$4 * 0.25
    ),
    0
)
+
IF(
    $N80 &lt; 0.875,
    MAX(0, MIN(($H80 / 1000) * AT$10 * $BA$4, AT$11 * 0.876) - (AT$11 * $N80)) * 0.25,
    0
)</f>
        <v/>
      </c>
      <c r="AU80" s="117">
        <f t="array" ref="AU80">IF(
    AND($H80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($H80 / 1000) * AU$10 * $BA$4 * 0.25
    ),
    0
)
+
IF(
    $N80 &lt; 0.875,
    MAX(0, MIN(($H80 / 1000) * AU$10 * $BA$4, AU$11 * 0.876) - (AU$11 * $N80)) * 0.25,
    0
)</f>
        <v/>
      </c>
      <c r="AV80" s="117">
        <f t="array" ref="AV80">IF(
    AND($H80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($H80 / 1000) * AV$10 * $BA$4 * 0.25
    ),
    0
)
+
IF(
    $N80 &lt; 0.875,
    MAX(0, MIN(($H80 / 1000) * AV$10 * $BA$4, AV$11 * 0.876) - (AV$11 * $N80)) * 0.25,
    0
)</f>
        <v/>
      </c>
      <c r="AW80" s="117">
        <f t="array" ref="AW80">IF(
    AND($H80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($H80 / 1000) * AW$10 * $BA$4 * 0.25
    ),
    0
)
+
IF(
    $N80 &lt; 0.875,
    MAX(0, MIN(($H80 / 1000) * AW$10 * $BA$4, AW$11 * 0.876) - (AW$11 * $N80)) * 0.25,
    0
)</f>
        <v/>
      </c>
      <c r="AX80" s="117">
        <f t="array" ref="AX80">IF(
    AND($H80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($H80 / 1000) * AX$10 * $BA$4 * 0.25
    ),
    0
)
+
IF(
    $N80 &lt; 0.875,
    MAX(0, MIN(($H80 / 1000) * AX$10 * $BA$4, AX$11 * 0.876) - (AX$11 * $N80)) * 0.25,
    0
)</f>
        <v/>
      </c>
      <c r="AY80" s="117">
        <f t="array" ref="AY80">IF(
    AND($H80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($H80 / 1000) * AY$10 * $BA$4 * 0.25
    ),
    0
)
+
IF(
    $N80 &lt; 0.875,
    MAX(0, MIN(($H80 / 1000) * AY$10 * $BA$4, AY$11 * 0.876) - (AY$11 * $N80)) * 0.25,
    0
)</f>
        <v/>
      </c>
      <c r="AZ80" s="117">
        <f t="array" ref="AZ80">IF(
    AND($H80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($H80 / 1000) * AZ$10 * $BA$4 * 0.25
    ),
    0
)
+
IF(
    $N80 &lt; 0.875,
    MAX(0, MIN(($H80 / 1000) * AZ$10 * $BA$4, AZ$11 * 0.876) - (AZ$11 * $N80)) * 0.25,
    0
)</f>
        <v/>
      </c>
      <c r="BA80" s="119">
        <f>SUM(TabellaMar2026[[#This Row],[Colonna54]:[Colonna53]])</f>
        <v/>
      </c>
    </row>
    <row r="81">
      <c r="A81" s="112" t="n">
        <v>46143</v>
      </c>
      <c r="B81" t="inlineStr">
        <is>
          <t>16:30:00.000</t>
        </is>
      </c>
      <c r="C81" s="2" t="n">
        <v>894.6</v>
      </c>
      <c r="D81" s="113" t="n">
        <v>0.22365</v>
      </c>
      <c r="E81" s="113" t="n">
        <v>869</v>
      </c>
      <c r="F81" s="113" t="n">
        <v>0.21725</v>
      </c>
      <c r="G81" s="113">
        <f>IFERROR((D81+F81)/2, 0)</f>
        <v/>
      </c>
      <c r="H81" s="114">
        <f>IFERROR(IF(AVERAGE(C81,E81)&gt;$BA$7,AVERAGE(C81,E81),0), 0)</f>
        <v/>
      </c>
      <c r="I81" s="114">
        <f>IFERROR(IF(AND(D81=0,F81=0),0,IF(H81&gt;$BA$6,MAX(D81,F81),G81)), 0)</f>
        <v/>
      </c>
      <c r="J81" s="113">
        <f>IFERROR(IF(AND(D81&gt;0,F81&gt;0),ABS(D81-F81)/AVERAGE(D81,F81),0), 0)</f>
        <v/>
      </c>
      <c r="K81" s="113" t="n">
        <v>30131.6</v>
      </c>
      <c r="L81" s="113" t="n">
        <v>30131.6</v>
      </c>
      <c r="M81" s="115">
        <f>IFERROR((L81-K81)*1000, 0)</f>
        <v/>
      </c>
      <c r="N81" s="113" t="n">
        <v>0.0007000000000000001</v>
      </c>
      <c r="O81" s="115">
        <f t="array" ref="O81">IF(
    AND($H81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($H81 / 1000) * O$10 * $BA$4 * 0.25
    ),
    0
)
+
IF(
    $N81 &lt; 0.875,
    MAX(0, MIN(($H81 / 1000) * O$10 * $BA$4, O$11 * 0.876) - (O$11 * $N81)) * 0.25,
    0
)</f>
        <v/>
      </c>
      <c r="P81" s="115">
        <f t="array" ref="P81">IF(
    AND($H81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($H81 / 1000) * P$10 * $BA$4 * 0.25
    ),
    0
)
+
IF(
    $N81 &lt; 0.875,
    MAX(0, MIN(($H81 / 1000) * P$10 * $BA$4, P$11 * 0.876) - (P$11 * $N81)) * 0.25,
    0
)</f>
        <v/>
      </c>
      <c r="Q81" s="115">
        <f t="array" ref="Q81">IF(
    AND($H81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($H81 / 1000) * Q$10 * $BA$4 * 0.25
    ),
    0
)
+
IF(
    $N81 &lt; 0.875,
    MAX(0, MIN(($H81 / 1000) * Q$10 * $BA$4, Q$11 * 0.876) - (Q$11 * $N81)) * 0.25,
    0
)</f>
        <v/>
      </c>
      <c r="R81" s="115">
        <f t="array" ref="R81">IF(
    AND($H81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($H81 / 1000) * R$10 * $BA$4 * 0.25
    ),
    0
)
+
IF(
    $N81 &lt; 0.875,
    MAX(0, MIN(($H81 / 1000) * R$10 * $BA$4, R$11 * 0.876) - (R$11 * $N81)) * 0.25,
    0
)</f>
        <v/>
      </c>
      <c r="S81" s="115">
        <f t="array" ref="S81">IF(
    AND($H81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($H81 / 1000) * S$10 * $BA$4 * 0.25
    ),
    0
)
+
IF(
    $N81 &lt; 0.875,
    MAX(0, MIN(($H81 / 1000) * S$10 * $BA$4, S$11 * 0.876) - (S$11 * $N81)) * 0.25,
    0
)</f>
        <v/>
      </c>
      <c r="T81" s="115">
        <f t="array" ref="T81">IF(
    AND($H81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($H81 / 1000) * T$10 * $BA$4 * 0.25
    ),
    0
)
+
IF(
    $N81 &lt; 0.875,
    MAX(0, MIN(($H81 / 1000) * T$10 * $BA$4, T$11 * 0.876) - (T$11 * $N81)) * 0.25,
    0
)</f>
        <v/>
      </c>
      <c r="U81" s="115">
        <f t="array" ref="U81">IF(
    AND($H81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($H81 / 1000) * U$10 * $BA$4 * 0.25
    ),
    0
)
+
IF(
    $N81 &lt; 0.875,
    MAX(0, MIN(($H81 / 1000) * U$10 * $BA$4, U$11 * 0.876) - (U$11 * $N81)) * 0.25,
    0
)</f>
        <v/>
      </c>
      <c r="V81" s="115">
        <f t="array" ref="V81">IF(
    AND($H81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($H81 / 1000) * V$10 * $BA$4 * 0.25
    ),
    0
)
+
IF(
    $N81 &lt; 0.875,
    MAX(0, MIN(($H81 / 1000) * V$10 * $BA$4, V$11 * 0.876) - (V$11 * $N81)) * 0.25,
    0
)</f>
        <v/>
      </c>
      <c r="W81" s="115">
        <f t="array" ref="W81">IF(
    AND($H81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($H81 / 1000) * W$10 * $BA$4 * 0.25
    ),
    0
)
+
IF(
    $N81 &lt; 0.875,
    MAX(0, MIN(($H81 / 1000) * W$10 * $BA$4, W$11 * 0.876) - (W$11 * $N81)) * 0.25,
    0
)</f>
        <v/>
      </c>
      <c r="X81" s="115">
        <f t="array" ref="X81">IF(
    AND($H81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($H81 / 1000) * X$10 * $BA$4 * 0.25
    ),
    0
)
+
IF(
    $N81 &lt; 0.875,
    MAX(0, MIN(($H81 / 1000) * X$10 * $BA$4, X$11 * 0.876) - (X$11 * $N81)) * 0.25,
    0
)</f>
        <v/>
      </c>
      <c r="Y81" s="115">
        <f t="array" ref="Y81">IF(
    AND($H81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($H81 / 1000) * Y$10 * $BA$4 * 0.25
    ),
    0
)
+
IF(
    $N81 &lt; 0.875,
    MAX(0, MIN(($H81 / 1000) * Y$10 * $BA$4, Y$11 * 0.876) - (Y$11 * $N81)) * 0.25,
    0
)</f>
        <v/>
      </c>
      <c r="Z81" s="115">
        <f t="array" ref="Z81">IF(
    AND($H81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($H81 / 1000) * Z$10 * $BA$4 * 0.25
    ),
    0
)
+
IF(
    $N81 &lt; 0.875,
    MAX(0, MIN(($H81 / 1000) * Z$10 * $BA$4, Z$11 * 0.876) - (Z$11 * $N81)) * 0.25,
    0
)</f>
        <v/>
      </c>
      <c r="AA81" s="116">
        <f>SUM(TabellaMar2026[[#This Row],[Colonna24]:[Colonna20]])</f>
        <v/>
      </c>
      <c r="AB81" s="117">
        <f>IF(
    AND($H81 &gt; $BA$7, Tabella01MarzoInverter[[#This Row],[Active power TX2-INV-1]] &lt;= 0, Tabella01MarzoInverter[[#This Row],[TX2 - Average Power]] &lt;= 0),
    MIN(($H81 / 1000) * AB$10 * $BA$4, AB$11 * 0.876) * 0.25,
    IF(
        AND($H81 &gt; $BA$7, Tabella01MarzoInverter[[#This Row],[Active power TX2-INV-1]] &lt;= 0),
        Tabella01MarzoInverter[[#This Row],[TX2 - Average Power]] * 0.25,
        0
    )
    +
    IF(
        $N81 &lt; 0.875,
        MAX(0, MIN(($H81 / 1000) * AB$10 * $BA$4, AB$11 * 0.876) - (AB$11 * $N81)) * 0.25,
        0
    )
)</f>
        <v/>
      </c>
      <c r="AC81" s="117">
        <f>IF(
    AND($H81 &gt; $BA$7, Tabella01MarzoInverter[[#This Row],[Active power TX2-INV-2]] &lt;= 0, Tabella01MarzoInverter[[#This Row],[TX2 - Max Power]] &lt;= 0),
    MIN(($H81 / 1000) * AC$10 * $BA$4, AC$11 * 0.876) * 0.25,
    IF(
        AND($H81 &gt; $BA$7, Tabella01MarzoInverter[[#This Row],[Active power TX2-INV-2]] &lt;= 0),
        Tabella01MarzoInverter[[#This Row],[TX2 - Max Power]] * 0.25,
        0
    )
    +
    IF(
        $N81 &lt; 0.875,
        MAX(0, MIN(($H81 / 1000) * AC$10 * $BA$4, AC$11 * 0.876) - (AC$11 * $N81)) * 0.25,
        0
    )
)</f>
        <v/>
      </c>
      <c r="AD81" s="117">
        <f>IF(
    AND($H81 &gt; $BA$7, Tabella01MarzoInverter[[#This Row],[Active power TX2-INV-3]] &lt;= 0, Tabella01MarzoInverter[[#This Row],[TX2 - Min Power]] &lt;= 0),
    MIN(($H81 / 1000) * AD$10 * $BA$4, AD$11 * 0.876) * 0.25,
    IF(
        AND($H81 &gt; $BA$7, Tabella01MarzoInverter[[#This Row],[Active power TX2-INV-3]] &lt;= 0),
        Tabella01MarzoInverter[[#This Row],[TX2 - Min Power]] * 0.25,
        0
    )
    +
    IF(
        $N81 &lt; 0.875,
        MAX(0, MIN(($H81 / 1000) * AD$10 * $BA$4, AD$11 * 0.876) - (AD$11 * $N81)) * 0.25,
        0
    )
)</f>
        <v/>
      </c>
      <c r="AE81" s="117">
        <f>IF(
    AND($H81 &gt; $BA$7, Tabella01MarzoInverter[[#This Row],[Active power TX2-INV-4]] &lt;= 0, Tabella01MarzoInverter[[#This Row],[Active power TX3-INV-1]] &lt;= 0),
    MIN(($H81 / 1000) * AE$10 * $BA$4, AE$11 * 0.876) * 0.25,
    IF(
        AND($H81 &gt; $BA$7, Tabella01MarzoInverter[[#This Row],[Active power TX2-INV-4]] &lt;= 0),
        Tabella01MarzoInverter[[#This Row],[Active power TX3-INV-1]] * 0.25,
        0
    )
    +
    IF(
        $N81 &lt; 0.875,
        MAX(0, MIN(($H81 / 1000) * AE$10 * $BA$4, AE$11 * 0.876) - (AE$11 * $N81)) * 0.25,
        0
    )
)</f>
        <v/>
      </c>
      <c r="AF81" s="117">
        <f>IF(
    AND($H81 &gt; $BA$7, Tabella01MarzoInverter[[#This Row],[Active power TX2-INV-5]] &lt;= 0, Tabella01MarzoInverter[[#This Row],[Active power TX3-INV-2]] &lt;= 0),
    MIN(($H81 / 1000) * AF$10 * $BA$4, AF$11 * 0.876) * 0.25,
    IF(
        AND($H81 &gt; $BA$7, Tabella01MarzoInverter[[#This Row],[Active power TX2-INV-5]] &lt;= 0),
        Tabella01MarzoInverter[[#This Row],[Active power TX3-INV-2]] * 0.25,
        0
    )
    +
    IF(
        $N81 &lt; 0.875,
        MAX(0, MIN(($H81 / 1000) * AF$10 * $BA$4, AF$11 * 0.876) - (AF$11 * $N81)) * 0.25,
        0
    )
)</f>
        <v/>
      </c>
      <c r="AG81" s="117">
        <f>IF(
    AND($H81 &gt; $BA$7, Tabella01MarzoInverter[[#This Row],[Active power TX2-INV-6]] &lt;= 0, Tabella01MarzoInverter[[#This Row],[Active power TX3-INV-3]] &lt;= 0),
    MIN(($H81 / 1000) * AG$10 * $BA$4, AG$11 * 0.876) * 0.25,
    IF(
        AND($H81 &gt; $BA$7, Tabella01MarzoInverter[[#This Row],[Active power TX2-INV-6]] &lt;= 0),
        Tabella01MarzoInverter[[#This Row],[Active power TX3-INV-3]] * 0.25,
        0
    )
    +
    IF(
        $N81 &lt; 0.875,
        MAX(0, MIN(($H81 / 1000) * AG$10 * $BA$4, AG$11 * 0.876) - (AG$11 * $N81)) * 0.25,
        0
    )
)</f>
        <v/>
      </c>
      <c r="AH81" s="117">
        <f>IF(
    AND($H81 &gt; $BA$7, Tabella01MarzoInverter[[#This Row],[Active power TX2-INV-7]] &lt;= 0, Tabella01MarzoInverter[[#This Row],[Active power TX3-INV-4]] &lt;= 0),
    MIN(($H81 / 1000) * AH$10 * $BA$4, AH$11 * 0.876) * 0.25,
    IF(
        AND($H81 &gt; $BA$7, Tabella01MarzoInverter[[#This Row],[Active power TX2-INV-7]] &lt;= 0),
        Tabella01MarzoInverter[[#This Row],[Active power TX3-INV-4]] * 0.25,
        0
    )
    +
    IF(
        $N81 &lt; 0.875,
        MAX(0, MIN(($H81 / 1000) * AH$10 * $BA$4, AH$11 * 0.876) - (AH$11 * $N81)) * 0.25,
        0
    )
)</f>
        <v/>
      </c>
      <c r="AI81" s="117">
        <f>IF(
    AND($H81 &gt; $BA$7, Tabella01MarzoInverter[[#This Row],[Active power TX2-INV-8]] &lt;= 0, Tabella01MarzoInverter[[#This Row],[Active power TX3-INV-5]] &lt;= 0),
    MIN(($H81 / 1000) * AI$10 * $BA$4, AI$11 * 0.876) * 0.25,
    IF(
        AND($H81 &gt; $BA$7, Tabella01MarzoInverter[[#This Row],[Active power TX2-INV-8]] &lt;= 0),
        Tabella01MarzoInverter[[#This Row],[Active power TX3-INV-5]] * 0.25,
        0
    )
    +
    IF(
        $N81 &lt; 0.875,
        MAX(0, MIN(($H81 / 1000) * AI$10 * $BA$4, AI$11 * 0.876) - (AI$11 * $N81)) * 0.25,
        0
    )
)</f>
        <v/>
      </c>
      <c r="AJ81" s="117">
        <f>IF(
    AND($H81 &gt; $BA$7, Tabella01MarzoInverter[[#This Row],[Active power TX2-INV-9]] &lt;= 0, Tabella01MarzoInverter[[#This Row],[Active power TX3-INV-6]] &lt;= 0),
    MIN(($H81 / 1000) * AJ$10 * $BA$4, AJ$11 * 0.876) * 0.25,
    IF(
        AND($H81 &gt; $BA$7, Tabella01MarzoInverter[[#This Row],[Active power TX2-INV-9]] &lt;= 0),
        Tabella01MarzoInverter[[#This Row],[Active power TX3-INV-6]] * 0.25,
        0
    )
    +
    IF(
        $N81 &lt; 0.875,
        MAX(0, MIN(($H81 / 1000) * AJ$10 * $BA$4, AJ$11 * 0.876) - (AJ$11 * $N81)) * 0.25,
        0
    )
)</f>
        <v/>
      </c>
      <c r="AK81" s="117">
        <f>IF(
    AND($H81 &gt; $BA$7, Tabella01MarzoInverter[[#This Row],[Active power TX2-INV-10]] &lt;= 0, Tabella01MarzoInverter[[#This Row],[Active power TX3-INV-7]] &lt;= 0),
    MIN(($H81 / 1000) * AK$10 * $BA$4, AK$11 * 0.876) * 0.25,
    IF(
        AND($H81 &gt; $BA$7, Tabella01MarzoInverter[[#This Row],[Active power TX2-INV-10]] &lt;= 0),
        Tabella01MarzoInverter[[#This Row],[Active power TX3-INV-7]] * 0.25,
        0
    )
    +
    IF(
        $N81 &lt; 0.875,
        MAX(0, MIN(($H81 / 1000) * AK$10 * $BA$4, AK$11 * 0.876) - (AK$11 * $N81)) * 0.25,
        0
    )
)</f>
        <v/>
      </c>
      <c r="AL81" s="117">
        <f>IF(
    AND($H81 &gt; $BA$7, Tabella01MarzoInverter[[#This Row],[Active power TX2-INV-11]] &lt;= 0, Tabella01MarzoInverter[[#This Row],[Active power TX3-INV-8]] &lt;= 0),
    MIN(($H81 / 1000) * AL$10 * $BA$4, AL$11 * 0.876) * 0.25,
    IF(
        AND($H81 &gt; $BA$7, Tabella01MarzoInverter[[#This Row],[Active power TX2-INV-11]] &lt;= 0),
        Tabella01MarzoInverter[[#This Row],[Active power TX3-INV-8]] * 0.25,
        0
    )
    +
    IF(
        $N81 &lt; 0.875,
        MAX(0, MIN(($H81 / 1000) * AL$10 * $BA$4, AL$11 * 0.876) - (AL$11 * $N81)) * 0.25,
        0
    )
)</f>
        <v/>
      </c>
      <c r="AM81" s="117">
        <f>IF(
    AND($H81 &gt; $BA$7, Tabella01MarzoInverter[[#This Row],[Active power TX2-INV-12]] &lt;= 0, Tabella01MarzoInverter[[#This Row],[Active power TX3-INV-9]] &lt;= 0),
    MIN(($H81 / 1000) * AM$10 * $BA$4, AM$11 * 0.876) * 0.25,
    IF(
        AND($H81 &gt; $BA$7, Tabella01MarzoInverter[[#This Row],[Active power TX2-INV-12]] &lt;= 0),
        Tabella01MarzoInverter[[#This Row],[Active power TX3-INV-9]] * 0.25,
        0
    )
    +
    IF(
        $N81 &lt; 0.875,
        MAX(0, MIN(($H81 / 1000) * AM$10 * $BA$4, AM$11 * 0.876) - (AM$11 * $N81)) * 0.25,
        0
    )
)</f>
        <v/>
      </c>
      <c r="AN81" s="118">
        <f>SUM(TabellaMar2026[[#This Row],[Colonna39]:[Colonna6]])</f>
        <v/>
      </c>
      <c r="AO81" s="117">
        <f t="array" ref="AO81">IF(
    AND($H81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($H81 / 1000) * AO$10 * $BA$4 * 0.25
    ),
    0
)
+
IF(
    $N81 &lt; 0.875,
    MAX(0, MIN(($H81 / 1000) * AO$10 * $BA$4, AO$11 * 0.876) - (AO$11 * $N81)) * 0.25,
    0
)</f>
        <v/>
      </c>
      <c r="AP81" s="117">
        <f t="array" ref="AP81">IF(
    AND($H81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($H81 / 1000) * AP$10 * $BA$4 * 0.25
    ),
    0
)
+
IF(
    $N81 &lt; 0.875,
    MAX(0, MIN(($H81 / 1000) * AP$10 * $BA$4, AP$11 * 0.876) - (AP$11 * $N81)) * 0.25,
    0
)</f>
        <v/>
      </c>
      <c r="AQ81" s="117">
        <f t="array" ref="AQ81">IF(
    AND($H81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($H81 / 1000) * AQ$10 * $BA$4 * 0.25
    ),
    0
)
+
IF(
    $N81 &lt; 0.875,
    MAX(0, MIN(($H81 / 1000) * AQ$10 * $BA$4, AQ$11 * 0.876) - (AQ$11 * $N81)) * 0.25,
    0
)</f>
        <v/>
      </c>
      <c r="AR81" s="117">
        <f t="array" ref="AR81">IF(
    AND($H81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($H81 / 1000) * AR$10 * $BA$4 * 0.25
    ),
    0
)
+
IF(
    $N81 &lt; 0.875,
    MAX(0, MIN(($H81 / 1000) * AR$10 * $BA$4, AR$11 * 0.876) - (AR$11 * $N81)) * 0.25,
    0
)</f>
        <v/>
      </c>
      <c r="AS81" s="117">
        <f t="array" ref="AS81">IF(
    AND($H81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($H81 / 1000) * AS$10 * $BA$4 * 0.25
    ),
    0
)
+
IF(
    $N81 &lt; 0.875,
    MAX(0, MIN(($H81 / 1000) * AS$10 * $BA$4, AS$11 * 0.876) - (AS$11 * $N81)) * 0.25,
    0
)</f>
        <v/>
      </c>
      <c r="AT81" s="117">
        <f t="array" ref="AT81">IF(
    AND($H81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($H81 / 1000) * AT$10 * $BA$4 * 0.25
    ),
    0
)
+
IF(
    $N81 &lt; 0.875,
    MAX(0, MIN(($H81 / 1000) * AT$10 * $BA$4, AT$11 * 0.876) - (AT$11 * $N81)) * 0.25,
    0
)</f>
        <v/>
      </c>
      <c r="AU81" s="117">
        <f t="array" ref="AU81">IF(
    AND($H81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($H81 / 1000) * AU$10 * $BA$4 * 0.25
    ),
    0
)
+
IF(
    $N81 &lt; 0.875,
    MAX(0, MIN(($H81 / 1000) * AU$10 * $BA$4, AU$11 * 0.876) - (AU$11 * $N81)) * 0.25,
    0
)</f>
        <v/>
      </c>
      <c r="AV81" s="117">
        <f t="array" ref="AV81">IF(
    AND($H81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($H81 / 1000) * AV$10 * $BA$4 * 0.25
    ),
    0
)
+
IF(
    $N81 &lt; 0.875,
    MAX(0, MIN(($H81 / 1000) * AV$10 * $BA$4, AV$11 * 0.876) - (AV$11 * $N81)) * 0.25,
    0
)</f>
        <v/>
      </c>
      <c r="AW81" s="117">
        <f t="array" ref="AW81">IF(
    AND($H81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($H81 / 1000) * AW$10 * $BA$4 * 0.25
    ),
    0
)
+
IF(
    $N81 &lt; 0.875,
    MAX(0, MIN(($H81 / 1000) * AW$10 * $BA$4, AW$11 * 0.876) - (AW$11 * $N81)) * 0.25,
    0
)</f>
        <v/>
      </c>
      <c r="AX81" s="117">
        <f t="array" ref="AX81">IF(
    AND($H81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($H81 / 1000) * AX$10 * $BA$4 * 0.25
    ),
    0
)
+
IF(
    $N81 &lt; 0.875,
    MAX(0, MIN(($H81 / 1000) * AX$10 * $BA$4, AX$11 * 0.876) - (AX$11 * $N81)) * 0.25,
    0
)</f>
        <v/>
      </c>
      <c r="AY81" s="117">
        <f t="array" ref="AY81">IF(
    AND($H81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($H81 / 1000) * AY$10 * $BA$4 * 0.25
    ),
    0
)
+
IF(
    $N81 &lt; 0.875,
    MAX(0, MIN(($H81 / 1000) * AY$10 * $BA$4, AY$11 * 0.876) - (AY$11 * $N81)) * 0.25,
    0
)</f>
        <v/>
      </c>
      <c r="AZ81" s="117">
        <f t="array" ref="AZ81">IF(
    AND($H81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($H81 / 1000) * AZ$10 * $BA$4 * 0.25
    ),
    0
)
+
IF(
    $N81 &lt; 0.875,
    MAX(0, MIN(($H81 / 1000) * AZ$10 * $BA$4, AZ$11 * 0.876) - (AZ$11 * $N81)) * 0.25,
    0
)</f>
        <v/>
      </c>
      <c r="BA81" s="119">
        <f>SUM(TabellaMar2026[[#This Row],[Colonna54]:[Colonna53]])</f>
        <v/>
      </c>
    </row>
    <row r="82">
      <c r="A82" s="112" t="n">
        <v>46143</v>
      </c>
      <c r="B82" t="inlineStr">
        <is>
          <t>16:45:00.000</t>
        </is>
      </c>
      <c r="C82" s="2" t="n">
        <v>898.4</v>
      </c>
      <c r="D82" s="113" t="n">
        <v>0.2246</v>
      </c>
      <c r="E82" s="113" t="n">
        <v>875.9</v>
      </c>
      <c r="F82" s="113" t="n">
        <v>0.218975</v>
      </c>
      <c r="G82" s="113">
        <f>IFERROR((D82+F82)/2, 0)</f>
        <v/>
      </c>
      <c r="H82" s="114">
        <f>IFERROR(IF(AVERAGE(C82,E82)&gt;$BA$7,AVERAGE(C82,E82),0), 0)</f>
        <v/>
      </c>
      <c r="I82" s="114">
        <f>IFERROR(IF(AND(D82=0,F82=0),0,IF(H82&gt;$BA$6,MAX(D82,F82),G82)), 0)</f>
        <v/>
      </c>
      <c r="J82" s="113">
        <f>IFERROR(IF(AND(D82&gt;0,F82&gt;0),ABS(D82-F82)/AVERAGE(D82,F82),0), 0)</f>
        <v/>
      </c>
      <c r="K82" s="113" t="n">
        <v>30131.6</v>
      </c>
      <c r="L82" s="113" t="n">
        <v>30131.6</v>
      </c>
      <c r="M82" s="115">
        <f>IFERROR((L82-K82)*1000, 0)</f>
        <v/>
      </c>
      <c r="N82" s="113" t="n">
        <v>0.0007000000000000001</v>
      </c>
      <c r="O82" s="115">
        <f t="array" ref="O82">IF(
    AND($H82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($H82 / 1000) * O$10 * $BA$4 * 0.25
    ),
    0
)
+
IF(
    $N82 &lt; 0.875,
    MAX(0, MIN(($H82 / 1000) * O$10 * $BA$4, O$11 * 0.876) - (O$11 * $N82)) * 0.25,
    0
)</f>
        <v/>
      </c>
      <c r="P82" s="115">
        <f t="array" ref="P82">IF(
    AND($H82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($H82 / 1000) * P$10 * $BA$4 * 0.25
    ),
    0
)
+
IF(
    $N82 &lt; 0.875,
    MAX(0, MIN(($H82 / 1000) * P$10 * $BA$4, P$11 * 0.876) - (P$11 * $N82)) * 0.25,
    0
)</f>
        <v/>
      </c>
      <c r="Q82" s="115">
        <f t="array" ref="Q82">IF(
    AND($H82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($H82 / 1000) * Q$10 * $BA$4 * 0.25
    ),
    0
)
+
IF(
    $N82 &lt; 0.875,
    MAX(0, MIN(($H82 / 1000) * Q$10 * $BA$4, Q$11 * 0.876) - (Q$11 * $N82)) * 0.25,
    0
)</f>
        <v/>
      </c>
      <c r="R82" s="115">
        <f t="array" ref="R82">IF(
    AND($H82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($H82 / 1000) * R$10 * $BA$4 * 0.25
    ),
    0
)
+
IF(
    $N82 &lt; 0.875,
    MAX(0, MIN(($H82 / 1000) * R$10 * $BA$4, R$11 * 0.876) - (R$11 * $N82)) * 0.25,
    0
)</f>
        <v/>
      </c>
      <c r="S82" s="115">
        <f t="array" ref="S82">IF(
    AND($H82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($H82 / 1000) * S$10 * $BA$4 * 0.25
    ),
    0
)
+
IF(
    $N82 &lt; 0.875,
    MAX(0, MIN(($H82 / 1000) * S$10 * $BA$4, S$11 * 0.876) - (S$11 * $N82)) * 0.25,
    0
)</f>
        <v/>
      </c>
      <c r="T82" s="115">
        <f t="array" ref="T82">IF(
    AND($H82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($H82 / 1000) * T$10 * $BA$4 * 0.25
    ),
    0
)
+
IF(
    $N82 &lt; 0.875,
    MAX(0, MIN(($H82 / 1000) * T$10 * $BA$4, T$11 * 0.876) - (T$11 * $N82)) * 0.25,
    0
)</f>
        <v/>
      </c>
      <c r="U82" s="115">
        <f t="array" ref="U82">IF(
    AND($H82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($H82 / 1000) * U$10 * $BA$4 * 0.25
    ),
    0
)
+
IF(
    $N82 &lt; 0.875,
    MAX(0, MIN(($H82 / 1000) * U$10 * $BA$4, U$11 * 0.876) - (U$11 * $N82)) * 0.25,
    0
)</f>
        <v/>
      </c>
      <c r="V82" s="115">
        <f t="array" ref="V82">IF(
    AND($H82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($H82 / 1000) * V$10 * $BA$4 * 0.25
    ),
    0
)
+
IF(
    $N82 &lt; 0.875,
    MAX(0, MIN(($H82 / 1000) * V$10 * $BA$4, V$11 * 0.876) - (V$11 * $N82)) * 0.25,
    0
)</f>
        <v/>
      </c>
      <c r="W82" s="115">
        <f t="array" ref="W82">IF(
    AND($H82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($H82 / 1000) * W$10 * $BA$4 * 0.25
    ),
    0
)
+
IF(
    $N82 &lt; 0.875,
    MAX(0, MIN(($H82 / 1000) * W$10 * $BA$4, W$11 * 0.876) - (W$11 * $N82)) * 0.25,
    0
)</f>
        <v/>
      </c>
      <c r="X82" s="115">
        <f t="array" ref="X82">IF(
    AND($H82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($H82 / 1000) * X$10 * $BA$4 * 0.25
    ),
    0
)
+
IF(
    $N82 &lt; 0.875,
    MAX(0, MIN(($H82 / 1000) * X$10 * $BA$4, X$11 * 0.876) - (X$11 * $N82)) * 0.25,
    0
)</f>
        <v/>
      </c>
      <c r="Y82" s="115">
        <f t="array" ref="Y82">IF(
    AND($H82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($H82 / 1000) * Y$10 * $BA$4 * 0.25
    ),
    0
)
+
IF(
    $N82 &lt; 0.875,
    MAX(0, MIN(($H82 / 1000) * Y$10 * $BA$4, Y$11 * 0.876) - (Y$11 * $N82)) * 0.25,
    0
)</f>
        <v/>
      </c>
      <c r="Z82" s="115">
        <f t="array" ref="Z82">IF(
    AND($H82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($H82 / 1000) * Z$10 * $BA$4 * 0.25
    ),
    0
)
+
IF(
    $N82 &lt; 0.875,
    MAX(0, MIN(($H82 / 1000) * Z$10 * $BA$4, Z$11 * 0.876) - (Z$11 * $N82)) * 0.25,
    0
)</f>
        <v/>
      </c>
      <c r="AA82" s="116">
        <f>SUM(TabellaMar2026[[#This Row],[Colonna24]:[Colonna20]])</f>
        <v/>
      </c>
      <c r="AB82" s="117">
        <f>IF(
    AND($H82 &gt; $BA$7, Tabella01MarzoInverter[[#This Row],[Active power TX2-INV-1]] &lt;= 0, Tabella01MarzoInverter[[#This Row],[TX2 - Average Power]] &lt;= 0),
    MIN(($H82 / 1000) * AB$10 * $BA$4, AB$11 * 0.876) * 0.25,
    IF(
        AND($H82 &gt; $BA$7, Tabella01MarzoInverter[[#This Row],[Active power TX2-INV-1]] &lt;= 0),
        Tabella01MarzoInverter[[#This Row],[TX2 - Average Power]] * 0.25,
        0
    )
    +
    IF(
        $N82 &lt; 0.875,
        MAX(0, MIN(($H82 / 1000) * AB$10 * $BA$4, AB$11 * 0.876) - (AB$11 * $N82)) * 0.25,
        0
    )
)</f>
        <v/>
      </c>
      <c r="AC82" s="117">
        <f>IF(
    AND($H82 &gt; $BA$7, Tabella01MarzoInverter[[#This Row],[Active power TX2-INV-2]] &lt;= 0, Tabella01MarzoInverter[[#This Row],[TX2 - Max Power]] &lt;= 0),
    MIN(($H82 / 1000) * AC$10 * $BA$4, AC$11 * 0.876) * 0.25,
    IF(
        AND($H82 &gt; $BA$7, Tabella01MarzoInverter[[#This Row],[Active power TX2-INV-2]] &lt;= 0),
        Tabella01MarzoInverter[[#This Row],[TX2 - Max Power]] * 0.25,
        0
    )
    +
    IF(
        $N82 &lt; 0.875,
        MAX(0, MIN(($H82 / 1000) * AC$10 * $BA$4, AC$11 * 0.876) - (AC$11 * $N82)) * 0.25,
        0
    )
)</f>
        <v/>
      </c>
      <c r="AD82" s="117">
        <f>IF(
    AND($H82 &gt; $BA$7, Tabella01MarzoInverter[[#This Row],[Active power TX2-INV-3]] &lt;= 0, Tabella01MarzoInverter[[#This Row],[TX2 - Min Power]] &lt;= 0),
    MIN(($H82 / 1000) * AD$10 * $BA$4, AD$11 * 0.876) * 0.25,
    IF(
        AND($H82 &gt; $BA$7, Tabella01MarzoInverter[[#This Row],[Active power TX2-INV-3]] &lt;= 0),
        Tabella01MarzoInverter[[#This Row],[TX2 - Min Power]] * 0.25,
        0
    )
    +
    IF(
        $N82 &lt; 0.875,
        MAX(0, MIN(($H82 / 1000) * AD$10 * $BA$4, AD$11 * 0.876) - (AD$11 * $N82)) * 0.25,
        0
    )
)</f>
        <v/>
      </c>
      <c r="AE82" s="117">
        <f>IF(
    AND($H82 &gt; $BA$7, Tabella01MarzoInverter[[#This Row],[Active power TX2-INV-4]] &lt;= 0, Tabella01MarzoInverter[[#This Row],[Active power TX3-INV-1]] &lt;= 0),
    MIN(($H82 / 1000) * AE$10 * $BA$4, AE$11 * 0.876) * 0.25,
    IF(
        AND($H82 &gt; $BA$7, Tabella01MarzoInverter[[#This Row],[Active power TX2-INV-4]] &lt;= 0),
        Tabella01MarzoInverter[[#This Row],[Active power TX3-INV-1]] * 0.25,
        0
    )
    +
    IF(
        $N82 &lt; 0.875,
        MAX(0, MIN(($H82 / 1000) * AE$10 * $BA$4, AE$11 * 0.876) - (AE$11 * $N82)) * 0.25,
        0
    )
)</f>
        <v/>
      </c>
      <c r="AF82" s="117">
        <f>IF(
    AND($H82 &gt; $BA$7, Tabella01MarzoInverter[[#This Row],[Active power TX2-INV-5]] &lt;= 0, Tabella01MarzoInverter[[#This Row],[Active power TX3-INV-2]] &lt;= 0),
    MIN(($H82 / 1000) * AF$10 * $BA$4, AF$11 * 0.876) * 0.25,
    IF(
        AND($H82 &gt; $BA$7, Tabella01MarzoInverter[[#This Row],[Active power TX2-INV-5]] &lt;= 0),
        Tabella01MarzoInverter[[#This Row],[Active power TX3-INV-2]] * 0.25,
        0
    )
    +
    IF(
        $N82 &lt; 0.875,
        MAX(0, MIN(($H82 / 1000) * AF$10 * $BA$4, AF$11 * 0.876) - (AF$11 * $N82)) * 0.25,
        0
    )
)</f>
        <v/>
      </c>
      <c r="AG82" s="117">
        <f>IF(
    AND($H82 &gt; $BA$7, Tabella01MarzoInverter[[#This Row],[Active power TX2-INV-6]] &lt;= 0, Tabella01MarzoInverter[[#This Row],[Active power TX3-INV-3]] &lt;= 0),
    MIN(($H82 / 1000) * AG$10 * $BA$4, AG$11 * 0.876) * 0.25,
    IF(
        AND($H82 &gt; $BA$7, Tabella01MarzoInverter[[#This Row],[Active power TX2-INV-6]] &lt;= 0),
        Tabella01MarzoInverter[[#This Row],[Active power TX3-INV-3]] * 0.25,
        0
    )
    +
    IF(
        $N82 &lt; 0.875,
        MAX(0, MIN(($H82 / 1000) * AG$10 * $BA$4, AG$11 * 0.876) - (AG$11 * $N82)) * 0.25,
        0
    )
)</f>
        <v/>
      </c>
      <c r="AH82" s="117">
        <f>IF(
    AND($H82 &gt; $BA$7, Tabella01MarzoInverter[[#This Row],[Active power TX2-INV-7]] &lt;= 0, Tabella01MarzoInverter[[#This Row],[Active power TX3-INV-4]] &lt;= 0),
    MIN(($H82 / 1000) * AH$10 * $BA$4, AH$11 * 0.876) * 0.25,
    IF(
        AND($H82 &gt; $BA$7, Tabella01MarzoInverter[[#This Row],[Active power TX2-INV-7]] &lt;= 0),
        Tabella01MarzoInverter[[#This Row],[Active power TX3-INV-4]] * 0.25,
        0
    )
    +
    IF(
        $N82 &lt; 0.875,
        MAX(0, MIN(($H82 / 1000) * AH$10 * $BA$4, AH$11 * 0.876) - (AH$11 * $N82)) * 0.25,
        0
    )
)</f>
        <v/>
      </c>
      <c r="AI82" s="117">
        <f>IF(
    AND($H82 &gt; $BA$7, Tabella01MarzoInverter[[#This Row],[Active power TX2-INV-8]] &lt;= 0, Tabella01MarzoInverter[[#This Row],[Active power TX3-INV-5]] &lt;= 0),
    MIN(($H82 / 1000) * AI$10 * $BA$4, AI$11 * 0.876) * 0.25,
    IF(
        AND($H82 &gt; $BA$7, Tabella01MarzoInverter[[#This Row],[Active power TX2-INV-8]] &lt;= 0),
        Tabella01MarzoInverter[[#This Row],[Active power TX3-INV-5]] * 0.25,
        0
    )
    +
    IF(
        $N82 &lt; 0.875,
        MAX(0, MIN(($H82 / 1000) * AI$10 * $BA$4, AI$11 * 0.876) - (AI$11 * $N82)) * 0.25,
        0
    )
)</f>
        <v/>
      </c>
      <c r="AJ82" s="117">
        <f>IF(
    AND($H82 &gt; $BA$7, Tabella01MarzoInverter[[#This Row],[Active power TX2-INV-9]] &lt;= 0, Tabella01MarzoInverter[[#This Row],[Active power TX3-INV-6]] &lt;= 0),
    MIN(($H82 / 1000) * AJ$10 * $BA$4, AJ$11 * 0.876) * 0.25,
    IF(
        AND($H82 &gt; $BA$7, Tabella01MarzoInverter[[#This Row],[Active power TX2-INV-9]] &lt;= 0),
        Tabella01MarzoInverter[[#This Row],[Active power TX3-INV-6]] * 0.25,
        0
    )
    +
    IF(
        $N82 &lt; 0.875,
        MAX(0, MIN(($H82 / 1000) * AJ$10 * $BA$4, AJ$11 * 0.876) - (AJ$11 * $N82)) * 0.25,
        0
    )
)</f>
        <v/>
      </c>
      <c r="AK82" s="117">
        <f>IF(
    AND($H82 &gt; $BA$7, Tabella01MarzoInverter[[#This Row],[Active power TX2-INV-10]] &lt;= 0, Tabella01MarzoInverter[[#This Row],[Active power TX3-INV-7]] &lt;= 0),
    MIN(($H82 / 1000) * AK$10 * $BA$4, AK$11 * 0.876) * 0.25,
    IF(
        AND($H82 &gt; $BA$7, Tabella01MarzoInverter[[#This Row],[Active power TX2-INV-10]] &lt;= 0),
        Tabella01MarzoInverter[[#This Row],[Active power TX3-INV-7]] * 0.25,
        0
    )
    +
    IF(
        $N82 &lt; 0.875,
        MAX(0, MIN(($H82 / 1000) * AK$10 * $BA$4, AK$11 * 0.876) - (AK$11 * $N82)) * 0.25,
        0
    )
)</f>
        <v/>
      </c>
      <c r="AL82" s="117">
        <f>IF(
    AND($H82 &gt; $BA$7, Tabella01MarzoInverter[[#This Row],[Active power TX2-INV-11]] &lt;= 0, Tabella01MarzoInverter[[#This Row],[Active power TX3-INV-8]] &lt;= 0),
    MIN(($H82 / 1000) * AL$10 * $BA$4, AL$11 * 0.876) * 0.25,
    IF(
        AND($H82 &gt; $BA$7, Tabella01MarzoInverter[[#This Row],[Active power TX2-INV-11]] &lt;= 0),
        Tabella01MarzoInverter[[#This Row],[Active power TX3-INV-8]] * 0.25,
        0
    )
    +
    IF(
        $N82 &lt; 0.875,
        MAX(0, MIN(($H82 / 1000) * AL$10 * $BA$4, AL$11 * 0.876) - (AL$11 * $N82)) * 0.25,
        0
    )
)</f>
        <v/>
      </c>
      <c r="AM82" s="117">
        <f>IF(
    AND($H82 &gt; $BA$7, Tabella01MarzoInverter[[#This Row],[Active power TX2-INV-12]] &lt;= 0, Tabella01MarzoInverter[[#This Row],[Active power TX3-INV-9]] &lt;= 0),
    MIN(($H82 / 1000) * AM$10 * $BA$4, AM$11 * 0.876) * 0.25,
    IF(
        AND($H82 &gt; $BA$7, Tabella01MarzoInverter[[#This Row],[Active power TX2-INV-12]] &lt;= 0),
        Tabella01MarzoInverter[[#This Row],[Active power TX3-INV-9]] * 0.25,
        0
    )
    +
    IF(
        $N82 &lt; 0.875,
        MAX(0, MIN(($H82 / 1000) * AM$10 * $BA$4, AM$11 * 0.876) - (AM$11 * $N82)) * 0.25,
        0
    )
)</f>
        <v/>
      </c>
      <c r="AN82" s="118">
        <f>SUM(TabellaMar2026[[#This Row],[Colonna39]:[Colonna6]])</f>
        <v/>
      </c>
      <c r="AO82" s="117">
        <f t="array" ref="AO82">IF(
    AND($H82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($H82 / 1000) * AO$10 * $BA$4 * 0.25
    ),
    0
)
+
IF(
    $N82 &lt; 0.875,
    MAX(0, MIN(($H82 / 1000) * AO$10 * $BA$4, AO$11 * 0.876) - (AO$11 * $N82)) * 0.25,
    0
)</f>
        <v/>
      </c>
      <c r="AP82" s="117">
        <f t="array" ref="AP82">IF(
    AND($H82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($H82 / 1000) * AP$10 * $BA$4 * 0.25
    ),
    0
)
+
IF(
    $N82 &lt; 0.875,
    MAX(0, MIN(($H82 / 1000) * AP$10 * $BA$4, AP$11 * 0.876) - (AP$11 * $N82)) * 0.25,
    0
)</f>
        <v/>
      </c>
      <c r="AQ82" s="117">
        <f t="array" ref="AQ82">IF(
    AND($H82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($H82 / 1000) * AQ$10 * $BA$4 * 0.25
    ),
    0
)
+
IF(
    $N82 &lt; 0.875,
    MAX(0, MIN(($H82 / 1000) * AQ$10 * $BA$4, AQ$11 * 0.876) - (AQ$11 * $N82)) * 0.25,
    0
)</f>
        <v/>
      </c>
      <c r="AR82" s="117">
        <f t="array" ref="AR82">IF(
    AND($H82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($H82 / 1000) * AR$10 * $BA$4 * 0.25
    ),
    0
)
+
IF(
    $N82 &lt; 0.875,
    MAX(0, MIN(($H82 / 1000) * AR$10 * $BA$4, AR$11 * 0.876) - (AR$11 * $N82)) * 0.25,
    0
)</f>
        <v/>
      </c>
      <c r="AS82" s="117">
        <f t="array" ref="AS82">IF(
    AND($H82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($H82 / 1000) * AS$10 * $BA$4 * 0.25
    ),
    0
)
+
IF(
    $N82 &lt; 0.875,
    MAX(0, MIN(($H82 / 1000) * AS$10 * $BA$4, AS$11 * 0.876) - (AS$11 * $N82)) * 0.25,
    0
)</f>
        <v/>
      </c>
      <c r="AT82" s="117">
        <f t="array" ref="AT82">IF(
    AND($H82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($H82 / 1000) * AT$10 * $BA$4 * 0.25
    ),
    0
)
+
IF(
    $N82 &lt; 0.875,
    MAX(0, MIN(($H82 / 1000) * AT$10 * $BA$4, AT$11 * 0.876) - (AT$11 * $N82)) * 0.25,
    0
)</f>
        <v/>
      </c>
      <c r="AU82" s="117">
        <f t="array" ref="AU82">IF(
    AND($H82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($H82 / 1000) * AU$10 * $BA$4 * 0.25
    ),
    0
)
+
IF(
    $N82 &lt; 0.875,
    MAX(0, MIN(($H82 / 1000) * AU$10 * $BA$4, AU$11 * 0.876) - (AU$11 * $N82)) * 0.25,
    0
)</f>
        <v/>
      </c>
      <c r="AV82" s="117">
        <f t="array" ref="AV82">IF(
    AND($H82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($H82 / 1000) * AV$10 * $BA$4 * 0.25
    ),
    0
)
+
IF(
    $N82 &lt; 0.875,
    MAX(0, MIN(($H82 / 1000) * AV$10 * $BA$4, AV$11 * 0.876) - (AV$11 * $N82)) * 0.25,
    0
)</f>
        <v/>
      </c>
      <c r="AW82" s="117">
        <f t="array" ref="AW82">IF(
    AND($H82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($H82 / 1000) * AW$10 * $BA$4 * 0.25
    ),
    0
)
+
IF(
    $N82 &lt; 0.875,
    MAX(0, MIN(($H82 / 1000) * AW$10 * $BA$4, AW$11 * 0.876) - (AW$11 * $N82)) * 0.25,
    0
)</f>
        <v/>
      </c>
      <c r="AX82" s="117">
        <f t="array" ref="AX82">IF(
    AND($H82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($H82 / 1000) * AX$10 * $BA$4 * 0.25
    ),
    0
)
+
IF(
    $N82 &lt; 0.875,
    MAX(0, MIN(($H82 / 1000) * AX$10 * $BA$4, AX$11 * 0.876) - (AX$11 * $N82)) * 0.25,
    0
)</f>
        <v/>
      </c>
      <c r="AY82" s="117">
        <f t="array" ref="AY82">IF(
    AND($H82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($H82 / 1000) * AY$10 * $BA$4 * 0.25
    ),
    0
)
+
IF(
    $N82 &lt; 0.875,
    MAX(0, MIN(($H82 / 1000) * AY$10 * $BA$4, AY$11 * 0.876) - (AY$11 * $N82)) * 0.25,
    0
)</f>
        <v/>
      </c>
      <c r="AZ82" s="117">
        <f t="array" ref="AZ82">IF(
    AND($H82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($H82 / 1000) * AZ$10 * $BA$4 * 0.25
    ),
    0
)
+
IF(
    $N82 &lt; 0.875,
    MAX(0, MIN(($H82 / 1000) * AZ$10 * $BA$4, AZ$11 * 0.876) - (AZ$11 * $N82)) * 0.25,
    0
)</f>
        <v/>
      </c>
      <c r="BA82" s="119">
        <f>SUM(TabellaMar2026[[#This Row],[Colonna54]:[Colonna53]])</f>
        <v/>
      </c>
    </row>
    <row r="83">
      <c r="A83" s="112" t="n">
        <v>46143</v>
      </c>
      <c r="B83" t="inlineStr">
        <is>
          <t>17:00:00.000</t>
        </is>
      </c>
      <c r="C83" s="2" t="n">
        <v>992.6</v>
      </c>
      <c r="D83" s="113" t="n">
        <v>0.24815</v>
      </c>
      <c r="E83" s="113" t="n">
        <v>968.1</v>
      </c>
      <c r="F83" s="113" t="n">
        <v>0.242025</v>
      </c>
      <c r="G83" s="113">
        <f>IFERROR((D83+F83)/2, 0)</f>
        <v/>
      </c>
      <c r="H83" s="114">
        <f>IFERROR(IF(AVERAGE(C83,E83)&gt;$BA$7,AVERAGE(C83,E83),0), 0)</f>
        <v/>
      </c>
      <c r="I83" s="114">
        <f>IFERROR(IF(AND(D83=0,F83=0),0,IF(H83&gt;$BA$6,MAX(D83,F83),G83)), 0)</f>
        <v/>
      </c>
      <c r="J83" s="113">
        <f>IFERROR(IF(AND(D83&gt;0,F83&gt;0),ABS(D83-F83)/AVERAGE(D83,F83),0), 0)</f>
        <v/>
      </c>
      <c r="K83" s="113" t="n">
        <v>30131.6</v>
      </c>
      <c r="L83" s="113" t="n">
        <v>30131.6</v>
      </c>
      <c r="M83" s="115">
        <f>IFERROR((L83-K83)*1000, 0)</f>
        <v/>
      </c>
      <c r="N83" s="113" t="n">
        <v>0.0007000000000000001</v>
      </c>
      <c r="O83" s="115">
        <f t="array" ref="O83">IF(
    AND($H83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($H83 / 1000) * O$10 * $BA$4 * 0.25
    ),
    0
)
+
IF(
    $N83 &lt; 0.875,
    MAX(0, MIN(($H83 / 1000) * O$10 * $BA$4, O$11 * 0.876) - (O$11 * $N83)) * 0.25,
    0
)</f>
        <v/>
      </c>
      <c r="P83" s="115">
        <f t="array" ref="P83">IF(
    AND($H83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($H83 / 1000) * P$10 * $BA$4 * 0.25
    ),
    0
)
+
IF(
    $N83 &lt; 0.875,
    MAX(0, MIN(($H83 / 1000) * P$10 * $BA$4, P$11 * 0.876) - (P$11 * $N83)) * 0.25,
    0
)</f>
        <v/>
      </c>
      <c r="Q83" s="115">
        <f t="array" ref="Q83">IF(
    AND($H83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($H83 / 1000) * Q$10 * $BA$4 * 0.25
    ),
    0
)
+
IF(
    $N83 &lt; 0.875,
    MAX(0, MIN(($H83 / 1000) * Q$10 * $BA$4, Q$11 * 0.876) - (Q$11 * $N83)) * 0.25,
    0
)</f>
        <v/>
      </c>
      <c r="R83" s="115">
        <f t="array" ref="R83">IF(
    AND($H83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($H83 / 1000) * R$10 * $BA$4 * 0.25
    ),
    0
)
+
IF(
    $N83 &lt; 0.875,
    MAX(0, MIN(($H83 / 1000) * R$10 * $BA$4, R$11 * 0.876) - (R$11 * $N83)) * 0.25,
    0
)</f>
        <v/>
      </c>
      <c r="S83" s="115">
        <f t="array" ref="S83">IF(
    AND($H83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($H83 / 1000) * S$10 * $BA$4 * 0.25
    ),
    0
)
+
IF(
    $N83 &lt; 0.875,
    MAX(0, MIN(($H83 / 1000) * S$10 * $BA$4, S$11 * 0.876) - (S$11 * $N83)) * 0.25,
    0
)</f>
        <v/>
      </c>
      <c r="T83" s="115">
        <f t="array" ref="T83">IF(
    AND($H83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($H83 / 1000) * T$10 * $BA$4 * 0.25
    ),
    0
)
+
IF(
    $N83 &lt; 0.875,
    MAX(0, MIN(($H83 / 1000) * T$10 * $BA$4, T$11 * 0.876) - (T$11 * $N83)) * 0.25,
    0
)</f>
        <v/>
      </c>
      <c r="U83" s="115">
        <f t="array" ref="U83">IF(
    AND($H83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($H83 / 1000) * U$10 * $BA$4 * 0.25
    ),
    0
)
+
IF(
    $N83 &lt; 0.875,
    MAX(0, MIN(($H83 / 1000) * U$10 * $BA$4, U$11 * 0.876) - (U$11 * $N83)) * 0.25,
    0
)</f>
        <v/>
      </c>
      <c r="V83" s="115">
        <f t="array" ref="V83">IF(
    AND($H83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($H83 / 1000) * V$10 * $BA$4 * 0.25
    ),
    0
)
+
IF(
    $N83 &lt; 0.875,
    MAX(0, MIN(($H83 / 1000) * V$10 * $BA$4, V$11 * 0.876) - (V$11 * $N83)) * 0.25,
    0
)</f>
        <v/>
      </c>
      <c r="W83" s="115">
        <f t="array" ref="W83">IF(
    AND($H83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($H83 / 1000) * W$10 * $BA$4 * 0.25
    ),
    0
)
+
IF(
    $N83 &lt; 0.875,
    MAX(0, MIN(($H83 / 1000) * W$10 * $BA$4, W$11 * 0.876) - (W$11 * $N83)) * 0.25,
    0
)</f>
        <v/>
      </c>
      <c r="X83" s="115">
        <f t="array" ref="X83">IF(
    AND($H83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($H83 / 1000) * X$10 * $BA$4 * 0.25
    ),
    0
)
+
IF(
    $N83 &lt; 0.875,
    MAX(0, MIN(($H83 / 1000) * X$10 * $BA$4, X$11 * 0.876) - (X$11 * $N83)) * 0.25,
    0
)</f>
        <v/>
      </c>
      <c r="Y83" s="115">
        <f t="array" ref="Y83">IF(
    AND($H83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($H83 / 1000) * Y$10 * $BA$4 * 0.25
    ),
    0
)
+
IF(
    $N83 &lt; 0.875,
    MAX(0, MIN(($H83 / 1000) * Y$10 * $BA$4, Y$11 * 0.876) - (Y$11 * $N83)) * 0.25,
    0
)</f>
        <v/>
      </c>
      <c r="Z83" s="115">
        <f t="array" ref="Z83">IF(
    AND($H83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($H83 / 1000) * Z$10 * $BA$4 * 0.25
    ),
    0
)
+
IF(
    $N83 &lt; 0.875,
    MAX(0, MIN(($H83 / 1000) * Z$10 * $BA$4, Z$11 * 0.876) - (Z$11 * $N83)) * 0.25,
    0
)</f>
        <v/>
      </c>
      <c r="AA83" s="116">
        <f>SUM(TabellaMar2026[[#This Row],[Colonna24]:[Colonna20]])</f>
        <v/>
      </c>
      <c r="AB83" s="117">
        <f>IF(
    AND($H83 &gt; $BA$7, Tabella01MarzoInverter[[#This Row],[Active power TX2-INV-1]] &lt;= 0, Tabella01MarzoInverter[[#This Row],[TX2 - Average Power]] &lt;= 0),
    MIN(($H83 / 1000) * AB$10 * $BA$4, AB$11 * 0.876) * 0.25,
    IF(
        AND($H83 &gt; $BA$7, Tabella01MarzoInverter[[#This Row],[Active power TX2-INV-1]] &lt;= 0),
        Tabella01MarzoInverter[[#This Row],[TX2 - Average Power]] * 0.25,
        0
    )
    +
    IF(
        $N83 &lt; 0.875,
        MAX(0, MIN(($H83 / 1000) * AB$10 * $BA$4, AB$11 * 0.876) - (AB$11 * $N83)) * 0.25,
        0
    )
)</f>
        <v/>
      </c>
      <c r="AC83" s="117">
        <f>IF(
    AND($H83 &gt; $BA$7, Tabella01MarzoInverter[[#This Row],[Active power TX2-INV-2]] &lt;= 0, Tabella01MarzoInverter[[#This Row],[TX2 - Max Power]] &lt;= 0),
    MIN(($H83 / 1000) * AC$10 * $BA$4, AC$11 * 0.876) * 0.25,
    IF(
        AND($H83 &gt; $BA$7, Tabella01MarzoInverter[[#This Row],[Active power TX2-INV-2]] &lt;= 0),
        Tabella01MarzoInverter[[#This Row],[TX2 - Max Power]] * 0.25,
        0
    )
    +
    IF(
        $N83 &lt; 0.875,
        MAX(0, MIN(($H83 / 1000) * AC$10 * $BA$4, AC$11 * 0.876) - (AC$11 * $N83)) * 0.25,
        0
    )
)</f>
        <v/>
      </c>
      <c r="AD83" s="117">
        <f>IF(
    AND($H83 &gt; $BA$7, Tabella01MarzoInverter[[#This Row],[Active power TX2-INV-3]] &lt;= 0, Tabella01MarzoInverter[[#This Row],[TX2 - Min Power]] &lt;= 0),
    MIN(($H83 / 1000) * AD$10 * $BA$4, AD$11 * 0.876) * 0.25,
    IF(
        AND($H83 &gt; $BA$7, Tabella01MarzoInverter[[#This Row],[Active power TX2-INV-3]] &lt;= 0),
        Tabella01MarzoInverter[[#This Row],[TX2 - Min Power]] * 0.25,
        0
    )
    +
    IF(
        $N83 &lt; 0.875,
        MAX(0, MIN(($H83 / 1000) * AD$10 * $BA$4, AD$11 * 0.876) - (AD$11 * $N83)) * 0.25,
        0
    )
)</f>
        <v/>
      </c>
      <c r="AE83" s="117">
        <f>IF(
    AND($H83 &gt; $BA$7, Tabella01MarzoInverter[[#This Row],[Active power TX2-INV-4]] &lt;= 0, Tabella01MarzoInverter[[#This Row],[Active power TX3-INV-1]] &lt;= 0),
    MIN(($H83 / 1000) * AE$10 * $BA$4, AE$11 * 0.876) * 0.25,
    IF(
        AND($H83 &gt; $BA$7, Tabella01MarzoInverter[[#This Row],[Active power TX2-INV-4]] &lt;= 0),
        Tabella01MarzoInverter[[#This Row],[Active power TX3-INV-1]] * 0.25,
        0
    )
    +
    IF(
        $N83 &lt; 0.875,
        MAX(0, MIN(($H83 / 1000) * AE$10 * $BA$4, AE$11 * 0.876) - (AE$11 * $N83)) * 0.25,
        0
    )
)</f>
        <v/>
      </c>
      <c r="AF83" s="117">
        <f>IF(
    AND($H83 &gt; $BA$7, Tabella01MarzoInverter[[#This Row],[Active power TX2-INV-5]] &lt;= 0, Tabella01MarzoInverter[[#This Row],[Active power TX3-INV-2]] &lt;= 0),
    MIN(($H83 / 1000) * AF$10 * $BA$4, AF$11 * 0.876) * 0.25,
    IF(
        AND($H83 &gt; $BA$7, Tabella01MarzoInverter[[#This Row],[Active power TX2-INV-5]] &lt;= 0),
        Tabella01MarzoInverter[[#This Row],[Active power TX3-INV-2]] * 0.25,
        0
    )
    +
    IF(
        $N83 &lt; 0.875,
        MAX(0, MIN(($H83 / 1000) * AF$10 * $BA$4, AF$11 * 0.876) - (AF$11 * $N83)) * 0.25,
        0
    )
)</f>
        <v/>
      </c>
      <c r="AG83" s="117">
        <f>IF(
    AND($H83 &gt; $BA$7, Tabella01MarzoInverter[[#This Row],[Active power TX2-INV-6]] &lt;= 0, Tabella01MarzoInverter[[#This Row],[Active power TX3-INV-3]] &lt;= 0),
    MIN(($H83 / 1000) * AG$10 * $BA$4, AG$11 * 0.876) * 0.25,
    IF(
        AND($H83 &gt; $BA$7, Tabella01MarzoInverter[[#This Row],[Active power TX2-INV-6]] &lt;= 0),
        Tabella01MarzoInverter[[#This Row],[Active power TX3-INV-3]] * 0.25,
        0
    )
    +
    IF(
        $N83 &lt; 0.875,
        MAX(0, MIN(($H83 / 1000) * AG$10 * $BA$4, AG$11 * 0.876) - (AG$11 * $N83)) * 0.25,
        0
    )
)</f>
        <v/>
      </c>
      <c r="AH83" s="117">
        <f>IF(
    AND($H83 &gt; $BA$7, Tabella01MarzoInverter[[#This Row],[Active power TX2-INV-7]] &lt;= 0, Tabella01MarzoInverter[[#This Row],[Active power TX3-INV-4]] &lt;= 0),
    MIN(($H83 / 1000) * AH$10 * $BA$4, AH$11 * 0.876) * 0.25,
    IF(
        AND($H83 &gt; $BA$7, Tabella01MarzoInverter[[#This Row],[Active power TX2-INV-7]] &lt;= 0),
        Tabella01MarzoInverter[[#This Row],[Active power TX3-INV-4]] * 0.25,
        0
    )
    +
    IF(
        $N83 &lt; 0.875,
        MAX(0, MIN(($H83 / 1000) * AH$10 * $BA$4, AH$11 * 0.876) - (AH$11 * $N83)) * 0.25,
        0
    )
)</f>
        <v/>
      </c>
      <c r="AI83" s="117">
        <f>IF(
    AND($H83 &gt; $BA$7, Tabella01MarzoInverter[[#This Row],[Active power TX2-INV-8]] &lt;= 0, Tabella01MarzoInverter[[#This Row],[Active power TX3-INV-5]] &lt;= 0),
    MIN(($H83 / 1000) * AI$10 * $BA$4, AI$11 * 0.876) * 0.25,
    IF(
        AND($H83 &gt; $BA$7, Tabella01MarzoInverter[[#This Row],[Active power TX2-INV-8]] &lt;= 0),
        Tabella01MarzoInverter[[#This Row],[Active power TX3-INV-5]] * 0.25,
        0
    )
    +
    IF(
        $N83 &lt; 0.875,
        MAX(0, MIN(($H83 / 1000) * AI$10 * $BA$4, AI$11 * 0.876) - (AI$11 * $N83)) * 0.25,
        0
    )
)</f>
        <v/>
      </c>
      <c r="AJ83" s="117">
        <f>IF(
    AND($H83 &gt; $BA$7, Tabella01MarzoInverter[[#This Row],[Active power TX2-INV-9]] &lt;= 0, Tabella01MarzoInverter[[#This Row],[Active power TX3-INV-6]] &lt;= 0),
    MIN(($H83 / 1000) * AJ$10 * $BA$4, AJ$11 * 0.876) * 0.25,
    IF(
        AND($H83 &gt; $BA$7, Tabella01MarzoInverter[[#This Row],[Active power TX2-INV-9]] &lt;= 0),
        Tabella01MarzoInverter[[#This Row],[Active power TX3-INV-6]] * 0.25,
        0
    )
    +
    IF(
        $N83 &lt; 0.875,
        MAX(0, MIN(($H83 / 1000) * AJ$10 * $BA$4, AJ$11 * 0.876) - (AJ$11 * $N83)) * 0.25,
        0
    )
)</f>
        <v/>
      </c>
      <c r="AK83" s="117">
        <f>IF(
    AND($H83 &gt; $BA$7, Tabella01MarzoInverter[[#This Row],[Active power TX2-INV-10]] &lt;= 0, Tabella01MarzoInverter[[#This Row],[Active power TX3-INV-7]] &lt;= 0),
    MIN(($H83 / 1000) * AK$10 * $BA$4, AK$11 * 0.876) * 0.25,
    IF(
        AND($H83 &gt; $BA$7, Tabella01MarzoInverter[[#This Row],[Active power TX2-INV-10]] &lt;= 0),
        Tabella01MarzoInverter[[#This Row],[Active power TX3-INV-7]] * 0.25,
        0
    )
    +
    IF(
        $N83 &lt; 0.875,
        MAX(0, MIN(($H83 / 1000) * AK$10 * $BA$4, AK$11 * 0.876) - (AK$11 * $N83)) * 0.25,
        0
    )
)</f>
        <v/>
      </c>
      <c r="AL83" s="117">
        <f>IF(
    AND($H83 &gt; $BA$7, Tabella01MarzoInverter[[#This Row],[Active power TX2-INV-11]] &lt;= 0, Tabella01MarzoInverter[[#This Row],[Active power TX3-INV-8]] &lt;= 0),
    MIN(($H83 / 1000) * AL$10 * $BA$4, AL$11 * 0.876) * 0.25,
    IF(
        AND($H83 &gt; $BA$7, Tabella01MarzoInverter[[#This Row],[Active power TX2-INV-11]] &lt;= 0),
        Tabella01MarzoInverter[[#This Row],[Active power TX3-INV-8]] * 0.25,
        0
    )
    +
    IF(
        $N83 &lt; 0.875,
        MAX(0, MIN(($H83 / 1000) * AL$10 * $BA$4, AL$11 * 0.876) - (AL$11 * $N83)) * 0.25,
        0
    )
)</f>
        <v/>
      </c>
      <c r="AM83" s="117">
        <f>IF(
    AND($H83 &gt; $BA$7, Tabella01MarzoInverter[[#This Row],[Active power TX2-INV-12]] &lt;= 0, Tabella01MarzoInverter[[#This Row],[Active power TX3-INV-9]] &lt;= 0),
    MIN(($H83 / 1000) * AM$10 * $BA$4, AM$11 * 0.876) * 0.25,
    IF(
        AND($H83 &gt; $BA$7, Tabella01MarzoInverter[[#This Row],[Active power TX2-INV-12]] &lt;= 0),
        Tabella01MarzoInverter[[#This Row],[Active power TX3-INV-9]] * 0.25,
        0
    )
    +
    IF(
        $N83 &lt; 0.875,
        MAX(0, MIN(($H83 / 1000) * AM$10 * $BA$4, AM$11 * 0.876) - (AM$11 * $N83)) * 0.25,
        0
    )
)</f>
        <v/>
      </c>
      <c r="AN83" s="118">
        <f>SUM(TabellaMar2026[[#This Row],[Colonna39]:[Colonna6]])</f>
        <v/>
      </c>
      <c r="AO83" s="117">
        <f t="array" ref="AO83">IF(
    AND($H83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($H83 / 1000) * AO$10 * $BA$4 * 0.25
    ),
    0
)
+
IF(
    $N83 &lt; 0.875,
    MAX(0, MIN(($H83 / 1000) * AO$10 * $BA$4, AO$11 * 0.876) - (AO$11 * $N83)) * 0.25,
    0
)</f>
        <v/>
      </c>
      <c r="AP83" s="117">
        <f t="array" ref="AP83">IF(
    AND($H83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($H83 / 1000) * AP$10 * $BA$4 * 0.25
    ),
    0
)
+
IF(
    $N83 &lt; 0.875,
    MAX(0, MIN(($H83 / 1000) * AP$10 * $BA$4, AP$11 * 0.876) - (AP$11 * $N83)) * 0.25,
    0
)</f>
        <v/>
      </c>
      <c r="AQ83" s="117">
        <f t="array" ref="AQ83">IF(
    AND($H83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($H83 / 1000) * AQ$10 * $BA$4 * 0.25
    ),
    0
)
+
IF(
    $N83 &lt; 0.875,
    MAX(0, MIN(($H83 / 1000) * AQ$10 * $BA$4, AQ$11 * 0.876) - (AQ$11 * $N83)) * 0.25,
    0
)</f>
        <v/>
      </c>
      <c r="AR83" s="117">
        <f t="array" ref="AR83">IF(
    AND($H83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($H83 / 1000) * AR$10 * $BA$4 * 0.25
    ),
    0
)
+
IF(
    $N83 &lt; 0.875,
    MAX(0, MIN(($H83 / 1000) * AR$10 * $BA$4, AR$11 * 0.876) - (AR$11 * $N83)) * 0.25,
    0
)</f>
        <v/>
      </c>
      <c r="AS83" s="117">
        <f t="array" ref="AS83">IF(
    AND($H83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($H83 / 1000) * AS$10 * $BA$4 * 0.25
    ),
    0
)
+
IF(
    $N83 &lt; 0.875,
    MAX(0, MIN(($H83 / 1000) * AS$10 * $BA$4, AS$11 * 0.876) - (AS$11 * $N83)) * 0.25,
    0
)</f>
        <v/>
      </c>
      <c r="AT83" s="117">
        <f t="array" ref="AT83">IF(
    AND($H83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($H83 / 1000) * AT$10 * $BA$4 * 0.25
    ),
    0
)
+
IF(
    $N83 &lt; 0.875,
    MAX(0, MIN(($H83 / 1000) * AT$10 * $BA$4, AT$11 * 0.876) - (AT$11 * $N83)) * 0.25,
    0
)</f>
        <v/>
      </c>
      <c r="AU83" s="117">
        <f t="array" ref="AU83">IF(
    AND($H83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($H83 / 1000) * AU$10 * $BA$4 * 0.25
    ),
    0
)
+
IF(
    $N83 &lt; 0.875,
    MAX(0, MIN(($H83 / 1000) * AU$10 * $BA$4, AU$11 * 0.876) - (AU$11 * $N83)) * 0.25,
    0
)</f>
        <v/>
      </c>
      <c r="AV83" s="117">
        <f t="array" ref="AV83">IF(
    AND($H83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($H83 / 1000) * AV$10 * $BA$4 * 0.25
    ),
    0
)
+
IF(
    $N83 &lt; 0.875,
    MAX(0, MIN(($H83 / 1000) * AV$10 * $BA$4, AV$11 * 0.876) - (AV$11 * $N83)) * 0.25,
    0
)</f>
        <v/>
      </c>
      <c r="AW83" s="117">
        <f t="array" ref="AW83">IF(
    AND($H83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($H83 / 1000) * AW$10 * $BA$4 * 0.25
    ),
    0
)
+
IF(
    $N83 &lt; 0.875,
    MAX(0, MIN(($H83 / 1000) * AW$10 * $BA$4, AW$11 * 0.876) - (AW$11 * $N83)) * 0.25,
    0
)</f>
        <v/>
      </c>
      <c r="AX83" s="117">
        <f t="array" ref="AX83">IF(
    AND($H83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($H83 / 1000) * AX$10 * $BA$4 * 0.25
    ),
    0
)
+
IF(
    $N83 &lt; 0.875,
    MAX(0, MIN(($H83 / 1000) * AX$10 * $BA$4, AX$11 * 0.876) - (AX$11 * $N83)) * 0.25,
    0
)</f>
        <v/>
      </c>
      <c r="AY83" s="117">
        <f t="array" ref="AY83">IF(
    AND($H83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($H83 / 1000) * AY$10 * $BA$4 * 0.25
    ),
    0
)
+
IF(
    $N83 &lt; 0.875,
    MAX(0, MIN(($H83 / 1000) * AY$10 * $BA$4, AY$11 * 0.876) - (AY$11 * $N83)) * 0.25,
    0
)</f>
        <v/>
      </c>
      <c r="AZ83" s="117">
        <f t="array" ref="AZ83">IF(
    AND($H83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($H83 / 1000) * AZ$10 * $BA$4 * 0.25
    ),
    0
)
+
IF(
    $N83 &lt; 0.875,
    MAX(0, MIN(($H83 / 1000) * AZ$10 * $BA$4, AZ$11 * 0.876) - (AZ$11 * $N83)) * 0.25,
    0
)</f>
        <v/>
      </c>
      <c r="BA83" s="119">
        <f>SUM(TabellaMar2026[[#This Row],[Colonna54]:[Colonna53]])</f>
        <v/>
      </c>
    </row>
    <row r="84">
      <c r="A84" s="112" t="n">
        <v>46143</v>
      </c>
      <c r="B84" t="inlineStr">
        <is>
          <t>17:15:00.000</t>
        </is>
      </c>
      <c r="C84" s="2" t="n">
        <v>928.7</v>
      </c>
      <c r="D84" s="113" t="n">
        <v>0.232175</v>
      </c>
      <c r="E84" s="113" t="n">
        <v>944.3</v>
      </c>
      <c r="F84" s="113" t="n">
        <v>0.236075</v>
      </c>
      <c r="G84" s="113">
        <f>IFERROR((D84+F84)/2, 0)</f>
        <v/>
      </c>
      <c r="H84" s="114">
        <f>IFERROR(IF(AVERAGE(C84,E84)&gt;$BA$7,AVERAGE(C84,E84),0), 0)</f>
        <v/>
      </c>
      <c r="I84" s="114">
        <f>IFERROR(IF(AND(D84=0,F84=0),0,IF(H84&gt;$BA$6,MAX(D84,F84),G84)), 0)</f>
        <v/>
      </c>
      <c r="J84" s="113">
        <f>IFERROR(IF(AND(D84&gt;0,F84&gt;0),ABS(D84-F84)/AVERAGE(D84,F84),0), 0)</f>
        <v/>
      </c>
      <c r="K84" s="113" t="n">
        <v>30131.6</v>
      </c>
      <c r="L84" s="113" t="n">
        <v>30131.6</v>
      </c>
      <c r="M84" s="115">
        <f>IFERROR((L84-K84)*1000, 0)</f>
        <v/>
      </c>
      <c r="N84" s="113" t="n">
        <v>0.0007000000000000001</v>
      </c>
      <c r="O84" s="115">
        <f t="array" ref="O84">IF(
    AND($H84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($H84 / 1000) * O$10 * $BA$4 * 0.25
    ),
    0
)
+
IF(
    $N84 &lt; 0.875,
    MAX(0, MIN(($H84 / 1000) * O$10 * $BA$4, O$11 * 0.876) - (O$11 * $N84)) * 0.25,
    0
)</f>
        <v/>
      </c>
      <c r="P84" s="115">
        <f t="array" ref="P84">IF(
    AND($H84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($H84 / 1000) * P$10 * $BA$4 * 0.25
    ),
    0
)
+
IF(
    $N84 &lt; 0.875,
    MAX(0, MIN(($H84 / 1000) * P$10 * $BA$4, P$11 * 0.876) - (P$11 * $N84)) * 0.25,
    0
)</f>
        <v/>
      </c>
      <c r="Q84" s="115">
        <f t="array" ref="Q84">IF(
    AND($H84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($H84 / 1000) * Q$10 * $BA$4 * 0.25
    ),
    0
)
+
IF(
    $N84 &lt; 0.875,
    MAX(0, MIN(($H84 / 1000) * Q$10 * $BA$4, Q$11 * 0.876) - (Q$11 * $N84)) * 0.25,
    0
)</f>
        <v/>
      </c>
      <c r="R84" s="115">
        <f t="array" ref="R84">IF(
    AND($H84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($H84 / 1000) * R$10 * $BA$4 * 0.25
    ),
    0
)
+
IF(
    $N84 &lt; 0.875,
    MAX(0, MIN(($H84 / 1000) * R$10 * $BA$4, R$11 * 0.876) - (R$11 * $N84)) * 0.25,
    0
)</f>
        <v/>
      </c>
      <c r="S84" s="115">
        <f t="array" ref="S84">IF(
    AND($H84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($H84 / 1000) * S$10 * $BA$4 * 0.25
    ),
    0
)
+
IF(
    $N84 &lt; 0.875,
    MAX(0, MIN(($H84 / 1000) * S$10 * $BA$4, S$11 * 0.876) - (S$11 * $N84)) * 0.25,
    0
)</f>
        <v/>
      </c>
      <c r="T84" s="115">
        <f t="array" ref="T84">IF(
    AND($H84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($H84 / 1000) * T$10 * $BA$4 * 0.25
    ),
    0
)
+
IF(
    $N84 &lt; 0.875,
    MAX(0, MIN(($H84 / 1000) * T$10 * $BA$4, T$11 * 0.876) - (T$11 * $N84)) * 0.25,
    0
)</f>
        <v/>
      </c>
      <c r="U84" s="115">
        <f t="array" ref="U84">IF(
    AND($H84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($H84 / 1000) * U$10 * $BA$4 * 0.25
    ),
    0
)
+
IF(
    $N84 &lt; 0.875,
    MAX(0, MIN(($H84 / 1000) * U$10 * $BA$4, U$11 * 0.876) - (U$11 * $N84)) * 0.25,
    0
)</f>
        <v/>
      </c>
      <c r="V84" s="115">
        <f t="array" ref="V84">IF(
    AND($H84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($H84 / 1000) * V$10 * $BA$4 * 0.25
    ),
    0
)
+
IF(
    $N84 &lt; 0.875,
    MAX(0, MIN(($H84 / 1000) * V$10 * $BA$4, V$11 * 0.876) - (V$11 * $N84)) * 0.25,
    0
)</f>
        <v/>
      </c>
      <c r="W84" s="115">
        <f t="array" ref="W84">IF(
    AND($H84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($H84 / 1000) * W$10 * $BA$4 * 0.25
    ),
    0
)
+
IF(
    $N84 &lt; 0.875,
    MAX(0, MIN(($H84 / 1000) * W$10 * $BA$4, W$11 * 0.876) - (W$11 * $N84)) * 0.25,
    0
)</f>
        <v/>
      </c>
      <c r="X84" s="115">
        <f t="array" ref="X84">IF(
    AND($H84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($H84 / 1000) * X$10 * $BA$4 * 0.25
    ),
    0
)
+
IF(
    $N84 &lt; 0.875,
    MAX(0, MIN(($H84 / 1000) * X$10 * $BA$4, X$11 * 0.876) - (X$11 * $N84)) * 0.25,
    0
)</f>
        <v/>
      </c>
      <c r="Y84" s="115">
        <f t="array" ref="Y84">IF(
    AND($H84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($H84 / 1000) * Y$10 * $BA$4 * 0.25
    ),
    0
)
+
IF(
    $N84 &lt; 0.875,
    MAX(0, MIN(($H84 / 1000) * Y$10 * $BA$4, Y$11 * 0.876) - (Y$11 * $N84)) * 0.25,
    0
)</f>
        <v/>
      </c>
      <c r="Z84" s="115">
        <f t="array" ref="Z84">IF(
    AND($H84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($H84 / 1000) * Z$10 * $BA$4 * 0.25
    ),
    0
)
+
IF(
    $N84 &lt; 0.875,
    MAX(0, MIN(($H84 / 1000) * Z$10 * $BA$4, Z$11 * 0.876) - (Z$11 * $N84)) * 0.25,
    0
)</f>
        <v/>
      </c>
      <c r="AA84" s="116">
        <f>SUM(TabellaMar2026[[#This Row],[Colonna24]:[Colonna20]])</f>
        <v/>
      </c>
      <c r="AB84" s="117">
        <f>IF(
    AND($H84 &gt; $BA$7, Tabella01MarzoInverter[[#This Row],[Active power TX2-INV-1]] &lt;= 0, Tabella01MarzoInverter[[#This Row],[TX2 - Average Power]] &lt;= 0),
    MIN(($H84 / 1000) * AB$10 * $BA$4, AB$11 * 0.876) * 0.25,
    IF(
        AND($H84 &gt; $BA$7, Tabella01MarzoInverter[[#This Row],[Active power TX2-INV-1]] &lt;= 0),
        Tabella01MarzoInverter[[#This Row],[TX2 - Average Power]] * 0.25,
        0
    )
    +
    IF(
        $N84 &lt; 0.875,
        MAX(0, MIN(($H84 / 1000) * AB$10 * $BA$4, AB$11 * 0.876) - (AB$11 * $N84)) * 0.25,
        0
    )
)</f>
        <v/>
      </c>
      <c r="AC84" s="117">
        <f>IF(
    AND($H84 &gt; $BA$7, Tabella01MarzoInverter[[#This Row],[Active power TX2-INV-2]] &lt;= 0, Tabella01MarzoInverter[[#This Row],[TX2 - Max Power]] &lt;= 0),
    MIN(($H84 / 1000) * AC$10 * $BA$4, AC$11 * 0.876) * 0.25,
    IF(
        AND($H84 &gt; $BA$7, Tabella01MarzoInverter[[#This Row],[Active power TX2-INV-2]] &lt;= 0),
        Tabella01MarzoInverter[[#This Row],[TX2 - Max Power]] * 0.25,
        0
    )
    +
    IF(
        $N84 &lt; 0.875,
        MAX(0, MIN(($H84 / 1000) * AC$10 * $BA$4, AC$11 * 0.876) - (AC$11 * $N84)) * 0.25,
        0
    )
)</f>
        <v/>
      </c>
      <c r="AD84" s="117">
        <f>IF(
    AND($H84 &gt; $BA$7, Tabella01MarzoInverter[[#This Row],[Active power TX2-INV-3]] &lt;= 0, Tabella01MarzoInverter[[#This Row],[TX2 - Min Power]] &lt;= 0),
    MIN(($H84 / 1000) * AD$10 * $BA$4, AD$11 * 0.876) * 0.25,
    IF(
        AND($H84 &gt; $BA$7, Tabella01MarzoInverter[[#This Row],[Active power TX2-INV-3]] &lt;= 0),
        Tabella01MarzoInverter[[#This Row],[TX2 - Min Power]] * 0.25,
        0
    )
    +
    IF(
        $N84 &lt; 0.875,
        MAX(0, MIN(($H84 / 1000) * AD$10 * $BA$4, AD$11 * 0.876) - (AD$11 * $N84)) * 0.25,
        0
    )
)</f>
        <v/>
      </c>
      <c r="AE84" s="117">
        <f>IF(
    AND($H84 &gt; $BA$7, Tabella01MarzoInverter[[#This Row],[Active power TX2-INV-4]] &lt;= 0, Tabella01MarzoInverter[[#This Row],[Active power TX3-INV-1]] &lt;= 0),
    MIN(($H84 / 1000) * AE$10 * $BA$4, AE$11 * 0.876) * 0.25,
    IF(
        AND($H84 &gt; $BA$7, Tabella01MarzoInverter[[#This Row],[Active power TX2-INV-4]] &lt;= 0),
        Tabella01MarzoInverter[[#This Row],[Active power TX3-INV-1]] * 0.25,
        0
    )
    +
    IF(
        $N84 &lt; 0.875,
        MAX(0, MIN(($H84 / 1000) * AE$10 * $BA$4, AE$11 * 0.876) - (AE$11 * $N84)) * 0.25,
        0
    )
)</f>
        <v/>
      </c>
      <c r="AF84" s="117">
        <f>IF(
    AND($H84 &gt; $BA$7, Tabella01MarzoInverter[[#This Row],[Active power TX2-INV-5]] &lt;= 0, Tabella01MarzoInverter[[#This Row],[Active power TX3-INV-2]] &lt;= 0),
    MIN(($H84 / 1000) * AF$10 * $BA$4, AF$11 * 0.876) * 0.25,
    IF(
        AND($H84 &gt; $BA$7, Tabella01MarzoInverter[[#This Row],[Active power TX2-INV-5]] &lt;= 0),
        Tabella01MarzoInverter[[#This Row],[Active power TX3-INV-2]] * 0.25,
        0
    )
    +
    IF(
        $N84 &lt; 0.875,
        MAX(0, MIN(($H84 / 1000) * AF$10 * $BA$4, AF$11 * 0.876) - (AF$11 * $N84)) * 0.25,
        0
    )
)</f>
        <v/>
      </c>
      <c r="AG84" s="117">
        <f>IF(
    AND($H84 &gt; $BA$7, Tabella01MarzoInverter[[#This Row],[Active power TX2-INV-6]] &lt;= 0, Tabella01MarzoInverter[[#This Row],[Active power TX3-INV-3]] &lt;= 0),
    MIN(($H84 / 1000) * AG$10 * $BA$4, AG$11 * 0.876) * 0.25,
    IF(
        AND($H84 &gt; $BA$7, Tabella01MarzoInverter[[#This Row],[Active power TX2-INV-6]] &lt;= 0),
        Tabella01MarzoInverter[[#This Row],[Active power TX3-INV-3]] * 0.25,
        0
    )
    +
    IF(
        $N84 &lt; 0.875,
        MAX(0, MIN(($H84 / 1000) * AG$10 * $BA$4, AG$11 * 0.876) - (AG$11 * $N84)) * 0.25,
        0
    )
)</f>
        <v/>
      </c>
      <c r="AH84" s="117">
        <f>IF(
    AND($H84 &gt; $BA$7, Tabella01MarzoInverter[[#This Row],[Active power TX2-INV-7]] &lt;= 0, Tabella01MarzoInverter[[#This Row],[Active power TX3-INV-4]] &lt;= 0),
    MIN(($H84 / 1000) * AH$10 * $BA$4, AH$11 * 0.876) * 0.25,
    IF(
        AND($H84 &gt; $BA$7, Tabella01MarzoInverter[[#This Row],[Active power TX2-INV-7]] &lt;= 0),
        Tabella01MarzoInverter[[#This Row],[Active power TX3-INV-4]] * 0.25,
        0
    )
    +
    IF(
        $N84 &lt; 0.875,
        MAX(0, MIN(($H84 / 1000) * AH$10 * $BA$4, AH$11 * 0.876) - (AH$11 * $N84)) * 0.25,
        0
    )
)</f>
        <v/>
      </c>
      <c r="AI84" s="117">
        <f>IF(
    AND($H84 &gt; $BA$7, Tabella01MarzoInverter[[#This Row],[Active power TX2-INV-8]] &lt;= 0, Tabella01MarzoInverter[[#This Row],[Active power TX3-INV-5]] &lt;= 0),
    MIN(($H84 / 1000) * AI$10 * $BA$4, AI$11 * 0.876) * 0.25,
    IF(
        AND($H84 &gt; $BA$7, Tabella01MarzoInverter[[#This Row],[Active power TX2-INV-8]] &lt;= 0),
        Tabella01MarzoInverter[[#This Row],[Active power TX3-INV-5]] * 0.25,
        0
    )
    +
    IF(
        $N84 &lt; 0.875,
        MAX(0, MIN(($H84 / 1000) * AI$10 * $BA$4, AI$11 * 0.876) - (AI$11 * $N84)) * 0.25,
        0
    )
)</f>
        <v/>
      </c>
      <c r="AJ84" s="117">
        <f>IF(
    AND($H84 &gt; $BA$7, Tabella01MarzoInverter[[#This Row],[Active power TX2-INV-9]] &lt;= 0, Tabella01MarzoInverter[[#This Row],[Active power TX3-INV-6]] &lt;= 0),
    MIN(($H84 / 1000) * AJ$10 * $BA$4, AJ$11 * 0.876) * 0.25,
    IF(
        AND($H84 &gt; $BA$7, Tabella01MarzoInverter[[#This Row],[Active power TX2-INV-9]] &lt;= 0),
        Tabella01MarzoInverter[[#This Row],[Active power TX3-INV-6]] * 0.25,
        0
    )
    +
    IF(
        $N84 &lt; 0.875,
        MAX(0, MIN(($H84 / 1000) * AJ$10 * $BA$4, AJ$11 * 0.876) - (AJ$11 * $N84)) * 0.25,
        0
    )
)</f>
        <v/>
      </c>
      <c r="AK84" s="117">
        <f>IF(
    AND($H84 &gt; $BA$7, Tabella01MarzoInverter[[#This Row],[Active power TX2-INV-10]] &lt;= 0, Tabella01MarzoInverter[[#This Row],[Active power TX3-INV-7]] &lt;= 0),
    MIN(($H84 / 1000) * AK$10 * $BA$4, AK$11 * 0.876) * 0.25,
    IF(
        AND($H84 &gt; $BA$7, Tabella01MarzoInverter[[#This Row],[Active power TX2-INV-10]] &lt;= 0),
        Tabella01MarzoInverter[[#This Row],[Active power TX3-INV-7]] * 0.25,
        0
    )
    +
    IF(
        $N84 &lt; 0.875,
        MAX(0, MIN(($H84 / 1000) * AK$10 * $BA$4, AK$11 * 0.876) - (AK$11 * $N84)) * 0.25,
        0
    )
)</f>
        <v/>
      </c>
      <c r="AL84" s="117">
        <f>IF(
    AND($H84 &gt; $BA$7, Tabella01MarzoInverter[[#This Row],[Active power TX2-INV-11]] &lt;= 0, Tabella01MarzoInverter[[#This Row],[Active power TX3-INV-8]] &lt;= 0),
    MIN(($H84 / 1000) * AL$10 * $BA$4, AL$11 * 0.876) * 0.25,
    IF(
        AND($H84 &gt; $BA$7, Tabella01MarzoInverter[[#This Row],[Active power TX2-INV-11]] &lt;= 0),
        Tabella01MarzoInverter[[#This Row],[Active power TX3-INV-8]] * 0.25,
        0
    )
    +
    IF(
        $N84 &lt; 0.875,
        MAX(0, MIN(($H84 / 1000) * AL$10 * $BA$4, AL$11 * 0.876) - (AL$11 * $N84)) * 0.25,
        0
    )
)</f>
        <v/>
      </c>
      <c r="AM84" s="117">
        <f>IF(
    AND($H84 &gt; $BA$7, Tabella01MarzoInverter[[#This Row],[Active power TX2-INV-12]] &lt;= 0, Tabella01MarzoInverter[[#This Row],[Active power TX3-INV-9]] &lt;= 0),
    MIN(($H84 / 1000) * AM$10 * $BA$4, AM$11 * 0.876) * 0.25,
    IF(
        AND($H84 &gt; $BA$7, Tabella01MarzoInverter[[#This Row],[Active power TX2-INV-12]] &lt;= 0),
        Tabella01MarzoInverter[[#This Row],[Active power TX3-INV-9]] * 0.25,
        0
    )
    +
    IF(
        $N84 &lt; 0.875,
        MAX(0, MIN(($H84 / 1000) * AM$10 * $BA$4, AM$11 * 0.876) - (AM$11 * $N84)) * 0.25,
        0
    )
)</f>
        <v/>
      </c>
      <c r="AN84" s="118">
        <f>SUM(TabellaMar2026[[#This Row],[Colonna39]:[Colonna6]])</f>
        <v/>
      </c>
      <c r="AO84" s="117">
        <f t="array" ref="AO84">IF(
    AND($H84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($H84 / 1000) * AO$10 * $BA$4 * 0.25
    ),
    0
)
+
IF(
    $N84 &lt; 0.875,
    MAX(0, MIN(($H84 / 1000) * AO$10 * $BA$4, AO$11 * 0.876) - (AO$11 * $N84)) * 0.25,
    0
)</f>
        <v/>
      </c>
      <c r="AP84" s="117">
        <f t="array" ref="AP84">IF(
    AND($H84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($H84 / 1000) * AP$10 * $BA$4 * 0.25
    ),
    0
)
+
IF(
    $N84 &lt; 0.875,
    MAX(0, MIN(($H84 / 1000) * AP$10 * $BA$4, AP$11 * 0.876) - (AP$11 * $N84)) * 0.25,
    0
)</f>
        <v/>
      </c>
      <c r="AQ84" s="117">
        <f t="array" ref="AQ84">IF(
    AND($H84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($H84 / 1000) * AQ$10 * $BA$4 * 0.25
    ),
    0
)
+
IF(
    $N84 &lt; 0.875,
    MAX(0, MIN(($H84 / 1000) * AQ$10 * $BA$4, AQ$11 * 0.876) - (AQ$11 * $N84)) * 0.25,
    0
)</f>
        <v/>
      </c>
      <c r="AR84" s="117">
        <f t="array" ref="AR84">IF(
    AND($H84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($H84 / 1000) * AR$10 * $BA$4 * 0.25
    ),
    0
)
+
IF(
    $N84 &lt; 0.875,
    MAX(0, MIN(($H84 / 1000) * AR$10 * $BA$4, AR$11 * 0.876) - (AR$11 * $N84)) * 0.25,
    0
)</f>
        <v/>
      </c>
      <c r="AS84" s="117">
        <f t="array" ref="AS84">IF(
    AND($H84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($H84 / 1000) * AS$10 * $BA$4 * 0.25
    ),
    0
)
+
IF(
    $N84 &lt; 0.875,
    MAX(0, MIN(($H84 / 1000) * AS$10 * $BA$4, AS$11 * 0.876) - (AS$11 * $N84)) * 0.25,
    0
)</f>
        <v/>
      </c>
      <c r="AT84" s="117">
        <f t="array" ref="AT84">IF(
    AND($H84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($H84 / 1000) * AT$10 * $BA$4 * 0.25
    ),
    0
)
+
IF(
    $N84 &lt; 0.875,
    MAX(0, MIN(($H84 / 1000) * AT$10 * $BA$4, AT$11 * 0.876) - (AT$11 * $N84)) * 0.25,
    0
)</f>
        <v/>
      </c>
      <c r="AU84" s="117">
        <f t="array" ref="AU84">IF(
    AND($H84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($H84 / 1000) * AU$10 * $BA$4 * 0.25
    ),
    0
)
+
IF(
    $N84 &lt; 0.875,
    MAX(0, MIN(($H84 / 1000) * AU$10 * $BA$4, AU$11 * 0.876) - (AU$11 * $N84)) * 0.25,
    0
)</f>
        <v/>
      </c>
      <c r="AV84" s="117">
        <f t="array" ref="AV84">IF(
    AND($H84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($H84 / 1000) * AV$10 * $BA$4 * 0.25
    ),
    0
)
+
IF(
    $N84 &lt; 0.875,
    MAX(0, MIN(($H84 / 1000) * AV$10 * $BA$4, AV$11 * 0.876) - (AV$11 * $N84)) * 0.25,
    0
)</f>
        <v/>
      </c>
      <c r="AW84" s="117">
        <f t="array" ref="AW84">IF(
    AND($H84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($H84 / 1000) * AW$10 * $BA$4 * 0.25
    ),
    0
)
+
IF(
    $N84 &lt; 0.875,
    MAX(0, MIN(($H84 / 1000) * AW$10 * $BA$4, AW$11 * 0.876) - (AW$11 * $N84)) * 0.25,
    0
)</f>
        <v/>
      </c>
      <c r="AX84" s="117">
        <f t="array" ref="AX84">IF(
    AND($H84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($H84 / 1000) * AX$10 * $BA$4 * 0.25
    ),
    0
)
+
IF(
    $N84 &lt; 0.875,
    MAX(0, MIN(($H84 / 1000) * AX$10 * $BA$4, AX$11 * 0.876) - (AX$11 * $N84)) * 0.25,
    0
)</f>
        <v/>
      </c>
      <c r="AY84" s="117">
        <f t="array" ref="AY84">IF(
    AND($H84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($H84 / 1000) * AY$10 * $BA$4 * 0.25
    ),
    0
)
+
IF(
    $N84 &lt; 0.875,
    MAX(0, MIN(($H84 / 1000) * AY$10 * $BA$4, AY$11 * 0.876) - (AY$11 * $N84)) * 0.25,
    0
)</f>
        <v/>
      </c>
      <c r="AZ84" s="117">
        <f t="array" ref="AZ84">IF(
    AND($H84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($H84 / 1000) * AZ$10 * $BA$4 * 0.25
    ),
    0
)
+
IF(
    $N84 &lt; 0.875,
    MAX(0, MIN(($H84 / 1000) * AZ$10 * $BA$4, AZ$11 * 0.876) - (AZ$11 * $N84)) * 0.25,
    0
)</f>
        <v/>
      </c>
      <c r="BA84" s="119">
        <f>SUM(TabellaMar2026[[#This Row],[Colonna54]:[Colonna53]])</f>
        <v/>
      </c>
    </row>
    <row r="85">
      <c r="A85" s="112" t="n">
        <v>46143</v>
      </c>
      <c r="B85" t="inlineStr">
        <is>
          <t>17:30:00.000</t>
        </is>
      </c>
      <c r="C85" s="2" t="n">
        <v>791.3</v>
      </c>
      <c r="D85" s="113" t="n">
        <v>0.197825</v>
      </c>
      <c r="E85" s="113" t="n">
        <v>838</v>
      </c>
      <c r="F85" s="113" t="n">
        <v>0.2095</v>
      </c>
      <c r="G85" s="113">
        <f>IFERROR((D85+F85)/2, 0)</f>
        <v/>
      </c>
      <c r="H85" s="114">
        <f>IFERROR(IF(AVERAGE(C85,E85)&gt;$BA$7,AVERAGE(C85,E85),0), 0)</f>
        <v/>
      </c>
      <c r="I85" s="114">
        <f>IFERROR(IF(AND(D85=0,F85=0),0,IF(H85&gt;$BA$6,MAX(D85,F85),G85)), 0)</f>
        <v/>
      </c>
      <c r="J85" s="113">
        <f>IFERROR(IF(AND(D85&gt;0,F85&gt;0),ABS(D85-F85)/AVERAGE(D85,F85),0), 0)</f>
        <v/>
      </c>
      <c r="K85" s="113" t="n">
        <v>30131.6</v>
      </c>
      <c r="L85" s="113" t="n">
        <v>30132.2</v>
      </c>
      <c r="M85" s="115">
        <f>IFERROR((L85-K85)*1000, 0)</f>
        <v/>
      </c>
      <c r="N85" s="113" t="n">
        <v>0.8759999999999999</v>
      </c>
      <c r="O85" s="115">
        <f t="array" ref="O85">IF(
    AND($H85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($H85 / 1000) * O$10 * $BA$4 * 0.25
    ),
    0
)
+
IF(
    $N85 &lt; 0.875,
    MAX(0, MIN(($H85 / 1000) * O$10 * $BA$4, O$11 * 0.876) - (O$11 * $N85)) * 0.25,
    0
)</f>
        <v/>
      </c>
      <c r="P85" s="115">
        <f t="array" ref="P85">IF(
    AND($H85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($H85 / 1000) * P$10 * $BA$4 * 0.25
    ),
    0
)
+
IF(
    $N85 &lt; 0.875,
    MAX(0, MIN(($H85 / 1000) * P$10 * $BA$4, P$11 * 0.876) - (P$11 * $N85)) * 0.25,
    0
)</f>
        <v/>
      </c>
      <c r="Q85" s="115">
        <f t="array" ref="Q85">IF(
    AND($H85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($H85 / 1000) * Q$10 * $BA$4 * 0.25
    ),
    0
)
+
IF(
    $N85 &lt; 0.875,
    MAX(0, MIN(($H85 / 1000) * Q$10 * $BA$4, Q$11 * 0.876) - (Q$11 * $N85)) * 0.25,
    0
)</f>
        <v/>
      </c>
      <c r="R85" s="115">
        <f t="array" ref="R85">IF(
    AND($H85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($H85 / 1000) * R$10 * $BA$4 * 0.25
    ),
    0
)
+
IF(
    $N85 &lt; 0.875,
    MAX(0, MIN(($H85 / 1000) * R$10 * $BA$4, R$11 * 0.876) - (R$11 * $N85)) * 0.25,
    0
)</f>
        <v/>
      </c>
      <c r="S85" s="115">
        <f t="array" ref="S85">IF(
    AND($H85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($H85 / 1000) * S$10 * $BA$4 * 0.25
    ),
    0
)
+
IF(
    $N85 &lt; 0.875,
    MAX(0, MIN(($H85 / 1000) * S$10 * $BA$4, S$11 * 0.876) - (S$11 * $N85)) * 0.25,
    0
)</f>
        <v/>
      </c>
      <c r="T85" s="115">
        <f t="array" ref="T85">IF(
    AND($H85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($H85 / 1000) * T$10 * $BA$4 * 0.25
    ),
    0
)
+
IF(
    $N85 &lt; 0.875,
    MAX(0, MIN(($H85 / 1000) * T$10 * $BA$4, T$11 * 0.876) - (T$11 * $N85)) * 0.25,
    0
)</f>
        <v/>
      </c>
      <c r="U85" s="115">
        <f t="array" ref="U85">IF(
    AND($H85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($H85 / 1000) * U$10 * $BA$4 * 0.25
    ),
    0
)
+
IF(
    $N85 &lt; 0.875,
    MAX(0, MIN(($H85 / 1000) * U$10 * $BA$4, U$11 * 0.876) - (U$11 * $N85)) * 0.25,
    0
)</f>
        <v/>
      </c>
      <c r="V85" s="115">
        <f t="array" ref="V85">IF(
    AND($H85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($H85 / 1000) * V$10 * $BA$4 * 0.25
    ),
    0
)
+
IF(
    $N85 &lt; 0.875,
    MAX(0, MIN(($H85 / 1000) * V$10 * $BA$4, V$11 * 0.876) - (V$11 * $N85)) * 0.25,
    0
)</f>
        <v/>
      </c>
      <c r="W85" s="115">
        <f t="array" ref="W85">IF(
    AND($H85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($H85 / 1000) * W$10 * $BA$4 * 0.25
    ),
    0
)
+
IF(
    $N85 &lt; 0.875,
    MAX(0, MIN(($H85 / 1000) * W$10 * $BA$4, W$11 * 0.876) - (W$11 * $N85)) * 0.25,
    0
)</f>
        <v/>
      </c>
      <c r="X85" s="115">
        <f t="array" ref="X85">IF(
    AND($H85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($H85 / 1000) * X$10 * $BA$4 * 0.25
    ),
    0
)
+
IF(
    $N85 &lt; 0.875,
    MAX(0, MIN(($H85 / 1000) * X$10 * $BA$4, X$11 * 0.876) - (X$11 * $N85)) * 0.25,
    0
)</f>
        <v/>
      </c>
      <c r="Y85" s="115">
        <f t="array" ref="Y85">IF(
    AND($H85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($H85 / 1000) * Y$10 * $BA$4 * 0.25
    ),
    0
)
+
IF(
    $N85 &lt; 0.875,
    MAX(0, MIN(($H85 / 1000) * Y$10 * $BA$4, Y$11 * 0.876) - (Y$11 * $N85)) * 0.25,
    0
)</f>
        <v/>
      </c>
      <c r="Z85" s="115">
        <f t="array" ref="Z85">IF(
    AND($H85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($H85 / 1000) * Z$10 * $BA$4 * 0.25
    ),
    0
)
+
IF(
    $N85 &lt; 0.875,
    MAX(0, MIN(($H85 / 1000) * Z$10 * $BA$4, Z$11 * 0.876) - (Z$11 * $N85)) * 0.25,
    0
)</f>
        <v/>
      </c>
      <c r="AA85" s="116">
        <f>SUM(TabellaMar2026[[#This Row],[Colonna24]:[Colonna20]])</f>
        <v/>
      </c>
      <c r="AB85" s="117">
        <f>IF(
    AND($H85 &gt; $BA$7, Tabella01MarzoInverter[[#This Row],[Active power TX2-INV-1]] &lt;= 0, Tabella01MarzoInverter[[#This Row],[TX2 - Average Power]] &lt;= 0),
    MIN(($H85 / 1000) * AB$10 * $BA$4, AB$11 * 0.876) * 0.25,
    IF(
        AND($H85 &gt; $BA$7, Tabella01MarzoInverter[[#This Row],[Active power TX2-INV-1]] &lt;= 0),
        Tabella01MarzoInverter[[#This Row],[TX2 - Average Power]] * 0.25,
        0
    )
    +
    IF(
        $N85 &lt; 0.875,
        MAX(0, MIN(($H85 / 1000) * AB$10 * $BA$4, AB$11 * 0.876) - (AB$11 * $N85)) * 0.25,
        0
    )
)</f>
        <v/>
      </c>
      <c r="AC85" s="117">
        <f>IF(
    AND($H85 &gt; $BA$7, Tabella01MarzoInverter[[#This Row],[Active power TX2-INV-2]] &lt;= 0, Tabella01MarzoInverter[[#This Row],[TX2 - Max Power]] &lt;= 0),
    MIN(($H85 / 1000) * AC$10 * $BA$4, AC$11 * 0.876) * 0.25,
    IF(
        AND($H85 &gt; $BA$7, Tabella01MarzoInverter[[#This Row],[Active power TX2-INV-2]] &lt;= 0),
        Tabella01MarzoInverter[[#This Row],[TX2 - Max Power]] * 0.25,
        0
    )
    +
    IF(
        $N85 &lt; 0.875,
        MAX(0, MIN(($H85 / 1000) * AC$10 * $BA$4, AC$11 * 0.876) - (AC$11 * $N85)) * 0.25,
        0
    )
)</f>
        <v/>
      </c>
      <c r="AD85" s="117">
        <f>IF(
    AND($H85 &gt; $BA$7, Tabella01MarzoInverter[[#This Row],[Active power TX2-INV-3]] &lt;= 0, Tabella01MarzoInverter[[#This Row],[TX2 - Min Power]] &lt;= 0),
    MIN(($H85 / 1000) * AD$10 * $BA$4, AD$11 * 0.876) * 0.25,
    IF(
        AND($H85 &gt; $BA$7, Tabella01MarzoInverter[[#This Row],[Active power TX2-INV-3]] &lt;= 0),
        Tabella01MarzoInverter[[#This Row],[TX2 - Min Power]] * 0.25,
        0
    )
    +
    IF(
        $N85 &lt; 0.875,
        MAX(0, MIN(($H85 / 1000) * AD$10 * $BA$4, AD$11 * 0.876) - (AD$11 * $N85)) * 0.25,
        0
    )
)</f>
        <v/>
      </c>
      <c r="AE85" s="117">
        <f>IF(
    AND($H85 &gt; $BA$7, Tabella01MarzoInverter[[#This Row],[Active power TX2-INV-4]] &lt;= 0, Tabella01MarzoInverter[[#This Row],[Active power TX3-INV-1]] &lt;= 0),
    MIN(($H85 / 1000) * AE$10 * $BA$4, AE$11 * 0.876) * 0.25,
    IF(
        AND($H85 &gt; $BA$7, Tabella01MarzoInverter[[#This Row],[Active power TX2-INV-4]] &lt;= 0),
        Tabella01MarzoInverter[[#This Row],[Active power TX3-INV-1]] * 0.25,
        0
    )
    +
    IF(
        $N85 &lt; 0.875,
        MAX(0, MIN(($H85 / 1000) * AE$10 * $BA$4, AE$11 * 0.876) - (AE$11 * $N85)) * 0.25,
        0
    )
)</f>
        <v/>
      </c>
      <c r="AF85" s="117">
        <f>IF(
    AND($H85 &gt; $BA$7, Tabella01MarzoInverter[[#This Row],[Active power TX2-INV-5]] &lt;= 0, Tabella01MarzoInverter[[#This Row],[Active power TX3-INV-2]] &lt;= 0),
    MIN(($H85 / 1000) * AF$10 * $BA$4, AF$11 * 0.876) * 0.25,
    IF(
        AND($H85 &gt; $BA$7, Tabella01MarzoInverter[[#This Row],[Active power TX2-INV-5]] &lt;= 0),
        Tabella01MarzoInverter[[#This Row],[Active power TX3-INV-2]] * 0.25,
        0
    )
    +
    IF(
        $N85 &lt; 0.875,
        MAX(0, MIN(($H85 / 1000) * AF$10 * $BA$4, AF$11 * 0.876) - (AF$11 * $N85)) * 0.25,
        0
    )
)</f>
        <v/>
      </c>
      <c r="AG85" s="117">
        <f>IF(
    AND($H85 &gt; $BA$7, Tabella01MarzoInverter[[#This Row],[Active power TX2-INV-6]] &lt;= 0, Tabella01MarzoInverter[[#This Row],[Active power TX3-INV-3]] &lt;= 0),
    MIN(($H85 / 1000) * AG$10 * $BA$4, AG$11 * 0.876) * 0.25,
    IF(
        AND($H85 &gt; $BA$7, Tabella01MarzoInverter[[#This Row],[Active power TX2-INV-6]] &lt;= 0),
        Tabella01MarzoInverter[[#This Row],[Active power TX3-INV-3]] * 0.25,
        0
    )
    +
    IF(
        $N85 &lt; 0.875,
        MAX(0, MIN(($H85 / 1000) * AG$10 * $BA$4, AG$11 * 0.876) - (AG$11 * $N85)) * 0.25,
        0
    )
)</f>
        <v/>
      </c>
      <c r="AH85" s="117">
        <f>IF(
    AND($H85 &gt; $BA$7, Tabella01MarzoInverter[[#This Row],[Active power TX2-INV-7]] &lt;= 0, Tabella01MarzoInverter[[#This Row],[Active power TX3-INV-4]] &lt;= 0),
    MIN(($H85 / 1000) * AH$10 * $BA$4, AH$11 * 0.876) * 0.25,
    IF(
        AND($H85 &gt; $BA$7, Tabella01MarzoInverter[[#This Row],[Active power TX2-INV-7]] &lt;= 0),
        Tabella01MarzoInverter[[#This Row],[Active power TX3-INV-4]] * 0.25,
        0
    )
    +
    IF(
        $N85 &lt; 0.875,
        MAX(0, MIN(($H85 / 1000) * AH$10 * $BA$4, AH$11 * 0.876) - (AH$11 * $N85)) * 0.25,
        0
    )
)</f>
        <v/>
      </c>
      <c r="AI85" s="117">
        <f>IF(
    AND($H85 &gt; $BA$7, Tabella01MarzoInverter[[#This Row],[Active power TX2-INV-8]] &lt;= 0, Tabella01MarzoInverter[[#This Row],[Active power TX3-INV-5]] &lt;= 0),
    MIN(($H85 / 1000) * AI$10 * $BA$4, AI$11 * 0.876) * 0.25,
    IF(
        AND($H85 &gt; $BA$7, Tabella01MarzoInverter[[#This Row],[Active power TX2-INV-8]] &lt;= 0),
        Tabella01MarzoInverter[[#This Row],[Active power TX3-INV-5]] * 0.25,
        0
    )
    +
    IF(
        $N85 &lt; 0.875,
        MAX(0, MIN(($H85 / 1000) * AI$10 * $BA$4, AI$11 * 0.876) - (AI$11 * $N85)) * 0.25,
        0
    )
)</f>
        <v/>
      </c>
      <c r="AJ85" s="117">
        <f>IF(
    AND($H85 &gt; $BA$7, Tabella01MarzoInverter[[#This Row],[Active power TX2-INV-9]] &lt;= 0, Tabella01MarzoInverter[[#This Row],[Active power TX3-INV-6]] &lt;= 0),
    MIN(($H85 / 1000) * AJ$10 * $BA$4, AJ$11 * 0.876) * 0.25,
    IF(
        AND($H85 &gt; $BA$7, Tabella01MarzoInverter[[#This Row],[Active power TX2-INV-9]] &lt;= 0),
        Tabella01MarzoInverter[[#This Row],[Active power TX3-INV-6]] * 0.25,
        0
    )
    +
    IF(
        $N85 &lt; 0.875,
        MAX(0, MIN(($H85 / 1000) * AJ$10 * $BA$4, AJ$11 * 0.876) - (AJ$11 * $N85)) * 0.25,
        0
    )
)</f>
        <v/>
      </c>
      <c r="AK85" s="117">
        <f>IF(
    AND($H85 &gt; $BA$7, Tabella01MarzoInverter[[#This Row],[Active power TX2-INV-10]] &lt;= 0, Tabella01MarzoInverter[[#This Row],[Active power TX3-INV-7]] &lt;= 0),
    MIN(($H85 / 1000) * AK$10 * $BA$4, AK$11 * 0.876) * 0.25,
    IF(
        AND($H85 &gt; $BA$7, Tabella01MarzoInverter[[#This Row],[Active power TX2-INV-10]] &lt;= 0),
        Tabella01MarzoInverter[[#This Row],[Active power TX3-INV-7]] * 0.25,
        0
    )
    +
    IF(
        $N85 &lt; 0.875,
        MAX(0, MIN(($H85 / 1000) * AK$10 * $BA$4, AK$11 * 0.876) - (AK$11 * $N85)) * 0.25,
        0
    )
)</f>
        <v/>
      </c>
      <c r="AL85" s="117">
        <f>IF(
    AND($H85 &gt; $BA$7, Tabella01MarzoInverter[[#This Row],[Active power TX2-INV-11]] &lt;= 0, Tabella01MarzoInverter[[#This Row],[Active power TX3-INV-8]] &lt;= 0),
    MIN(($H85 / 1000) * AL$10 * $BA$4, AL$11 * 0.876) * 0.25,
    IF(
        AND($H85 &gt; $BA$7, Tabella01MarzoInverter[[#This Row],[Active power TX2-INV-11]] &lt;= 0),
        Tabella01MarzoInverter[[#This Row],[Active power TX3-INV-8]] * 0.25,
        0
    )
    +
    IF(
        $N85 &lt; 0.875,
        MAX(0, MIN(($H85 / 1000) * AL$10 * $BA$4, AL$11 * 0.876) - (AL$11 * $N85)) * 0.25,
        0
    )
)</f>
        <v/>
      </c>
      <c r="AM85" s="117">
        <f>IF(
    AND($H85 &gt; $BA$7, Tabella01MarzoInverter[[#This Row],[Active power TX2-INV-12]] &lt;= 0, Tabella01MarzoInverter[[#This Row],[Active power TX3-INV-9]] &lt;= 0),
    MIN(($H85 / 1000) * AM$10 * $BA$4, AM$11 * 0.876) * 0.25,
    IF(
        AND($H85 &gt; $BA$7, Tabella01MarzoInverter[[#This Row],[Active power TX2-INV-12]] &lt;= 0),
        Tabella01MarzoInverter[[#This Row],[Active power TX3-INV-9]] * 0.25,
        0
    )
    +
    IF(
        $N85 &lt; 0.875,
        MAX(0, MIN(($H85 / 1000) * AM$10 * $BA$4, AM$11 * 0.876) - (AM$11 * $N85)) * 0.25,
        0
    )
)</f>
        <v/>
      </c>
      <c r="AN85" s="118">
        <f>SUM(TabellaMar2026[[#This Row],[Colonna39]:[Colonna6]])</f>
        <v/>
      </c>
      <c r="AO85" s="117">
        <f t="array" ref="AO85">IF(
    AND($H85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($H85 / 1000) * AO$10 * $BA$4 * 0.25
    ),
    0
)
+
IF(
    $N85 &lt; 0.875,
    MAX(0, MIN(($H85 / 1000) * AO$10 * $BA$4, AO$11 * 0.876) - (AO$11 * $N85)) * 0.25,
    0
)</f>
        <v/>
      </c>
      <c r="AP85" s="117">
        <f t="array" ref="AP85">IF(
    AND($H85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($H85 / 1000) * AP$10 * $BA$4 * 0.25
    ),
    0
)
+
IF(
    $N85 &lt; 0.875,
    MAX(0, MIN(($H85 / 1000) * AP$10 * $BA$4, AP$11 * 0.876) - (AP$11 * $N85)) * 0.25,
    0
)</f>
        <v/>
      </c>
      <c r="AQ85" s="117">
        <f t="array" ref="AQ85">IF(
    AND($H85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($H85 / 1000) * AQ$10 * $BA$4 * 0.25
    ),
    0
)
+
IF(
    $N85 &lt; 0.875,
    MAX(0, MIN(($H85 / 1000) * AQ$10 * $BA$4, AQ$11 * 0.876) - (AQ$11 * $N85)) * 0.25,
    0
)</f>
        <v/>
      </c>
      <c r="AR85" s="117">
        <f t="array" ref="AR85">IF(
    AND($H85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($H85 / 1000) * AR$10 * $BA$4 * 0.25
    ),
    0
)
+
IF(
    $N85 &lt; 0.875,
    MAX(0, MIN(($H85 / 1000) * AR$10 * $BA$4, AR$11 * 0.876) - (AR$11 * $N85)) * 0.25,
    0
)</f>
        <v/>
      </c>
      <c r="AS85" s="117">
        <f t="array" ref="AS85">IF(
    AND($H85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($H85 / 1000) * AS$10 * $BA$4 * 0.25
    ),
    0
)
+
IF(
    $N85 &lt; 0.875,
    MAX(0, MIN(($H85 / 1000) * AS$10 * $BA$4, AS$11 * 0.876) - (AS$11 * $N85)) * 0.25,
    0
)</f>
        <v/>
      </c>
      <c r="AT85" s="117">
        <f t="array" ref="AT85">IF(
    AND($H85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($H85 / 1000) * AT$10 * $BA$4 * 0.25
    ),
    0
)
+
IF(
    $N85 &lt; 0.875,
    MAX(0, MIN(($H85 / 1000) * AT$10 * $BA$4, AT$11 * 0.876) - (AT$11 * $N85)) * 0.25,
    0
)</f>
        <v/>
      </c>
      <c r="AU85" s="117">
        <f t="array" ref="AU85">IF(
    AND($H85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($H85 / 1000) * AU$10 * $BA$4 * 0.25
    ),
    0
)
+
IF(
    $N85 &lt; 0.875,
    MAX(0, MIN(($H85 / 1000) * AU$10 * $BA$4, AU$11 * 0.876) - (AU$11 * $N85)) * 0.25,
    0
)</f>
        <v/>
      </c>
      <c r="AV85" s="117">
        <f t="array" ref="AV85">IF(
    AND($H85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($H85 / 1000) * AV$10 * $BA$4 * 0.25
    ),
    0
)
+
IF(
    $N85 &lt; 0.875,
    MAX(0, MIN(($H85 / 1000) * AV$10 * $BA$4, AV$11 * 0.876) - (AV$11 * $N85)) * 0.25,
    0
)</f>
        <v/>
      </c>
      <c r="AW85" s="117">
        <f t="array" ref="AW85">IF(
    AND($H85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($H85 / 1000) * AW$10 * $BA$4 * 0.25
    ),
    0
)
+
IF(
    $N85 &lt; 0.875,
    MAX(0, MIN(($H85 / 1000) * AW$10 * $BA$4, AW$11 * 0.876) - (AW$11 * $N85)) * 0.25,
    0
)</f>
        <v/>
      </c>
      <c r="AX85" s="117">
        <f t="array" ref="AX85">IF(
    AND($H85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($H85 / 1000) * AX$10 * $BA$4 * 0.25
    ),
    0
)
+
IF(
    $N85 &lt; 0.875,
    MAX(0, MIN(($H85 / 1000) * AX$10 * $BA$4, AX$11 * 0.876) - (AX$11 * $N85)) * 0.25,
    0
)</f>
        <v/>
      </c>
      <c r="AY85" s="117">
        <f t="array" ref="AY85">IF(
    AND($H85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($H85 / 1000) * AY$10 * $BA$4 * 0.25
    ),
    0
)
+
IF(
    $N85 &lt; 0.875,
    MAX(0, MIN(($H85 / 1000) * AY$10 * $BA$4, AY$11 * 0.876) - (AY$11 * $N85)) * 0.25,
    0
)</f>
        <v/>
      </c>
      <c r="AZ85" s="117">
        <f t="array" ref="AZ85">IF(
    AND($H85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($H85 / 1000) * AZ$10 * $BA$4 * 0.25
    ),
    0
)
+
IF(
    $N85 &lt; 0.875,
    MAX(0, MIN(($H85 / 1000) * AZ$10 * $BA$4, AZ$11 * 0.876) - (AZ$11 * $N85)) * 0.25,
    0
)</f>
        <v/>
      </c>
      <c r="BA85" s="119">
        <f>SUM(TabellaMar2026[[#This Row],[Colonna54]:[Colonna53]])</f>
        <v/>
      </c>
    </row>
    <row r="86">
      <c r="A86" s="112" t="n">
        <v>46143</v>
      </c>
      <c r="B86" t="inlineStr">
        <is>
          <t>17:45:00.000</t>
        </is>
      </c>
      <c r="C86" s="2" t="n">
        <v>713.7</v>
      </c>
      <c r="D86" s="113" t="n">
        <v>0.178425</v>
      </c>
      <c r="E86" s="113" t="n">
        <v>771.1</v>
      </c>
      <c r="F86" s="113" t="n">
        <v>0.192775</v>
      </c>
      <c r="G86" s="113">
        <f>IFERROR((D86+F86)/2, 0)</f>
        <v/>
      </c>
      <c r="H86" s="114">
        <f>IFERROR(IF(AVERAGE(C86,E86)&gt;$BA$7,AVERAGE(C86,E86),0), 0)</f>
        <v/>
      </c>
      <c r="I86" s="114">
        <f>IFERROR(IF(AND(D86=0,F86=0),0,IF(H86&gt;$BA$6,MAX(D86,F86),G86)), 0)</f>
        <v/>
      </c>
      <c r="J86" s="113">
        <f>IFERROR(IF(AND(D86&gt;0,F86&gt;0),ABS(D86-F86)/AVERAGE(D86,F86),0), 0)</f>
        <v/>
      </c>
      <c r="K86" s="113" t="n">
        <v>30132.2</v>
      </c>
      <c r="L86" s="113" t="n">
        <v>30134.3</v>
      </c>
      <c r="M86" s="115">
        <f>IFERROR((L86-K86)*1000, 0)</f>
        <v/>
      </c>
      <c r="N86" s="113" t="n">
        <v>0.8759999999999999</v>
      </c>
      <c r="O86" s="115">
        <f t="array" ref="O86">IF(
    AND($H86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($H86 / 1000) * O$10 * $BA$4 * 0.25
    ),
    0
)
+
IF(
    $N86 &lt; 0.875,
    MAX(0, MIN(($H86 / 1000) * O$10 * $BA$4, O$11 * 0.876) - (O$11 * $N86)) * 0.25,
    0
)</f>
        <v/>
      </c>
      <c r="P86" s="115">
        <f t="array" ref="P86">IF(
    AND($H86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($H86 / 1000) * P$10 * $BA$4 * 0.25
    ),
    0
)
+
IF(
    $N86 &lt; 0.875,
    MAX(0, MIN(($H86 / 1000) * P$10 * $BA$4, P$11 * 0.876) - (P$11 * $N86)) * 0.25,
    0
)</f>
        <v/>
      </c>
      <c r="Q86" s="115">
        <f t="array" ref="Q86">IF(
    AND($H86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($H86 / 1000) * Q$10 * $BA$4 * 0.25
    ),
    0
)
+
IF(
    $N86 &lt; 0.875,
    MAX(0, MIN(($H86 / 1000) * Q$10 * $BA$4, Q$11 * 0.876) - (Q$11 * $N86)) * 0.25,
    0
)</f>
        <v/>
      </c>
      <c r="R86" s="115">
        <f t="array" ref="R86">IF(
    AND($H86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($H86 / 1000) * R$10 * $BA$4 * 0.25
    ),
    0
)
+
IF(
    $N86 &lt; 0.875,
    MAX(0, MIN(($H86 / 1000) * R$10 * $BA$4, R$11 * 0.876) - (R$11 * $N86)) * 0.25,
    0
)</f>
        <v/>
      </c>
      <c r="S86" s="115">
        <f t="array" ref="S86">IF(
    AND($H86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($H86 / 1000) * S$10 * $BA$4 * 0.25
    ),
    0
)
+
IF(
    $N86 &lt; 0.875,
    MAX(0, MIN(($H86 / 1000) * S$10 * $BA$4, S$11 * 0.876) - (S$11 * $N86)) * 0.25,
    0
)</f>
        <v/>
      </c>
      <c r="T86" s="115">
        <f t="array" ref="T86">IF(
    AND($H86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($H86 / 1000) * T$10 * $BA$4 * 0.25
    ),
    0
)
+
IF(
    $N86 &lt; 0.875,
    MAX(0, MIN(($H86 / 1000) * T$10 * $BA$4, T$11 * 0.876) - (T$11 * $N86)) * 0.25,
    0
)</f>
        <v/>
      </c>
      <c r="U86" s="115">
        <f t="array" ref="U86">IF(
    AND($H86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($H86 / 1000) * U$10 * $BA$4 * 0.25
    ),
    0
)
+
IF(
    $N86 &lt; 0.875,
    MAX(0, MIN(($H86 / 1000) * U$10 * $BA$4, U$11 * 0.876) - (U$11 * $N86)) * 0.25,
    0
)</f>
        <v/>
      </c>
      <c r="V86" s="115">
        <f t="array" ref="V86">IF(
    AND($H86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($H86 / 1000) * V$10 * $BA$4 * 0.25
    ),
    0
)
+
IF(
    $N86 &lt; 0.875,
    MAX(0, MIN(($H86 / 1000) * V$10 * $BA$4, V$11 * 0.876) - (V$11 * $N86)) * 0.25,
    0
)</f>
        <v/>
      </c>
      <c r="W86" s="115">
        <f t="array" ref="W86">IF(
    AND($H86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($H86 / 1000) * W$10 * $BA$4 * 0.25
    ),
    0
)
+
IF(
    $N86 &lt; 0.875,
    MAX(0, MIN(($H86 / 1000) * W$10 * $BA$4, W$11 * 0.876) - (W$11 * $N86)) * 0.25,
    0
)</f>
        <v/>
      </c>
      <c r="X86" s="115">
        <f t="array" ref="X86">IF(
    AND($H86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($H86 / 1000) * X$10 * $BA$4 * 0.25
    ),
    0
)
+
IF(
    $N86 &lt; 0.875,
    MAX(0, MIN(($H86 / 1000) * X$10 * $BA$4, X$11 * 0.876) - (X$11 * $N86)) * 0.25,
    0
)</f>
        <v/>
      </c>
      <c r="Y86" s="115">
        <f t="array" ref="Y86">IF(
    AND($H86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($H86 / 1000) * Y$10 * $BA$4 * 0.25
    ),
    0
)
+
IF(
    $N86 &lt; 0.875,
    MAX(0, MIN(($H86 / 1000) * Y$10 * $BA$4, Y$11 * 0.876) - (Y$11 * $N86)) * 0.25,
    0
)</f>
        <v/>
      </c>
      <c r="Z86" s="115">
        <f t="array" ref="Z86">IF(
    AND($H86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($H86 / 1000) * Z$10 * $BA$4 * 0.25
    ),
    0
)
+
IF(
    $N86 &lt; 0.875,
    MAX(0, MIN(($H86 / 1000) * Z$10 * $BA$4, Z$11 * 0.876) - (Z$11 * $N86)) * 0.25,
    0
)</f>
        <v/>
      </c>
      <c r="AA86" s="116">
        <f>SUM(TabellaMar2026[[#This Row],[Colonna24]:[Colonna20]])</f>
        <v/>
      </c>
      <c r="AB86" s="117">
        <f>IF(
    AND($H86 &gt; $BA$7, Tabella01MarzoInverter[[#This Row],[Active power TX2-INV-1]] &lt;= 0, Tabella01MarzoInverter[[#This Row],[TX2 - Average Power]] &lt;= 0),
    MIN(($H86 / 1000) * AB$10 * $BA$4, AB$11 * 0.876) * 0.25,
    IF(
        AND($H86 &gt; $BA$7, Tabella01MarzoInverter[[#This Row],[Active power TX2-INV-1]] &lt;= 0),
        Tabella01MarzoInverter[[#This Row],[TX2 - Average Power]] * 0.25,
        0
    )
    +
    IF(
        $N86 &lt; 0.875,
        MAX(0, MIN(($H86 / 1000) * AB$10 * $BA$4, AB$11 * 0.876) - (AB$11 * $N86)) * 0.25,
        0
    )
)</f>
        <v/>
      </c>
      <c r="AC86" s="117">
        <f>IF(
    AND($H86 &gt; $BA$7, Tabella01MarzoInverter[[#This Row],[Active power TX2-INV-2]] &lt;= 0, Tabella01MarzoInverter[[#This Row],[TX2 - Max Power]] &lt;= 0),
    MIN(($H86 / 1000) * AC$10 * $BA$4, AC$11 * 0.876) * 0.25,
    IF(
        AND($H86 &gt; $BA$7, Tabella01MarzoInverter[[#This Row],[Active power TX2-INV-2]] &lt;= 0),
        Tabella01MarzoInverter[[#This Row],[TX2 - Max Power]] * 0.25,
        0
    )
    +
    IF(
        $N86 &lt; 0.875,
        MAX(0, MIN(($H86 / 1000) * AC$10 * $BA$4, AC$11 * 0.876) - (AC$11 * $N86)) * 0.25,
        0
    )
)</f>
        <v/>
      </c>
      <c r="AD86" s="117">
        <f>IF(
    AND($H86 &gt; $BA$7, Tabella01MarzoInverter[[#This Row],[Active power TX2-INV-3]] &lt;= 0, Tabella01MarzoInverter[[#This Row],[TX2 - Min Power]] &lt;= 0),
    MIN(($H86 / 1000) * AD$10 * $BA$4, AD$11 * 0.876) * 0.25,
    IF(
        AND($H86 &gt; $BA$7, Tabella01MarzoInverter[[#This Row],[Active power TX2-INV-3]] &lt;= 0),
        Tabella01MarzoInverter[[#This Row],[TX2 - Min Power]] * 0.25,
        0
    )
    +
    IF(
        $N86 &lt; 0.875,
        MAX(0, MIN(($H86 / 1000) * AD$10 * $BA$4, AD$11 * 0.876) - (AD$11 * $N86)) * 0.25,
        0
    )
)</f>
        <v/>
      </c>
      <c r="AE86" s="117">
        <f>IF(
    AND($H86 &gt; $BA$7, Tabella01MarzoInverter[[#This Row],[Active power TX2-INV-4]] &lt;= 0, Tabella01MarzoInverter[[#This Row],[Active power TX3-INV-1]] &lt;= 0),
    MIN(($H86 / 1000) * AE$10 * $BA$4, AE$11 * 0.876) * 0.25,
    IF(
        AND($H86 &gt; $BA$7, Tabella01MarzoInverter[[#This Row],[Active power TX2-INV-4]] &lt;= 0),
        Tabella01MarzoInverter[[#This Row],[Active power TX3-INV-1]] * 0.25,
        0
    )
    +
    IF(
        $N86 &lt; 0.875,
        MAX(0, MIN(($H86 / 1000) * AE$10 * $BA$4, AE$11 * 0.876) - (AE$11 * $N86)) * 0.25,
        0
    )
)</f>
        <v/>
      </c>
      <c r="AF86" s="117">
        <f>IF(
    AND($H86 &gt; $BA$7, Tabella01MarzoInverter[[#This Row],[Active power TX2-INV-5]] &lt;= 0, Tabella01MarzoInverter[[#This Row],[Active power TX3-INV-2]] &lt;= 0),
    MIN(($H86 / 1000) * AF$10 * $BA$4, AF$11 * 0.876) * 0.25,
    IF(
        AND($H86 &gt; $BA$7, Tabella01MarzoInverter[[#This Row],[Active power TX2-INV-5]] &lt;= 0),
        Tabella01MarzoInverter[[#This Row],[Active power TX3-INV-2]] * 0.25,
        0
    )
    +
    IF(
        $N86 &lt; 0.875,
        MAX(0, MIN(($H86 / 1000) * AF$10 * $BA$4, AF$11 * 0.876) - (AF$11 * $N86)) * 0.25,
        0
    )
)</f>
        <v/>
      </c>
      <c r="AG86" s="117">
        <f>IF(
    AND($H86 &gt; $BA$7, Tabella01MarzoInverter[[#This Row],[Active power TX2-INV-6]] &lt;= 0, Tabella01MarzoInverter[[#This Row],[Active power TX3-INV-3]] &lt;= 0),
    MIN(($H86 / 1000) * AG$10 * $BA$4, AG$11 * 0.876) * 0.25,
    IF(
        AND($H86 &gt; $BA$7, Tabella01MarzoInverter[[#This Row],[Active power TX2-INV-6]] &lt;= 0),
        Tabella01MarzoInverter[[#This Row],[Active power TX3-INV-3]] * 0.25,
        0
    )
    +
    IF(
        $N86 &lt; 0.875,
        MAX(0, MIN(($H86 / 1000) * AG$10 * $BA$4, AG$11 * 0.876) - (AG$11 * $N86)) * 0.25,
        0
    )
)</f>
        <v/>
      </c>
      <c r="AH86" s="117">
        <f>IF(
    AND($H86 &gt; $BA$7, Tabella01MarzoInverter[[#This Row],[Active power TX2-INV-7]] &lt;= 0, Tabella01MarzoInverter[[#This Row],[Active power TX3-INV-4]] &lt;= 0),
    MIN(($H86 / 1000) * AH$10 * $BA$4, AH$11 * 0.876) * 0.25,
    IF(
        AND($H86 &gt; $BA$7, Tabella01MarzoInverter[[#This Row],[Active power TX2-INV-7]] &lt;= 0),
        Tabella01MarzoInverter[[#This Row],[Active power TX3-INV-4]] * 0.25,
        0
    )
    +
    IF(
        $N86 &lt; 0.875,
        MAX(0, MIN(($H86 / 1000) * AH$10 * $BA$4, AH$11 * 0.876) - (AH$11 * $N86)) * 0.25,
        0
    )
)</f>
        <v/>
      </c>
      <c r="AI86" s="117">
        <f>IF(
    AND($H86 &gt; $BA$7, Tabella01MarzoInverter[[#This Row],[Active power TX2-INV-8]] &lt;= 0, Tabella01MarzoInverter[[#This Row],[Active power TX3-INV-5]] &lt;= 0),
    MIN(($H86 / 1000) * AI$10 * $BA$4, AI$11 * 0.876) * 0.25,
    IF(
        AND($H86 &gt; $BA$7, Tabella01MarzoInverter[[#This Row],[Active power TX2-INV-8]] &lt;= 0),
        Tabella01MarzoInverter[[#This Row],[Active power TX3-INV-5]] * 0.25,
        0
    )
    +
    IF(
        $N86 &lt; 0.875,
        MAX(0, MIN(($H86 / 1000) * AI$10 * $BA$4, AI$11 * 0.876) - (AI$11 * $N86)) * 0.25,
        0
    )
)</f>
        <v/>
      </c>
      <c r="AJ86" s="117">
        <f>IF(
    AND($H86 &gt; $BA$7, Tabella01MarzoInverter[[#This Row],[Active power TX2-INV-9]] &lt;= 0, Tabella01MarzoInverter[[#This Row],[Active power TX3-INV-6]] &lt;= 0),
    MIN(($H86 / 1000) * AJ$10 * $BA$4, AJ$11 * 0.876) * 0.25,
    IF(
        AND($H86 &gt; $BA$7, Tabella01MarzoInverter[[#This Row],[Active power TX2-INV-9]] &lt;= 0),
        Tabella01MarzoInverter[[#This Row],[Active power TX3-INV-6]] * 0.25,
        0
    )
    +
    IF(
        $N86 &lt; 0.875,
        MAX(0, MIN(($H86 / 1000) * AJ$10 * $BA$4, AJ$11 * 0.876) - (AJ$11 * $N86)) * 0.25,
        0
    )
)</f>
        <v/>
      </c>
      <c r="AK86" s="117">
        <f>IF(
    AND($H86 &gt; $BA$7, Tabella01MarzoInverter[[#This Row],[Active power TX2-INV-10]] &lt;= 0, Tabella01MarzoInverter[[#This Row],[Active power TX3-INV-7]] &lt;= 0),
    MIN(($H86 / 1000) * AK$10 * $BA$4, AK$11 * 0.876) * 0.25,
    IF(
        AND($H86 &gt; $BA$7, Tabella01MarzoInverter[[#This Row],[Active power TX2-INV-10]] &lt;= 0),
        Tabella01MarzoInverter[[#This Row],[Active power TX3-INV-7]] * 0.25,
        0
    )
    +
    IF(
        $N86 &lt; 0.875,
        MAX(0, MIN(($H86 / 1000) * AK$10 * $BA$4, AK$11 * 0.876) - (AK$11 * $N86)) * 0.25,
        0
    )
)</f>
        <v/>
      </c>
      <c r="AL86" s="117">
        <f>IF(
    AND($H86 &gt; $BA$7, Tabella01MarzoInverter[[#This Row],[Active power TX2-INV-11]] &lt;= 0, Tabella01MarzoInverter[[#This Row],[Active power TX3-INV-8]] &lt;= 0),
    MIN(($H86 / 1000) * AL$10 * $BA$4, AL$11 * 0.876) * 0.25,
    IF(
        AND($H86 &gt; $BA$7, Tabella01MarzoInverter[[#This Row],[Active power TX2-INV-11]] &lt;= 0),
        Tabella01MarzoInverter[[#This Row],[Active power TX3-INV-8]] * 0.25,
        0
    )
    +
    IF(
        $N86 &lt; 0.875,
        MAX(0, MIN(($H86 / 1000) * AL$10 * $BA$4, AL$11 * 0.876) - (AL$11 * $N86)) * 0.25,
        0
    )
)</f>
        <v/>
      </c>
      <c r="AM86" s="117">
        <f>IF(
    AND($H86 &gt; $BA$7, Tabella01MarzoInverter[[#This Row],[Active power TX2-INV-12]] &lt;= 0, Tabella01MarzoInverter[[#This Row],[Active power TX3-INV-9]] &lt;= 0),
    MIN(($H86 / 1000) * AM$10 * $BA$4, AM$11 * 0.876) * 0.25,
    IF(
        AND($H86 &gt; $BA$7, Tabella01MarzoInverter[[#This Row],[Active power TX2-INV-12]] &lt;= 0),
        Tabella01MarzoInverter[[#This Row],[Active power TX3-INV-9]] * 0.25,
        0
    )
    +
    IF(
        $N86 &lt; 0.875,
        MAX(0, MIN(($H86 / 1000) * AM$10 * $BA$4, AM$11 * 0.876) - (AM$11 * $N86)) * 0.25,
        0
    )
)</f>
        <v/>
      </c>
      <c r="AN86" s="118">
        <f>SUM(TabellaMar2026[[#This Row],[Colonna39]:[Colonna6]])</f>
        <v/>
      </c>
      <c r="AO86" s="117">
        <f t="array" ref="AO86">IF(
    AND($H86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($H86 / 1000) * AO$10 * $BA$4 * 0.25
    ),
    0
)
+
IF(
    $N86 &lt; 0.875,
    MAX(0, MIN(($H86 / 1000) * AO$10 * $BA$4, AO$11 * 0.876) - (AO$11 * $N86)) * 0.25,
    0
)</f>
        <v/>
      </c>
      <c r="AP86" s="117">
        <f t="array" ref="AP86">IF(
    AND($H86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($H86 / 1000) * AP$10 * $BA$4 * 0.25
    ),
    0
)
+
IF(
    $N86 &lt; 0.875,
    MAX(0, MIN(($H86 / 1000) * AP$10 * $BA$4, AP$11 * 0.876) - (AP$11 * $N86)) * 0.25,
    0
)</f>
        <v/>
      </c>
      <c r="AQ86" s="117">
        <f t="array" ref="AQ86">IF(
    AND($H86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($H86 / 1000) * AQ$10 * $BA$4 * 0.25
    ),
    0
)
+
IF(
    $N86 &lt; 0.875,
    MAX(0, MIN(($H86 / 1000) * AQ$10 * $BA$4, AQ$11 * 0.876) - (AQ$11 * $N86)) * 0.25,
    0
)</f>
        <v/>
      </c>
      <c r="AR86" s="117">
        <f t="array" ref="AR86">IF(
    AND($H86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($H86 / 1000) * AR$10 * $BA$4 * 0.25
    ),
    0
)
+
IF(
    $N86 &lt; 0.875,
    MAX(0, MIN(($H86 / 1000) * AR$10 * $BA$4, AR$11 * 0.876) - (AR$11 * $N86)) * 0.25,
    0
)</f>
        <v/>
      </c>
      <c r="AS86" s="117">
        <f t="array" ref="AS86">IF(
    AND($H86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($H86 / 1000) * AS$10 * $BA$4 * 0.25
    ),
    0
)
+
IF(
    $N86 &lt; 0.875,
    MAX(0, MIN(($H86 / 1000) * AS$10 * $BA$4, AS$11 * 0.876) - (AS$11 * $N86)) * 0.25,
    0
)</f>
        <v/>
      </c>
      <c r="AT86" s="117">
        <f t="array" ref="AT86">IF(
    AND($H86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($H86 / 1000) * AT$10 * $BA$4 * 0.25
    ),
    0
)
+
IF(
    $N86 &lt; 0.875,
    MAX(0, MIN(($H86 / 1000) * AT$10 * $BA$4, AT$11 * 0.876) - (AT$11 * $N86)) * 0.25,
    0
)</f>
        <v/>
      </c>
      <c r="AU86" s="117">
        <f t="array" ref="AU86">IF(
    AND($H86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($H86 / 1000) * AU$10 * $BA$4 * 0.25
    ),
    0
)
+
IF(
    $N86 &lt; 0.875,
    MAX(0, MIN(($H86 / 1000) * AU$10 * $BA$4, AU$11 * 0.876) - (AU$11 * $N86)) * 0.25,
    0
)</f>
        <v/>
      </c>
      <c r="AV86" s="117">
        <f t="array" ref="AV86">IF(
    AND($H86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($H86 / 1000) * AV$10 * $BA$4 * 0.25
    ),
    0
)
+
IF(
    $N86 &lt; 0.875,
    MAX(0, MIN(($H86 / 1000) * AV$10 * $BA$4, AV$11 * 0.876) - (AV$11 * $N86)) * 0.25,
    0
)</f>
        <v/>
      </c>
      <c r="AW86" s="117">
        <f t="array" ref="AW86">IF(
    AND($H86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($H86 / 1000) * AW$10 * $BA$4 * 0.25
    ),
    0
)
+
IF(
    $N86 &lt; 0.875,
    MAX(0, MIN(($H86 / 1000) * AW$10 * $BA$4, AW$11 * 0.876) - (AW$11 * $N86)) * 0.25,
    0
)</f>
        <v/>
      </c>
      <c r="AX86" s="117">
        <f t="array" ref="AX86">IF(
    AND($H86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($H86 / 1000) * AX$10 * $BA$4 * 0.25
    ),
    0
)
+
IF(
    $N86 &lt; 0.875,
    MAX(0, MIN(($H86 / 1000) * AX$10 * $BA$4, AX$11 * 0.876) - (AX$11 * $N86)) * 0.25,
    0
)</f>
        <v/>
      </c>
      <c r="AY86" s="117">
        <f t="array" ref="AY86">IF(
    AND($H86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($H86 / 1000) * AY$10 * $BA$4 * 0.25
    ),
    0
)
+
IF(
    $N86 &lt; 0.875,
    MAX(0, MIN(($H86 / 1000) * AY$10 * $BA$4, AY$11 * 0.876) - (AY$11 * $N86)) * 0.25,
    0
)</f>
        <v/>
      </c>
      <c r="AZ86" s="117">
        <f t="array" ref="AZ86">IF(
    AND($H86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($H86 / 1000) * AZ$10 * $BA$4 * 0.25
    ),
    0
)
+
IF(
    $N86 &lt; 0.875,
    MAX(0, MIN(($H86 / 1000) * AZ$10 * $BA$4, AZ$11 * 0.876) - (AZ$11 * $N86)) * 0.25,
    0
)</f>
        <v/>
      </c>
      <c r="BA86" s="119">
        <f>SUM(TabellaMar2026[[#This Row],[Colonna54]:[Colonna53]])</f>
        <v/>
      </c>
    </row>
    <row r="87">
      <c r="A87" s="112" t="n">
        <v>46143</v>
      </c>
      <c r="B87" t="inlineStr">
        <is>
          <t>18:00:00.000</t>
        </is>
      </c>
      <c r="C87" s="2" t="n">
        <v>600.1</v>
      </c>
      <c r="D87" s="113" t="n">
        <v>0.150025</v>
      </c>
      <c r="E87" s="113" t="n">
        <v>666.7</v>
      </c>
      <c r="F87" s="113" t="n">
        <v>0.166675</v>
      </c>
      <c r="G87" s="113">
        <f>IFERROR((D87+F87)/2, 0)</f>
        <v/>
      </c>
      <c r="H87" s="114">
        <f>IFERROR(IF(AVERAGE(C87,E87)&gt;$BA$7,AVERAGE(C87,E87),0), 0)</f>
        <v/>
      </c>
      <c r="I87" s="114">
        <f>IFERROR(IF(AND(D87=0,F87=0),0,IF(H87&gt;$BA$6,MAX(D87,F87),G87)), 0)</f>
        <v/>
      </c>
      <c r="J87" s="113">
        <f>IFERROR(IF(AND(D87&gt;0,F87&gt;0),ABS(D87-F87)/AVERAGE(D87,F87),0), 0)</f>
        <v/>
      </c>
      <c r="K87" s="113" t="n">
        <v>30134.3</v>
      </c>
      <c r="L87" s="113" t="n">
        <v>30136.2</v>
      </c>
      <c r="M87" s="115">
        <f>IFERROR((L87-K87)*1000, 0)</f>
        <v/>
      </c>
      <c r="N87" s="113" t="n">
        <v>0.8759999999999999</v>
      </c>
      <c r="O87" s="115">
        <f t="array" ref="O87">IF(
    AND($H87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($H87 / 1000) * O$10 * $BA$4 * 0.25
    ),
    0
)
+
IF(
    $N87 &lt; 0.875,
    MAX(0, MIN(($H87 / 1000) * O$10 * $BA$4, O$11 * 0.876) - (O$11 * $N87)) * 0.25,
    0
)</f>
        <v/>
      </c>
      <c r="P87" s="115">
        <f t="array" ref="P87">IF(
    AND($H87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($H87 / 1000) * P$10 * $BA$4 * 0.25
    ),
    0
)
+
IF(
    $N87 &lt; 0.875,
    MAX(0, MIN(($H87 / 1000) * P$10 * $BA$4, P$11 * 0.876) - (P$11 * $N87)) * 0.25,
    0
)</f>
        <v/>
      </c>
      <c r="Q87" s="115">
        <f t="array" ref="Q87">IF(
    AND($H87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($H87 / 1000) * Q$10 * $BA$4 * 0.25
    ),
    0
)
+
IF(
    $N87 &lt; 0.875,
    MAX(0, MIN(($H87 / 1000) * Q$10 * $BA$4, Q$11 * 0.876) - (Q$11 * $N87)) * 0.25,
    0
)</f>
        <v/>
      </c>
      <c r="R87" s="115">
        <f t="array" ref="R87">IF(
    AND($H87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($H87 / 1000) * R$10 * $BA$4 * 0.25
    ),
    0
)
+
IF(
    $N87 &lt; 0.875,
    MAX(0, MIN(($H87 / 1000) * R$10 * $BA$4, R$11 * 0.876) - (R$11 * $N87)) * 0.25,
    0
)</f>
        <v/>
      </c>
      <c r="S87" s="115">
        <f t="array" ref="S87">IF(
    AND($H87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($H87 / 1000) * S$10 * $BA$4 * 0.25
    ),
    0
)
+
IF(
    $N87 &lt; 0.875,
    MAX(0, MIN(($H87 / 1000) * S$10 * $BA$4, S$11 * 0.876) - (S$11 * $N87)) * 0.25,
    0
)</f>
        <v/>
      </c>
      <c r="T87" s="115">
        <f t="array" ref="T87">IF(
    AND($H87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($H87 / 1000) * T$10 * $BA$4 * 0.25
    ),
    0
)
+
IF(
    $N87 &lt; 0.875,
    MAX(0, MIN(($H87 / 1000) * T$10 * $BA$4, T$11 * 0.876) - (T$11 * $N87)) * 0.25,
    0
)</f>
        <v/>
      </c>
      <c r="U87" s="115">
        <f t="array" ref="U87">IF(
    AND($H87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($H87 / 1000) * U$10 * $BA$4 * 0.25
    ),
    0
)
+
IF(
    $N87 &lt; 0.875,
    MAX(0, MIN(($H87 / 1000) * U$10 * $BA$4, U$11 * 0.876) - (U$11 * $N87)) * 0.25,
    0
)</f>
        <v/>
      </c>
      <c r="V87" s="115">
        <f t="array" ref="V87">IF(
    AND($H87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($H87 / 1000) * V$10 * $BA$4 * 0.25
    ),
    0
)
+
IF(
    $N87 &lt; 0.875,
    MAX(0, MIN(($H87 / 1000) * V$10 * $BA$4, V$11 * 0.876) - (V$11 * $N87)) * 0.25,
    0
)</f>
        <v/>
      </c>
      <c r="W87" s="115">
        <f t="array" ref="W87">IF(
    AND($H87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($H87 / 1000) * W$10 * $BA$4 * 0.25
    ),
    0
)
+
IF(
    $N87 &lt; 0.875,
    MAX(0, MIN(($H87 / 1000) * W$10 * $BA$4, W$11 * 0.876) - (W$11 * $N87)) * 0.25,
    0
)</f>
        <v/>
      </c>
      <c r="X87" s="115">
        <f t="array" ref="X87">IF(
    AND($H87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($H87 / 1000) * X$10 * $BA$4 * 0.25
    ),
    0
)
+
IF(
    $N87 &lt; 0.875,
    MAX(0, MIN(($H87 / 1000) * X$10 * $BA$4, X$11 * 0.876) - (X$11 * $N87)) * 0.25,
    0
)</f>
        <v/>
      </c>
      <c r="Y87" s="115">
        <f t="array" ref="Y87">IF(
    AND($H87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($H87 / 1000) * Y$10 * $BA$4 * 0.25
    ),
    0
)
+
IF(
    $N87 &lt; 0.875,
    MAX(0, MIN(($H87 / 1000) * Y$10 * $BA$4, Y$11 * 0.876) - (Y$11 * $N87)) * 0.25,
    0
)</f>
        <v/>
      </c>
      <c r="Z87" s="115">
        <f t="array" ref="Z87">IF(
    AND($H87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($H87 / 1000) * Z$10 * $BA$4 * 0.25
    ),
    0
)
+
IF(
    $N87 &lt; 0.875,
    MAX(0, MIN(($H87 / 1000) * Z$10 * $BA$4, Z$11 * 0.876) - (Z$11 * $N87)) * 0.25,
    0
)</f>
        <v/>
      </c>
      <c r="AA87" s="116">
        <f>SUM(TabellaMar2026[[#This Row],[Colonna24]:[Colonna20]])</f>
        <v/>
      </c>
      <c r="AB87" s="117">
        <f>IF(
    AND($H87 &gt; $BA$7, Tabella01MarzoInverter[[#This Row],[Active power TX2-INV-1]] &lt;= 0, Tabella01MarzoInverter[[#This Row],[TX2 - Average Power]] &lt;= 0),
    MIN(($H87 / 1000) * AB$10 * $BA$4, AB$11 * 0.876) * 0.25,
    IF(
        AND($H87 &gt; $BA$7, Tabella01MarzoInverter[[#This Row],[Active power TX2-INV-1]] &lt;= 0),
        Tabella01MarzoInverter[[#This Row],[TX2 - Average Power]] * 0.25,
        0
    )
    +
    IF(
        $N87 &lt; 0.875,
        MAX(0, MIN(($H87 / 1000) * AB$10 * $BA$4, AB$11 * 0.876) - (AB$11 * $N87)) * 0.25,
        0
    )
)</f>
        <v/>
      </c>
      <c r="AC87" s="117">
        <f>IF(
    AND($H87 &gt; $BA$7, Tabella01MarzoInverter[[#This Row],[Active power TX2-INV-2]] &lt;= 0, Tabella01MarzoInverter[[#This Row],[TX2 - Max Power]] &lt;= 0),
    MIN(($H87 / 1000) * AC$10 * $BA$4, AC$11 * 0.876) * 0.25,
    IF(
        AND($H87 &gt; $BA$7, Tabella01MarzoInverter[[#This Row],[Active power TX2-INV-2]] &lt;= 0),
        Tabella01MarzoInverter[[#This Row],[TX2 - Max Power]] * 0.25,
        0
    )
    +
    IF(
        $N87 &lt; 0.875,
        MAX(0, MIN(($H87 / 1000) * AC$10 * $BA$4, AC$11 * 0.876) - (AC$11 * $N87)) * 0.25,
        0
    )
)</f>
        <v/>
      </c>
      <c r="AD87" s="117">
        <f>IF(
    AND($H87 &gt; $BA$7, Tabella01MarzoInverter[[#This Row],[Active power TX2-INV-3]] &lt;= 0, Tabella01MarzoInverter[[#This Row],[TX2 - Min Power]] &lt;= 0),
    MIN(($H87 / 1000) * AD$10 * $BA$4, AD$11 * 0.876) * 0.25,
    IF(
        AND($H87 &gt; $BA$7, Tabella01MarzoInverter[[#This Row],[Active power TX2-INV-3]] &lt;= 0),
        Tabella01MarzoInverter[[#This Row],[TX2 - Min Power]] * 0.25,
        0
    )
    +
    IF(
        $N87 &lt; 0.875,
        MAX(0, MIN(($H87 / 1000) * AD$10 * $BA$4, AD$11 * 0.876) - (AD$11 * $N87)) * 0.25,
        0
    )
)</f>
        <v/>
      </c>
      <c r="AE87" s="117">
        <f>IF(
    AND($H87 &gt; $BA$7, Tabella01MarzoInverter[[#This Row],[Active power TX2-INV-4]] &lt;= 0, Tabella01MarzoInverter[[#This Row],[Active power TX3-INV-1]] &lt;= 0),
    MIN(($H87 / 1000) * AE$10 * $BA$4, AE$11 * 0.876) * 0.25,
    IF(
        AND($H87 &gt; $BA$7, Tabella01MarzoInverter[[#This Row],[Active power TX2-INV-4]] &lt;= 0),
        Tabella01MarzoInverter[[#This Row],[Active power TX3-INV-1]] * 0.25,
        0
    )
    +
    IF(
        $N87 &lt; 0.875,
        MAX(0, MIN(($H87 / 1000) * AE$10 * $BA$4, AE$11 * 0.876) - (AE$11 * $N87)) * 0.25,
        0
    )
)</f>
        <v/>
      </c>
      <c r="AF87" s="117">
        <f>IF(
    AND($H87 &gt; $BA$7, Tabella01MarzoInverter[[#This Row],[Active power TX2-INV-5]] &lt;= 0, Tabella01MarzoInverter[[#This Row],[Active power TX3-INV-2]] &lt;= 0),
    MIN(($H87 / 1000) * AF$10 * $BA$4, AF$11 * 0.876) * 0.25,
    IF(
        AND($H87 &gt; $BA$7, Tabella01MarzoInverter[[#This Row],[Active power TX2-INV-5]] &lt;= 0),
        Tabella01MarzoInverter[[#This Row],[Active power TX3-INV-2]] * 0.25,
        0
    )
    +
    IF(
        $N87 &lt; 0.875,
        MAX(0, MIN(($H87 / 1000) * AF$10 * $BA$4, AF$11 * 0.876) - (AF$11 * $N87)) * 0.25,
        0
    )
)</f>
        <v/>
      </c>
      <c r="AG87" s="117">
        <f>IF(
    AND($H87 &gt; $BA$7, Tabella01MarzoInverter[[#This Row],[Active power TX2-INV-6]] &lt;= 0, Tabella01MarzoInverter[[#This Row],[Active power TX3-INV-3]] &lt;= 0),
    MIN(($H87 / 1000) * AG$10 * $BA$4, AG$11 * 0.876) * 0.25,
    IF(
        AND($H87 &gt; $BA$7, Tabella01MarzoInverter[[#This Row],[Active power TX2-INV-6]] &lt;= 0),
        Tabella01MarzoInverter[[#This Row],[Active power TX3-INV-3]] * 0.25,
        0
    )
    +
    IF(
        $N87 &lt; 0.875,
        MAX(0, MIN(($H87 / 1000) * AG$10 * $BA$4, AG$11 * 0.876) - (AG$11 * $N87)) * 0.25,
        0
    )
)</f>
        <v/>
      </c>
      <c r="AH87" s="117">
        <f>IF(
    AND($H87 &gt; $BA$7, Tabella01MarzoInverter[[#This Row],[Active power TX2-INV-7]] &lt;= 0, Tabella01MarzoInverter[[#This Row],[Active power TX3-INV-4]] &lt;= 0),
    MIN(($H87 / 1000) * AH$10 * $BA$4, AH$11 * 0.876) * 0.25,
    IF(
        AND($H87 &gt; $BA$7, Tabella01MarzoInverter[[#This Row],[Active power TX2-INV-7]] &lt;= 0),
        Tabella01MarzoInverter[[#This Row],[Active power TX3-INV-4]] * 0.25,
        0
    )
    +
    IF(
        $N87 &lt; 0.875,
        MAX(0, MIN(($H87 / 1000) * AH$10 * $BA$4, AH$11 * 0.876) - (AH$11 * $N87)) * 0.25,
        0
    )
)</f>
        <v/>
      </c>
      <c r="AI87" s="117">
        <f>IF(
    AND($H87 &gt; $BA$7, Tabella01MarzoInverter[[#This Row],[Active power TX2-INV-8]] &lt;= 0, Tabella01MarzoInverter[[#This Row],[Active power TX3-INV-5]] &lt;= 0),
    MIN(($H87 / 1000) * AI$10 * $BA$4, AI$11 * 0.876) * 0.25,
    IF(
        AND($H87 &gt; $BA$7, Tabella01MarzoInverter[[#This Row],[Active power TX2-INV-8]] &lt;= 0),
        Tabella01MarzoInverter[[#This Row],[Active power TX3-INV-5]] * 0.25,
        0
    )
    +
    IF(
        $N87 &lt; 0.875,
        MAX(0, MIN(($H87 / 1000) * AI$10 * $BA$4, AI$11 * 0.876) - (AI$11 * $N87)) * 0.25,
        0
    )
)</f>
        <v/>
      </c>
      <c r="AJ87" s="117">
        <f>IF(
    AND($H87 &gt; $BA$7, Tabella01MarzoInverter[[#This Row],[Active power TX2-INV-9]] &lt;= 0, Tabella01MarzoInverter[[#This Row],[Active power TX3-INV-6]] &lt;= 0),
    MIN(($H87 / 1000) * AJ$10 * $BA$4, AJ$11 * 0.876) * 0.25,
    IF(
        AND($H87 &gt; $BA$7, Tabella01MarzoInverter[[#This Row],[Active power TX2-INV-9]] &lt;= 0),
        Tabella01MarzoInverter[[#This Row],[Active power TX3-INV-6]] * 0.25,
        0
    )
    +
    IF(
        $N87 &lt; 0.875,
        MAX(0, MIN(($H87 / 1000) * AJ$10 * $BA$4, AJ$11 * 0.876) - (AJ$11 * $N87)) * 0.25,
        0
    )
)</f>
        <v/>
      </c>
      <c r="AK87" s="117">
        <f>IF(
    AND($H87 &gt; $BA$7, Tabella01MarzoInverter[[#This Row],[Active power TX2-INV-10]] &lt;= 0, Tabella01MarzoInverter[[#This Row],[Active power TX3-INV-7]] &lt;= 0),
    MIN(($H87 / 1000) * AK$10 * $BA$4, AK$11 * 0.876) * 0.25,
    IF(
        AND($H87 &gt; $BA$7, Tabella01MarzoInverter[[#This Row],[Active power TX2-INV-10]] &lt;= 0),
        Tabella01MarzoInverter[[#This Row],[Active power TX3-INV-7]] * 0.25,
        0
    )
    +
    IF(
        $N87 &lt; 0.875,
        MAX(0, MIN(($H87 / 1000) * AK$10 * $BA$4, AK$11 * 0.876) - (AK$11 * $N87)) * 0.25,
        0
    )
)</f>
        <v/>
      </c>
      <c r="AL87" s="117">
        <f>IF(
    AND($H87 &gt; $BA$7, Tabella01MarzoInverter[[#This Row],[Active power TX2-INV-11]] &lt;= 0, Tabella01MarzoInverter[[#This Row],[Active power TX3-INV-8]] &lt;= 0),
    MIN(($H87 / 1000) * AL$10 * $BA$4, AL$11 * 0.876) * 0.25,
    IF(
        AND($H87 &gt; $BA$7, Tabella01MarzoInverter[[#This Row],[Active power TX2-INV-11]] &lt;= 0),
        Tabella01MarzoInverter[[#This Row],[Active power TX3-INV-8]] * 0.25,
        0
    )
    +
    IF(
        $N87 &lt; 0.875,
        MAX(0, MIN(($H87 / 1000) * AL$10 * $BA$4, AL$11 * 0.876) - (AL$11 * $N87)) * 0.25,
        0
    )
)</f>
        <v/>
      </c>
      <c r="AM87" s="117">
        <f>IF(
    AND($H87 &gt; $BA$7, Tabella01MarzoInverter[[#This Row],[Active power TX2-INV-12]] &lt;= 0, Tabella01MarzoInverter[[#This Row],[Active power TX3-INV-9]] &lt;= 0),
    MIN(($H87 / 1000) * AM$10 * $BA$4, AM$11 * 0.876) * 0.25,
    IF(
        AND($H87 &gt; $BA$7, Tabella01MarzoInverter[[#This Row],[Active power TX2-INV-12]] &lt;= 0),
        Tabella01MarzoInverter[[#This Row],[Active power TX3-INV-9]] * 0.25,
        0
    )
    +
    IF(
        $N87 &lt; 0.875,
        MAX(0, MIN(($H87 / 1000) * AM$10 * $BA$4, AM$11 * 0.876) - (AM$11 * $N87)) * 0.25,
        0
    )
)</f>
        <v/>
      </c>
      <c r="AN87" s="118">
        <f>SUM(TabellaMar2026[[#This Row],[Colonna39]:[Colonna6]])</f>
        <v/>
      </c>
      <c r="AO87" s="117">
        <f t="array" ref="AO87">IF(
    AND($H87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($H87 / 1000) * AO$10 * $BA$4 * 0.25
    ),
    0
)
+
IF(
    $N87 &lt; 0.875,
    MAX(0, MIN(($H87 / 1000) * AO$10 * $BA$4, AO$11 * 0.876) - (AO$11 * $N87)) * 0.25,
    0
)</f>
        <v/>
      </c>
      <c r="AP87" s="117">
        <f t="array" ref="AP87">IF(
    AND($H87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($H87 / 1000) * AP$10 * $BA$4 * 0.25
    ),
    0
)
+
IF(
    $N87 &lt; 0.875,
    MAX(0, MIN(($H87 / 1000) * AP$10 * $BA$4, AP$11 * 0.876) - (AP$11 * $N87)) * 0.25,
    0
)</f>
        <v/>
      </c>
      <c r="AQ87" s="117">
        <f t="array" ref="AQ87">IF(
    AND($H87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($H87 / 1000) * AQ$10 * $BA$4 * 0.25
    ),
    0
)
+
IF(
    $N87 &lt; 0.875,
    MAX(0, MIN(($H87 / 1000) * AQ$10 * $BA$4, AQ$11 * 0.876) - (AQ$11 * $N87)) * 0.25,
    0
)</f>
        <v/>
      </c>
      <c r="AR87" s="117">
        <f t="array" ref="AR87">IF(
    AND($H87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($H87 / 1000) * AR$10 * $BA$4 * 0.25
    ),
    0
)
+
IF(
    $N87 &lt; 0.875,
    MAX(0, MIN(($H87 / 1000) * AR$10 * $BA$4, AR$11 * 0.876) - (AR$11 * $N87)) * 0.25,
    0
)</f>
        <v/>
      </c>
      <c r="AS87" s="117">
        <f t="array" ref="AS87">IF(
    AND($H87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($H87 / 1000) * AS$10 * $BA$4 * 0.25
    ),
    0
)
+
IF(
    $N87 &lt; 0.875,
    MAX(0, MIN(($H87 / 1000) * AS$10 * $BA$4, AS$11 * 0.876) - (AS$11 * $N87)) * 0.25,
    0
)</f>
        <v/>
      </c>
      <c r="AT87" s="117">
        <f t="array" ref="AT87">IF(
    AND($H87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($H87 / 1000) * AT$10 * $BA$4 * 0.25
    ),
    0
)
+
IF(
    $N87 &lt; 0.875,
    MAX(0, MIN(($H87 / 1000) * AT$10 * $BA$4, AT$11 * 0.876) - (AT$11 * $N87)) * 0.25,
    0
)</f>
        <v/>
      </c>
      <c r="AU87" s="117">
        <f t="array" ref="AU87">IF(
    AND($H87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($H87 / 1000) * AU$10 * $BA$4 * 0.25
    ),
    0
)
+
IF(
    $N87 &lt; 0.875,
    MAX(0, MIN(($H87 / 1000) * AU$10 * $BA$4, AU$11 * 0.876) - (AU$11 * $N87)) * 0.25,
    0
)</f>
        <v/>
      </c>
      <c r="AV87" s="117">
        <f t="array" ref="AV87">IF(
    AND($H87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($H87 / 1000) * AV$10 * $BA$4 * 0.25
    ),
    0
)
+
IF(
    $N87 &lt; 0.875,
    MAX(0, MIN(($H87 / 1000) * AV$10 * $BA$4, AV$11 * 0.876) - (AV$11 * $N87)) * 0.25,
    0
)</f>
        <v/>
      </c>
      <c r="AW87" s="117">
        <f t="array" ref="AW87">IF(
    AND($H87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($H87 / 1000) * AW$10 * $BA$4 * 0.25
    ),
    0
)
+
IF(
    $N87 &lt; 0.875,
    MAX(0, MIN(($H87 / 1000) * AW$10 * $BA$4, AW$11 * 0.876) - (AW$11 * $N87)) * 0.25,
    0
)</f>
        <v/>
      </c>
      <c r="AX87" s="117">
        <f t="array" ref="AX87">IF(
    AND($H87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($H87 / 1000) * AX$10 * $BA$4 * 0.25
    ),
    0
)
+
IF(
    $N87 &lt; 0.875,
    MAX(0, MIN(($H87 / 1000) * AX$10 * $BA$4, AX$11 * 0.876) - (AX$11 * $N87)) * 0.25,
    0
)</f>
        <v/>
      </c>
      <c r="AY87" s="117">
        <f t="array" ref="AY87">IF(
    AND($H87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($H87 / 1000) * AY$10 * $BA$4 * 0.25
    ),
    0
)
+
IF(
    $N87 &lt; 0.875,
    MAX(0, MIN(($H87 / 1000) * AY$10 * $BA$4, AY$11 * 0.876) - (AY$11 * $N87)) * 0.25,
    0
)</f>
        <v/>
      </c>
      <c r="AZ87" s="117">
        <f t="array" ref="AZ87">IF(
    AND($H87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($H87 / 1000) * AZ$10 * $BA$4 * 0.25
    ),
    0
)
+
IF(
    $N87 &lt; 0.875,
    MAX(0, MIN(($H87 / 1000) * AZ$10 * $BA$4, AZ$11 * 0.876) - (AZ$11 * $N87)) * 0.25,
    0
)</f>
        <v/>
      </c>
      <c r="BA87" s="119">
        <f>SUM(TabellaMar2026[[#This Row],[Colonna54]:[Colonna53]])</f>
        <v/>
      </c>
    </row>
    <row r="88">
      <c r="A88" s="112" t="n">
        <v>46143</v>
      </c>
      <c r="B88" t="inlineStr">
        <is>
          <t>18:15:00.000</t>
        </is>
      </c>
      <c r="C88" s="2" t="n">
        <v>479.2</v>
      </c>
      <c r="D88" s="113" t="n">
        <v>0.1198</v>
      </c>
      <c r="E88" s="113" t="n">
        <v>548.8</v>
      </c>
      <c r="F88" s="113" t="n">
        <v>0.1372</v>
      </c>
      <c r="G88" s="113">
        <f>IFERROR((D88+F88)/2, 0)</f>
        <v/>
      </c>
      <c r="H88" s="114">
        <f>IFERROR(IF(AVERAGE(C88,E88)&gt;$BA$7,AVERAGE(C88,E88),0), 0)</f>
        <v/>
      </c>
      <c r="I88" s="114">
        <f>IFERROR(IF(AND(D88=0,F88=0),0,IF(H88&gt;$BA$6,MAX(D88,F88),G88)), 0)</f>
        <v/>
      </c>
      <c r="J88" s="113">
        <f>IFERROR(IF(AND(D88&gt;0,F88&gt;0),ABS(D88-F88)/AVERAGE(D88,F88),0), 0)</f>
        <v/>
      </c>
      <c r="K88" s="113" t="n">
        <v>30136.2</v>
      </c>
      <c r="L88" s="113" t="n">
        <v>30137.8</v>
      </c>
      <c r="M88" s="115">
        <f>IFERROR((L88-K88)*1000, 0)</f>
        <v/>
      </c>
      <c r="N88" s="113" t="n">
        <v>0.8759999999999999</v>
      </c>
      <c r="O88" s="115">
        <f t="array" ref="O88">IF(
    AND($H88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($H88 / 1000) * O$10 * $BA$4 * 0.25
    ),
    0
)
+
IF(
    $N88 &lt; 0.875,
    MAX(0, MIN(($H88 / 1000) * O$10 * $BA$4, O$11 * 0.876) - (O$11 * $N88)) * 0.25,
    0
)</f>
        <v/>
      </c>
      <c r="P88" s="115">
        <f t="array" ref="P88">IF(
    AND($H88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($H88 / 1000) * P$10 * $BA$4 * 0.25
    ),
    0
)
+
IF(
    $N88 &lt; 0.875,
    MAX(0, MIN(($H88 / 1000) * P$10 * $BA$4, P$11 * 0.876) - (P$11 * $N88)) * 0.25,
    0
)</f>
        <v/>
      </c>
      <c r="Q88" s="115">
        <f t="array" ref="Q88">IF(
    AND($H88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($H88 / 1000) * Q$10 * $BA$4 * 0.25
    ),
    0
)
+
IF(
    $N88 &lt; 0.875,
    MAX(0, MIN(($H88 / 1000) * Q$10 * $BA$4, Q$11 * 0.876) - (Q$11 * $N88)) * 0.25,
    0
)</f>
        <v/>
      </c>
      <c r="R88" s="115">
        <f t="array" ref="R88">IF(
    AND($H88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($H88 / 1000) * R$10 * $BA$4 * 0.25
    ),
    0
)
+
IF(
    $N88 &lt; 0.875,
    MAX(0, MIN(($H88 / 1000) * R$10 * $BA$4, R$11 * 0.876) - (R$11 * $N88)) * 0.25,
    0
)</f>
        <v/>
      </c>
      <c r="S88" s="115">
        <f t="array" ref="S88">IF(
    AND($H88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($H88 / 1000) * S$10 * $BA$4 * 0.25
    ),
    0
)
+
IF(
    $N88 &lt; 0.875,
    MAX(0, MIN(($H88 / 1000) * S$10 * $BA$4, S$11 * 0.876) - (S$11 * $N88)) * 0.25,
    0
)</f>
        <v/>
      </c>
      <c r="T88" s="115">
        <f t="array" ref="T88">IF(
    AND($H88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($H88 / 1000) * T$10 * $BA$4 * 0.25
    ),
    0
)
+
IF(
    $N88 &lt; 0.875,
    MAX(0, MIN(($H88 / 1000) * T$10 * $BA$4, T$11 * 0.876) - (T$11 * $N88)) * 0.25,
    0
)</f>
        <v/>
      </c>
      <c r="U88" s="115">
        <f t="array" ref="U88">IF(
    AND($H88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($H88 / 1000) * U$10 * $BA$4 * 0.25
    ),
    0
)
+
IF(
    $N88 &lt; 0.875,
    MAX(0, MIN(($H88 / 1000) * U$10 * $BA$4, U$11 * 0.876) - (U$11 * $N88)) * 0.25,
    0
)</f>
        <v/>
      </c>
      <c r="V88" s="115">
        <f t="array" ref="V88">IF(
    AND($H88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($H88 / 1000) * V$10 * $BA$4 * 0.25
    ),
    0
)
+
IF(
    $N88 &lt; 0.875,
    MAX(0, MIN(($H88 / 1000) * V$10 * $BA$4, V$11 * 0.876) - (V$11 * $N88)) * 0.25,
    0
)</f>
        <v/>
      </c>
      <c r="W88" s="115">
        <f t="array" ref="W88">IF(
    AND($H88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($H88 / 1000) * W$10 * $BA$4 * 0.25
    ),
    0
)
+
IF(
    $N88 &lt; 0.875,
    MAX(0, MIN(($H88 / 1000) * W$10 * $BA$4, W$11 * 0.876) - (W$11 * $N88)) * 0.25,
    0
)</f>
        <v/>
      </c>
      <c r="X88" s="115">
        <f t="array" ref="X88">IF(
    AND($H88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($H88 / 1000) * X$10 * $BA$4 * 0.25
    ),
    0
)
+
IF(
    $N88 &lt; 0.875,
    MAX(0, MIN(($H88 / 1000) * X$10 * $BA$4, X$11 * 0.876) - (X$11 * $N88)) * 0.25,
    0
)</f>
        <v/>
      </c>
      <c r="Y88" s="115">
        <f t="array" ref="Y88">IF(
    AND($H88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($H88 / 1000) * Y$10 * $BA$4 * 0.25
    ),
    0
)
+
IF(
    $N88 &lt; 0.875,
    MAX(0, MIN(($H88 / 1000) * Y$10 * $BA$4, Y$11 * 0.876) - (Y$11 * $N88)) * 0.25,
    0
)</f>
        <v/>
      </c>
      <c r="Z88" s="115">
        <f t="array" ref="Z88">IF(
    AND($H88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($H88 / 1000) * Z$10 * $BA$4 * 0.25
    ),
    0
)
+
IF(
    $N88 &lt; 0.875,
    MAX(0, MIN(($H88 / 1000) * Z$10 * $BA$4, Z$11 * 0.876) - (Z$11 * $N88)) * 0.25,
    0
)</f>
        <v/>
      </c>
      <c r="AA88" s="116">
        <f>SUM(TabellaMar2026[[#This Row],[Colonna24]:[Colonna20]])</f>
        <v/>
      </c>
      <c r="AB88" s="117">
        <f>IF(
    AND($H88 &gt; $BA$7, Tabella01MarzoInverter[[#This Row],[Active power TX2-INV-1]] &lt;= 0, Tabella01MarzoInverter[[#This Row],[TX2 - Average Power]] &lt;= 0),
    MIN(($H88 / 1000) * AB$10 * $BA$4, AB$11 * 0.876) * 0.25,
    IF(
        AND($H88 &gt; $BA$7, Tabella01MarzoInverter[[#This Row],[Active power TX2-INV-1]] &lt;= 0),
        Tabella01MarzoInverter[[#This Row],[TX2 - Average Power]] * 0.25,
        0
    )
    +
    IF(
        $N88 &lt; 0.875,
        MAX(0, MIN(($H88 / 1000) * AB$10 * $BA$4, AB$11 * 0.876) - (AB$11 * $N88)) * 0.25,
        0
    )
)</f>
        <v/>
      </c>
      <c r="AC88" s="117">
        <f>IF(
    AND($H88 &gt; $BA$7, Tabella01MarzoInverter[[#This Row],[Active power TX2-INV-2]] &lt;= 0, Tabella01MarzoInverter[[#This Row],[TX2 - Max Power]] &lt;= 0),
    MIN(($H88 / 1000) * AC$10 * $BA$4, AC$11 * 0.876) * 0.25,
    IF(
        AND($H88 &gt; $BA$7, Tabella01MarzoInverter[[#This Row],[Active power TX2-INV-2]] &lt;= 0),
        Tabella01MarzoInverter[[#This Row],[TX2 - Max Power]] * 0.25,
        0
    )
    +
    IF(
        $N88 &lt; 0.875,
        MAX(0, MIN(($H88 / 1000) * AC$10 * $BA$4, AC$11 * 0.876) - (AC$11 * $N88)) * 0.25,
        0
    )
)</f>
        <v/>
      </c>
      <c r="AD88" s="117">
        <f>IF(
    AND($H88 &gt; $BA$7, Tabella01MarzoInverter[[#This Row],[Active power TX2-INV-3]] &lt;= 0, Tabella01MarzoInverter[[#This Row],[TX2 - Min Power]] &lt;= 0),
    MIN(($H88 / 1000) * AD$10 * $BA$4, AD$11 * 0.876) * 0.25,
    IF(
        AND($H88 &gt; $BA$7, Tabella01MarzoInverter[[#This Row],[Active power TX2-INV-3]] &lt;= 0),
        Tabella01MarzoInverter[[#This Row],[TX2 - Min Power]] * 0.25,
        0
    )
    +
    IF(
        $N88 &lt; 0.875,
        MAX(0, MIN(($H88 / 1000) * AD$10 * $BA$4, AD$11 * 0.876) - (AD$11 * $N88)) * 0.25,
        0
    )
)</f>
        <v/>
      </c>
      <c r="AE88" s="117">
        <f>IF(
    AND($H88 &gt; $BA$7, Tabella01MarzoInverter[[#This Row],[Active power TX2-INV-4]] &lt;= 0, Tabella01MarzoInverter[[#This Row],[Active power TX3-INV-1]] &lt;= 0),
    MIN(($H88 / 1000) * AE$10 * $BA$4, AE$11 * 0.876) * 0.25,
    IF(
        AND($H88 &gt; $BA$7, Tabella01MarzoInverter[[#This Row],[Active power TX2-INV-4]] &lt;= 0),
        Tabella01MarzoInverter[[#This Row],[Active power TX3-INV-1]] * 0.25,
        0
    )
    +
    IF(
        $N88 &lt; 0.875,
        MAX(0, MIN(($H88 / 1000) * AE$10 * $BA$4, AE$11 * 0.876) - (AE$11 * $N88)) * 0.25,
        0
    )
)</f>
        <v/>
      </c>
      <c r="AF88" s="117">
        <f>IF(
    AND($H88 &gt; $BA$7, Tabella01MarzoInverter[[#This Row],[Active power TX2-INV-5]] &lt;= 0, Tabella01MarzoInverter[[#This Row],[Active power TX3-INV-2]] &lt;= 0),
    MIN(($H88 / 1000) * AF$10 * $BA$4, AF$11 * 0.876) * 0.25,
    IF(
        AND($H88 &gt; $BA$7, Tabella01MarzoInverter[[#This Row],[Active power TX2-INV-5]] &lt;= 0),
        Tabella01MarzoInverter[[#This Row],[Active power TX3-INV-2]] * 0.25,
        0
    )
    +
    IF(
        $N88 &lt; 0.875,
        MAX(0, MIN(($H88 / 1000) * AF$10 * $BA$4, AF$11 * 0.876) - (AF$11 * $N88)) * 0.25,
        0
    )
)</f>
        <v/>
      </c>
      <c r="AG88" s="117">
        <f>IF(
    AND($H88 &gt; $BA$7, Tabella01MarzoInverter[[#This Row],[Active power TX2-INV-6]] &lt;= 0, Tabella01MarzoInverter[[#This Row],[Active power TX3-INV-3]] &lt;= 0),
    MIN(($H88 / 1000) * AG$10 * $BA$4, AG$11 * 0.876) * 0.25,
    IF(
        AND($H88 &gt; $BA$7, Tabella01MarzoInverter[[#This Row],[Active power TX2-INV-6]] &lt;= 0),
        Tabella01MarzoInverter[[#This Row],[Active power TX3-INV-3]] * 0.25,
        0
    )
    +
    IF(
        $N88 &lt; 0.875,
        MAX(0, MIN(($H88 / 1000) * AG$10 * $BA$4, AG$11 * 0.876) - (AG$11 * $N88)) * 0.25,
        0
    )
)</f>
        <v/>
      </c>
      <c r="AH88" s="117">
        <f>IF(
    AND($H88 &gt; $BA$7, Tabella01MarzoInverter[[#This Row],[Active power TX2-INV-7]] &lt;= 0, Tabella01MarzoInverter[[#This Row],[Active power TX3-INV-4]] &lt;= 0),
    MIN(($H88 / 1000) * AH$10 * $BA$4, AH$11 * 0.876) * 0.25,
    IF(
        AND($H88 &gt; $BA$7, Tabella01MarzoInverter[[#This Row],[Active power TX2-INV-7]] &lt;= 0),
        Tabella01MarzoInverter[[#This Row],[Active power TX3-INV-4]] * 0.25,
        0
    )
    +
    IF(
        $N88 &lt; 0.875,
        MAX(0, MIN(($H88 / 1000) * AH$10 * $BA$4, AH$11 * 0.876) - (AH$11 * $N88)) * 0.25,
        0
    )
)</f>
        <v/>
      </c>
      <c r="AI88" s="117">
        <f>IF(
    AND($H88 &gt; $BA$7, Tabella01MarzoInverter[[#This Row],[Active power TX2-INV-8]] &lt;= 0, Tabella01MarzoInverter[[#This Row],[Active power TX3-INV-5]] &lt;= 0),
    MIN(($H88 / 1000) * AI$10 * $BA$4, AI$11 * 0.876) * 0.25,
    IF(
        AND($H88 &gt; $BA$7, Tabella01MarzoInverter[[#This Row],[Active power TX2-INV-8]] &lt;= 0),
        Tabella01MarzoInverter[[#This Row],[Active power TX3-INV-5]] * 0.25,
        0
    )
    +
    IF(
        $N88 &lt; 0.875,
        MAX(0, MIN(($H88 / 1000) * AI$10 * $BA$4, AI$11 * 0.876) - (AI$11 * $N88)) * 0.25,
        0
    )
)</f>
        <v/>
      </c>
      <c r="AJ88" s="117">
        <f>IF(
    AND($H88 &gt; $BA$7, Tabella01MarzoInverter[[#This Row],[Active power TX2-INV-9]] &lt;= 0, Tabella01MarzoInverter[[#This Row],[Active power TX3-INV-6]] &lt;= 0),
    MIN(($H88 / 1000) * AJ$10 * $BA$4, AJ$11 * 0.876) * 0.25,
    IF(
        AND($H88 &gt; $BA$7, Tabella01MarzoInverter[[#This Row],[Active power TX2-INV-9]] &lt;= 0),
        Tabella01MarzoInverter[[#This Row],[Active power TX3-INV-6]] * 0.25,
        0
    )
    +
    IF(
        $N88 &lt; 0.875,
        MAX(0, MIN(($H88 / 1000) * AJ$10 * $BA$4, AJ$11 * 0.876) - (AJ$11 * $N88)) * 0.25,
        0
    )
)</f>
        <v/>
      </c>
      <c r="AK88" s="117">
        <f>IF(
    AND($H88 &gt; $BA$7, Tabella01MarzoInverter[[#This Row],[Active power TX2-INV-10]] &lt;= 0, Tabella01MarzoInverter[[#This Row],[Active power TX3-INV-7]] &lt;= 0),
    MIN(($H88 / 1000) * AK$10 * $BA$4, AK$11 * 0.876) * 0.25,
    IF(
        AND($H88 &gt; $BA$7, Tabella01MarzoInverter[[#This Row],[Active power TX2-INV-10]] &lt;= 0),
        Tabella01MarzoInverter[[#This Row],[Active power TX3-INV-7]] * 0.25,
        0
    )
    +
    IF(
        $N88 &lt; 0.875,
        MAX(0, MIN(($H88 / 1000) * AK$10 * $BA$4, AK$11 * 0.876) - (AK$11 * $N88)) * 0.25,
        0
    )
)</f>
        <v/>
      </c>
      <c r="AL88" s="117">
        <f>IF(
    AND($H88 &gt; $BA$7, Tabella01MarzoInverter[[#This Row],[Active power TX2-INV-11]] &lt;= 0, Tabella01MarzoInverter[[#This Row],[Active power TX3-INV-8]] &lt;= 0),
    MIN(($H88 / 1000) * AL$10 * $BA$4, AL$11 * 0.876) * 0.25,
    IF(
        AND($H88 &gt; $BA$7, Tabella01MarzoInverter[[#This Row],[Active power TX2-INV-11]] &lt;= 0),
        Tabella01MarzoInverter[[#This Row],[Active power TX3-INV-8]] * 0.25,
        0
    )
    +
    IF(
        $N88 &lt; 0.875,
        MAX(0, MIN(($H88 / 1000) * AL$10 * $BA$4, AL$11 * 0.876) - (AL$11 * $N88)) * 0.25,
        0
    )
)</f>
        <v/>
      </c>
      <c r="AM88" s="117">
        <f>IF(
    AND($H88 &gt; $BA$7, Tabella01MarzoInverter[[#This Row],[Active power TX2-INV-12]] &lt;= 0, Tabella01MarzoInverter[[#This Row],[Active power TX3-INV-9]] &lt;= 0),
    MIN(($H88 / 1000) * AM$10 * $BA$4, AM$11 * 0.876) * 0.25,
    IF(
        AND($H88 &gt; $BA$7, Tabella01MarzoInverter[[#This Row],[Active power TX2-INV-12]] &lt;= 0),
        Tabella01MarzoInverter[[#This Row],[Active power TX3-INV-9]] * 0.25,
        0
    )
    +
    IF(
        $N88 &lt; 0.875,
        MAX(0, MIN(($H88 / 1000) * AM$10 * $BA$4, AM$11 * 0.876) - (AM$11 * $N88)) * 0.25,
        0
    )
)</f>
        <v/>
      </c>
      <c r="AN88" s="118">
        <f>SUM(TabellaMar2026[[#This Row],[Colonna39]:[Colonna6]])</f>
        <v/>
      </c>
      <c r="AO88" s="117">
        <f t="array" ref="AO88">IF(
    AND($H88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($H88 / 1000) * AO$10 * $BA$4 * 0.25
    ),
    0
)
+
IF(
    $N88 &lt; 0.875,
    MAX(0, MIN(($H88 / 1000) * AO$10 * $BA$4, AO$11 * 0.876) - (AO$11 * $N88)) * 0.25,
    0
)</f>
        <v/>
      </c>
      <c r="AP88" s="117">
        <f t="array" ref="AP88">IF(
    AND($H88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($H88 / 1000) * AP$10 * $BA$4 * 0.25
    ),
    0
)
+
IF(
    $N88 &lt; 0.875,
    MAX(0, MIN(($H88 / 1000) * AP$10 * $BA$4, AP$11 * 0.876) - (AP$11 * $N88)) * 0.25,
    0
)</f>
        <v/>
      </c>
      <c r="AQ88" s="117">
        <f t="array" ref="AQ88">IF(
    AND($H88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($H88 / 1000) * AQ$10 * $BA$4 * 0.25
    ),
    0
)
+
IF(
    $N88 &lt; 0.875,
    MAX(0, MIN(($H88 / 1000) * AQ$10 * $BA$4, AQ$11 * 0.876) - (AQ$11 * $N88)) * 0.25,
    0
)</f>
        <v/>
      </c>
      <c r="AR88" s="117">
        <f t="array" ref="AR88">IF(
    AND($H88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($H88 / 1000) * AR$10 * $BA$4 * 0.25
    ),
    0
)
+
IF(
    $N88 &lt; 0.875,
    MAX(0, MIN(($H88 / 1000) * AR$10 * $BA$4, AR$11 * 0.876) - (AR$11 * $N88)) * 0.25,
    0
)</f>
        <v/>
      </c>
      <c r="AS88" s="117">
        <f t="array" ref="AS88">IF(
    AND($H88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($H88 / 1000) * AS$10 * $BA$4 * 0.25
    ),
    0
)
+
IF(
    $N88 &lt; 0.875,
    MAX(0, MIN(($H88 / 1000) * AS$10 * $BA$4, AS$11 * 0.876) - (AS$11 * $N88)) * 0.25,
    0
)</f>
        <v/>
      </c>
      <c r="AT88" s="117">
        <f t="array" ref="AT88">IF(
    AND($H88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($H88 / 1000) * AT$10 * $BA$4 * 0.25
    ),
    0
)
+
IF(
    $N88 &lt; 0.875,
    MAX(0, MIN(($H88 / 1000) * AT$10 * $BA$4, AT$11 * 0.876) - (AT$11 * $N88)) * 0.25,
    0
)</f>
        <v/>
      </c>
      <c r="AU88" s="117">
        <f t="array" ref="AU88">IF(
    AND($H88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($H88 / 1000) * AU$10 * $BA$4 * 0.25
    ),
    0
)
+
IF(
    $N88 &lt; 0.875,
    MAX(0, MIN(($H88 / 1000) * AU$10 * $BA$4, AU$11 * 0.876) - (AU$11 * $N88)) * 0.25,
    0
)</f>
        <v/>
      </c>
      <c r="AV88" s="117">
        <f t="array" ref="AV88">IF(
    AND($H88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($H88 / 1000) * AV$10 * $BA$4 * 0.25
    ),
    0
)
+
IF(
    $N88 &lt; 0.875,
    MAX(0, MIN(($H88 / 1000) * AV$10 * $BA$4, AV$11 * 0.876) - (AV$11 * $N88)) * 0.25,
    0
)</f>
        <v/>
      </c>
      <c r="AW88" s="117">
        <f t="array" ref="AW88">IF(
    AND($H88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($H88 / 1000) * AW$10 * $BA$4 * 0.25
    ),
    0
)
+
IF(
    $N88 &lt; 0.875,
    MAX(0, MIN(($H88 / 1000) * AW$10 * $BA$4, AW$11 * 0.876) - (AW$11 * $N88)) * 0.25,
    0
)</f>
        <v/>
      </c>
      <c r="AX88" s="117">
        <f t="array" ref="AX88">IF(
    AND($H88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($H88 / 1000) * AX$10 * $BA$4 * 0.25
    ),
    0
)
+
IF(
    $N88 &lt; 0.875,
    MAX(0, MIN(($H88 / 1000) * AX$10 * $BA$4, AX$11 * 0.876) - (AX$11 * $N88)) * 0.25,
    0
)</f>
        <v/>
      </c>
      <c r="AY88" s="117">
        <f t="array" ref="AY88">IF(
    AND($H88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($H88 / 1000) * AY$10 * $BA$4 * 0.25
    ),
    0
)
+
IF(
    $N88 &lt; 0.875,
    MAX(0, MIN(($H88 / 1000) * AY$10 * $BA$4, AY$11 * 0.876) - (AY$11 * $N88)) * 0.25,
    0
)</f>
        <v/>
      </c>
      <c r="AZ88" s="117">
        <f t="array" ref="AZ88">IF(
    AND($H88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($H88 / 1000) * AZ$10 * $BA$4 * 0.25
    ),
    0
)
+
IF(
    $N88 &lt; 0.875,
    MAX(0, MIN(($H88 / 1000) * AZ$10 * $BA$4, AZ$11 * 0.876) - (AZ$11 * $N88)) * 0.25,
    0
)</f>
        <v/>
      </c>
      <c r="BA88" s="119">
        <f>SUM(TabellaMar2026[[#This Row],[Colonna54]:[Colonna53]])</f>
        <v/>
      </c>
    </row>
    <row r="89">
      <c r="A89" s="112" t="n">
        <v>46143</v>
      </c>
      <c r="B89" t="inlineStr">
        <is>
          <t>18:30:00.000</t>
        </is>
      </c>
      <c r="C89" s="2" t="n">
        <v>373</v>
      </c>
      <c r="D89" s="113" t="n">
        <v>0.09325</v>
      </c>
      <c r="E89" s="113" t="n">
        <v>441.3</v>
      </c>
      <c r="F89" s="113" t="n">
        <v>0.110325</v>
      </c>
      <c r="G89" s="113">
        <f>IFERROR((D89+F89)/2, 0)</f>
        <v/>
      </c>
      <c r="H89" s="114">
        <f>IFERROR(IF(AVERAGE(C89,E89)&gt;$BA$7,AVERAGE(C89,E89),0), 0)</f>
        <v/>
      </c>
      <c r="I89" s="114">
        <f>IFERROR(IF(AND(D89=0,F89=0),0,IF(H89&gt;$BA$6,MAX(D89,F89),G89)), 0)</f>
        <v/>
      </c>
      <c r="J89" s="113">
        <f>IFERROR(IF(AND(D89&gt;0,F89&gt;0),ABS(D89-F89)/AVERAGE(D89,F89),0), 0)</f>
        <v/>
      </c>
      <c r="K89" s="113" t="n">
        <v>30137.8</v>
      </c>
      <c r="L89" s="113" t="n">
        <v>30139.1</v>
      </c>
      <c r="M89" s="115">
        <f>IFERROR((L89-K89)*1000, 0)</f>
        <v/>
      </c>
      <c r="N89" s="113" t="n">
        <v>0.8759999999999999</v>
      </c>
      <c r="O89" s="115">
        <f t="array" ref="O89">IF(
    AND($H89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($H89 / 1000) * O$10 * $BA$4 * 0.25
    ),
    0
)
+
IF(
    $N89 &lt; 0.875,
    MAX(0, MIN(($H89 / 1000) * O$10 * $BA$4, O$11 * 0.876) - (O$11 * $N89)) * 0.25,
    0
)</f>
        <v/>
      </c>
      <c r="P89" s="115">
        <f t="array" ref="P89">IF(
    AND($H89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($H89 / 1000) * P$10 * $BA$4 * 0.25
    ),
    0
)
+
IF(
    $N89 &lt; 0.875,
    MAX(0, MIN(($H89 / 1000) * P$10 * $BA$4, P$11 * 0.876) - (P$11 * $N89)) * 0.25,
    0
)</f>
        <v/>
      </c>
      <c r="Q89" s="115">
        <f t="array" ref="Q89">IF(
    AND($H89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($H89 / 1000) * Q$10 * $BA$4 * 0.25
    ),
    0
)
+
IF(
    $N89 &lt; 0.875,
    MAX(0, MIN(($H89 / 1000) * Q$10 * $BA$4, Q$11 * 0.876) - (Q$11 * $N89)) * 0.25,
    0
)</f>
        <v/>
      </c>
      <c r="R89" s="115">
        <f t="array" ref="R89">IF(
    AND($H89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($H89 / 1000) * R$10 * $BA$4 * 0.25
    ),
    0
)
+
IF(
    $N89 &lt; 0.875,
    MAX(0, MIN(($H89 / 1000) * R$10 * $BA$4, R$11 * 0.876) - (R$11 * $N89)) * 0.25,
    0
)</f>
        <v/>
      </c>
      <c r="S89" s="115">
        <f t="array" ref="S89">IF(
    AND($H89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($H89 / 1000) * S$10 * $BA$4 * 0.25
    ),
    0
)
+
IF(
    $N89 &lt; 0.875,
    MAX(0, MIN(($H89 / 1000) * S$10 * $BA$4, S$11 * 0.876) - (S$11 * $N89)) * 0.25,
    0
)</f>
        <v/>
      </c>
      <c r="T89" s="115">
        <f t="array" ref="T89">IF(
    AND($H89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($H89 / 1000) * T$10 * $BA$4 * 0.25
    ),
    0
)
+
IF(
    $N89 &lt; 0.875,
    MAX(0, MIN(($H89 / 1000) * T$10 * $BA$4, T$11 * 0.876) - (T$11 * $N89)) * 0.25,
    0
)</f>
        <v/>
      </c>
      <c r="U89" s="115">
        <f t="array" ref="U89">IF(
    AND($H89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($H89 / 1000) * U$10 * $BA$4 * 0.25
    ),
    0
)
+
IF(
    $N89 &lt; 0.875,
    MAX(0, MIN(($H89 / 1000) * U$10 * $BA$4, U$11 * 0.876) - (U$11 * $N89)) * 0.25,
    0
)</f>
        <v/>
      </c>
      <c r="V89" s="115">
        <f t="array" ref="V89">IF(
    AND($H89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($H89 / 1000) * V$10 * $BA$4 * 0.25
    ),
    0
)
+
IF(
    $N89 &lt; 0.875,
    MAX(0, MIN(($H89 / 1000) * V$10 * $BA$4, V$11 * 0.876) - (V$11 * $N89)) * 0.25,
    0
)</f>
        <v/>
      </c>
      <c r="W89" s="115">
        <f t="array" ref="W89">IF(
    AND($H89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($H89 / 1000) * W$10 * $BA$4 * 0.25
    ),
    0
)
+
IF(
    $N89 &lt; 0.875,
    MAX(0, MIN(($H89 / 1000) * W$10 * $BA$4, W$11 * 0.876) - (W$11 * $N89)) * 0.25,
    0
)</f>
        <v/>
      </c>
      <c r="X89" s="115">
        <f t="array" ref="X89">IF(
    AND($H89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($H89 / 1000) * X$10 * $BA$4 * 0.25
    ),
    0
)
+
IF(
    $N89 &lt; 0.875,
    MAX(0, MIN(($H89 / 1000) * X$10 * $BA$4, X$11 * 0.876) - (X$11 * $N89)) * 0.25,
    0
)</f>
        <v/>
      </c>
      <c r="Y89" s="115">
        <f t="array" ref="Y89">IF(
    AND($H89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($H89 / 1000) * Y$10 * $BA$4 * 0.25
    ),
    0
)
+
IF(
    $N89 &lt; 0.875,
    MAX(0, MIN(($H89 / 1000) * Y$10 * $BA$4, Y$11 * 0.876) - (Y$11 * $N89)) * 0.25,
    0
)</f>
        <v/>
      </c>
      <c r="Z89" s="115">
        <f t="array" ref="Z89">IF(
    AND($H89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($H89 / 1000) * Z$10 * $BA$4 * 0.25
    ),
    0
)
+
IF(
    $N89 &lt; 0.875,
    MAX(0, MIN(($H89 / 1000) * Z$10 * $BA$4, Z$11 * 0.876) - (Z$11 * $N89)) * 0.25,
    0
)</f>
        <v/>
      </c>
      <c r="AA89" s="116">
        <f>SUM(TabellaMar2026[[#This Row],[Colonna24]:[Colonna20]])</f>
        <v/>
      </c>
      <c r="AB89" s="117">
        <f>IF(
    AND($H89 &gt; $BA$7, Tabella01MarzoInverter[[#This Row],[Active power TX2-INV-1]] &lt;= 0, Tabella01MarzoInverter[[#This Row],[TX2 - Average Power]] &lt;= 0),
    MIN(($H89 / 1000) * AB$10 * $BA$4, AB$11 * 0.876) * 0.25,
    IF(
        AND($H89 &gt; $BA$7, Tabella01MarzoInverter[[#This Row],[Active power TX2-INV-1]] &lt;= 0),
        Tabella01MarzoInverter[[#This Row],[TX2 - Average Power]] * 0.25,
        0
    )
    +
    IF(
        $N89 &lt; 0.875,
        MAX(0, MIN(($H89 / 1000) * AB$10 * $BA$4, AB$11 * 0.876) - (AB$11 * $N89)) * 0.25,
        0
    )
)</f>
        <v/>
      </c>
      <c r="AC89" s="117">
        <f>IF(
    AND($H89 &gt; $BA$7, Tabella01MarzoInverter[[#This Row],[Active power TX2-INV-2]] &lt;= 0, Tabella01MarzoInverter[[#This Row],[TX2 - Max Power]] &lt;= 0),
    MIN(($H89 / 1000) * AC$10 * $BA$4, AC$11 * 0.876) * 0.25,
    IF(
        AND($H89 &gt; $BA$7, Tabella01MarzoInverter[[#This Row],[Active power TX2-INV-2]] &lt;= 0),
        Tabella01MarzoInverter[[#This Row],[TX2 - Max Power]] * 0.25,
        0
    )
    +
    IF(
        $N89 &lt; 0.875,
        MAX(0, MIN(($H89 / 1000) * AC$10 * $BA$4, AC$11 * 0.876) - (AC$11 * $N89)) * 0.25,
        0
    )
)</f>
        <v/>
      </c>
      <c r="AD89" s="117">
        <f>IF(
    AND($H89 &gt; $BA$7, Tabella01MarzoInverter[[#This Row],[Active power TX2-INV-3]] &lt;= 0, Tabella01MarzoInverter[[#This Row],[TX2 - Min Power]] &lt;= 0),
    MIN(($H89 / 1000) * AD$10 * $BA$4, AD$11 * 0.876) * 0.25,
    IF(
        AND($H89 &gt; $BA$7, Tabella01MarzoInverter[[#This Row],[Active power TX2-INV-3]] &lt;= 0),
        Tabella01MarzoInverter[[#This Row],[TX2 - Min Power]] * 0.25,
        0
    )
    +
    IF(
        $N89 &lt; 0.875,
        MAX(0, MIN(($H89 / 1000) * AD$10 * $BA$4, AD$11 * 0.876) - (AD$11 * $N89)) * 0.25,
        0
    )
)</f>
        <v/>
      </c>
      <c r="AE89" s="117">
        <f>IF(
    AND($H89 &gt; $BA$7, Tabella01MarzoInverter[[#This Row],[Active power TX2-INV-4]] &lt;= 0, Tabella01MarzoInverter[[#This Row],[Active power TX3-INV-1]] &lt;= 0),
    MIN(($H89 / 1000) * AE$10 * $BA$4, AE$11 * 0.876) * 0.25,
    IF(
        AND($H89 &gt; $BA$7, Tabella01MarzoInverter[[#This Row],[Active power TX2-INV-4]] &lt;= 0),
        Tabella01MarzoInverter[[#This Row],[Active power TX3-INV-1]] * 0.25,
        0
    )
    +
    IF(
        $N89 &lt; 0.875,
        MAX(0, MIN(($H89 / 1000) * AE$10 * $BA$4, AE$11 * 0.876) - (AE$11 * $N89)) * 0.25,
        0
    )
)</f>
        <v/>
      </c>
      <c r="AF89" s="117">
        <f>IF(
    AND($H89 &gt; $BA$7, Tabella01MarzoInverter[[#This Row],[Active power TX2-INV-5]] &lt;= 0, Tabella01MarzoInverter[[#This Row],[Active power TX3-INV-2]] &lt;= 0),
    MIN(($H89 / 1000) * AF$10 * $BA$4, AF$11 * 0.876) * 0.25,
    IF(
        AND($H89 &gt; $BA$7, Tabella01MarzoInverter[[#This Row],[Active power TX2-INV-5]] &lt;= 0),
        Tabella01MarzoInverter[[#This Row],[Active power TX3-INV-2]] * 0.25,
        0
    )
    +
    IF(
        $N89 &lt; 0.875,
        MAX(0, MIN(($H89 / 1000) * AF$10 * $BA$4, AF$11 * 0.876) - (AF$11 * $N89)) * 0.25,
        0
    )
)</f>
        <v/>
      </c>
      <c r="AG89" s="117">
        <f>IF(
    AND($H89 &gt; $BA$7, Tabella01MarzoInverter[[#This Row],[Active power TX2-INV-6]] &lt;= 0, Tabella01MarzoInverter[[#This Row],[Active power TX3-INV-3]] &lt;= 0),
    MIN(($H89 / 1000) * AG$10 * $BA$4, AG$11 * 0.876) * 0.25,
    IF(
        AND($H89 &gt; $BA$7, Tabella01MarzoInverter[[#This Row],[Active power TX2-INV-6]] &lt;= 0),
        Tabella01MarzoInverter[[#This Row],[Active power TX3-INV-3]] * 0.25,
        0
    )
    +
    IF(
        $N89 &lt; 0.875,
        MAX(0, MIN(($H89 / 1000) * AG$10 * $BA$4, AG$11 * 0.876) - (AG$11 * $N89)) * 0.25,
        0
    )
)</f>
        <v/>
      </c>
      <c r="AH89" s="117">
        <f>IF(
    AND($H89 &gt; $BA$7, Tabella01MarzoInverter[[#This Row],[Active power TX2-INV-7]] &lt;= 0, Tabella01MarzoInverter[[#This Row],[Active power TX3-INV-4]] &lt;= 0),
    MIN(($H89 / 1000) * AH$10 * $BA$4, AH$11 * 0.876) * 0.25,
    IF(
        AND($H89 &gt; $BA$7, Tabella01MarzoInverter[[#This Row],[Active power TX2-INV-7]] &lt;= 0),
        Tabella01MarzoInverter[[#This Row],[Active power TX3-INV-4]] * 0.25,
        0
    )
    +
    IF(
        $N89 &lt; 0.875,
        MAX(0, MIN(($H89 / 1000) * AH$10 * $BA$4, AH$11 * 0.876) - (AH$11 * $N89)) * 0.25,
        0
    )
)</f>
        <v/>
      </c>
      <c r="AI89" s="117">
        <f>IF(
    AND($H89 &gt; $BA$7, Tabella01MarzoInverter[[#This Row],[Active power TX2-INV-8]] &lt;= 0, Tabella01MarzoInverter[[#This Row],[Active power TX3-INV-5]] &lt;= 0),
    MIN(($H89 / 1000) * AI$10 * $BA$4, AI$11 * 0.876) * 0.25,
    IF(
        AND($H89 &gt; $BA$7, Tabella01MarzoInverter[[#This Row],[Active power TX2-INV-8]] &lt;= 0),
        Tabella01MarzoInverter[[#This Row],[Active power TX3-INV-5]] * 0.25,
        0
    )
    +
    IF(
        $N89 &lt; 0.875,
        MAX(0, MIN(($H89 / 1000) * AI$10 * $BA$4, AI$11 * 0.876) - (AI$11 * $N89)) * 0.25,
        0
    )
)</f>
        <v/>
      </c>
      <c r="AJ89" s="117">
        <f>IF(
    AND($H89 &gt; $BA$7, Tabella01MarzoInverter[[#This Row],[Active power TX2-INV-9]] &lt;= 0, Tabella01MarzoInverter[[#This Row],[Active power TX3-INV-6]] &lt;= 0),
    MIN(($H89 / 1000) * AJ$10 * $BA$4, AJ$11 * 0.876) * 0.25,
    IF(
        AND($H89 &gt; $BA$7, Tabella01MarzoInverter[[#This Row],[Active power TX2-INV-9]] &lt;= 0),
        Tabella01MarzoInverter[[#This Row],[Active power TX3-INV-6]] * 0.25,
        0
    )
    +
    IF(
        $N89 &lt; 0.875,
        MAX(0, MIN(($H89 / 1000) * AJ$10 * $BA$4, AJ$11 * 0.876) - (AJ$11 * $N89)) * 0.25,
        0
    )
)</f>
        <v/>
      </c>
      <c r="AK89" s="117">
        <f>IF(
    AND($H89 &gt; $BA$7, Tabella01MarzoInverter[[#This Row],[Active power TX2-INV-10]] &lt;= 0, Tabella01MarzoInverter[[#This Row],[Active power TX3-INV-7]] &lt;= 0),
    MIN(($H89 / 1000) * AK$10 * $BA$4, AK$11 * 0.876) * 0.25,
    IF(
        AND($H89 &gt; $BA$7, Tabella01MarzoInverter[[#This Row],[Active power TX2-INV-10]] &lt;= 0),
        Tabella01MarzoInverter[[#This Row],[Active power TX3-INV-7]] * 0.25,
        0
    )
    +
    IF(
        $N89 &lt; 0.875,
        MAX(0, MIN(($H89 / 1000) * AK$10 * $BA$4, AK$11 * 0.876) - (AK$11 * $N89)) * 0.25,
        0
    )
)</f>
        <v/>
      </c>
      <c r="AL89" s="117">
        <f>IF(
    AND($H89 &gt; $BA$7, Tabella01MarzoInverter[[#This Row],[Active power TX2-INV-11]] &lt;= 0, Tabella01MarzoInverter[[#This Row],[Active power TX3-INV-8]] &lt;= 0),
    MIN(($H89 / 1000) * AL$10 * $BA$4, AL$11 * 0.876) * 0.25,
    IF(
        AND($H89 &gt; $BA$7, Tabella01MarzoInverter[[#This Row],[Active power TX2-INV-11]] &lt;= 0),
        Tabella01MarzoInverter[[#This Row],[Active power TX3-INV-8]] * 0.25,
        0
    )
    +
    IF(
        $N89 &lt; 0.875,
        MAX(0, MIN(($H89 / 1000) * AL$10 * $BA$4, AL$11 * 0.876) - (AL$11 * $N89)) * 0.25,
        0
    )
)</f>
        <v/>
      </c>
      <c r="AM89" s="117">
        <f>IF(
    AND($H89 &gt; $BA$7, Tabella01MarzoInverter[[#This Row],[Active power TX2-INV-12]] &lt;= 0, Tabella01MarzoInverter[[#This Row],[Active power TX3-INV-9]] &lt;= 0),
    MIN(($H89 / 1000) * AM$10 * $BA$4, AM$11 * 0.876) * 0.25,
    IF(
        AND($H89 &gt; $BA$7, Tabella01MarzoInverter[[#This Row],[Active power TX2-INV-12]] &lt;= 0),
        Tabella01MarzoInverter[[#This Row],[Active power TX3-INV-9]] * 0.25,
        0
    )
    +
    IF(
        $N89 &lt; 0.875,
        MAX(0, MIN(($H89 / 1000) * AM$10 * $BA$4, AM$11 * 0.876) - (AM$11 * $N89)) * 0.25,
        0
    )
)</f>
        <v/>
      </c>
      <c r="AN89" s="118">
        <f>SUM(TabellaMar2026[[#This Row],[Colonna39]:[Colonna6]])</f>
        <v/>
      </c>
      <c r="AO89" s="117">
        <f t="array" ref="AO89">IF(
    AND($H89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($H89 / 1000) * AO$10 * $BA$4 * 0.25
    ),
    0
)
+
IF(
    $N89 &lt; 0.875,
    MAX(0, MIN(($H89 / 1000) * AO$10 * $BA$4, AO$11 * 0.876) - (AO$11 * $N89)) * 0.25,
    0
)</f>
        <v/>
      </c>
      <c r="AP89" s="117">
        <f t="array" ref="AP89">IF(
    AND($H89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($H89 / 1000) * AP$10 * $BA$4 * 0.25
    ),
    0
)
+
IF(
    $N89 &lt; 0.875,
    MAX(0, MIN(($H89 / 1000) * AP$10 * $BA$4, AP$11 * 0.876) - (AP$11 * $N89)) * 0.25,
    0
)</f>
        <v/>
      </c>
      <c r="AQ89" s="117">
        <f t="array" ref="AQ89">IF(
    AND($H89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($H89 / 1000) * AQ$10 * $BA$4 * 0.25
    ),
    0
)
+
IF(
    $N89 &lt; 0.875,
    MAX(0, MIN(($H89 / 1000) * AQ$10 * $BA$4, AQ$11 * 0.876) - (AQ$11 * $N89)) * 0.25,
    0
)</f>
        <v/>
      </c>
      <c r="AR89" s="117">
        <f t="array" ref="AR89">IF(
    AND($H89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($H89 / 1000) * AR$10 * $BA$4 * 0.25
    ),
    0
)
+
IF(
    $N89 &lt; 0.875,
    MAX(0, MIN(($H89 / 1000) * AR$10 * $BA$4, AR$11 * 0.876) - (AR$11 * $N89)) * 0.25,
    0
)</f>
        <v/>
      </c>
      <c r="AS89" s="117">
        <f t="array" ref="AS89">IF(
    AND($H89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($H89 / 1000) * AS$10 * $BA$4 * 0.25
    ),
    0
)
+
IF(
    $N89 &lt; 0.875,
    MAX(0, MIN(($H89 / 1000) * AS$10 * $BA$4, AS$11 * 0.876) - (AS$11 * $N89)) * 0.25,
    0
)</f>
        <v/>
      </c>
      <c r="AT89" s="117">
        <f t="array" ref="AT89">IF(
    AND($H89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($H89 / 1000) * AT$10 * $BA$4 * 0.25
    ),
    0
)
+
IF(
    $N89 &lt; 0.875,
    MAX(0, MIN(($H89 / 1000) * AT$10 * $BA$4, AT$11 * 0.876) - (AT$11 * $N89)) * 0.25,
    0
)</f>
        <v/>
      </c>
      <c r="AU89" s="117">
        <f t="array" ref="AU89">IF(
    AND($H89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($H89 / 1000) * AU$10 * $BA$4 * 0.25
    ),
    0
)
+
IF(
    $N89 &lt; 0.875,
    MAX(0, MIN(($H89 / 1000) * AU$10 * $BA$4, AU$11 * 0.876) - (AU$11 * $N89)) * 0.25,
    0
)</f>
        <v/>
      </c>
      <c r="AV89" s="117">
        <f t="array" ref="AV89">IF(
    AND($H89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($H89 / 1000) * AV$10 * $BA$4 * 0.25
    ),
    0
)
+
IF(
    $N89 &lt; 0.875,
    MAX(0, MIN(($H89 / 1000) * AV$10 * $BA$4, AV$11 * 0.876) - (AV$11 * $N89)) * 0.25,
    0
)</f>
        <v/>
      </c>
      <c r="AW89" s="117">
        <f t="array" ref="AW89">IF(
    AND($H89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($H89 / 1000) * AW$10 * $BA$4 * 0.25
    ),
    0
)
+
IF(
    $N89 &lt; 0.875,
    MAX(0, MIN(($H89 / 1000) * AW$10 * $BA$4, AW$11 * 0.876) - (AW$11 * $N89)) * 0.25,
    0
)</f>
        <v/>
      </c>
      <c r="AX89" s="117">
        <f t="array" ref="AX89">IF(
    AND($H89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($H89 / 1000) * AX$10 * $BA$4 * 0.25
    ),
    0
)
+
IF(
    $N89 &lt; 0.875,
    MAX(0, MIN(($H89 / 1000) * AX$10 * $BA$4, AX$11 * 0.876) - (AX$11 * $N89)) * 0.25,
    0
)</f>
        <v/>
      </c>
      <c r="AY89" s="117">
        <f t="array" ref="AY89">IF(
    AND($H89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($H89 / 1000) * AY$10 * $BA$4 * 0.25
    ),
    0
)
+
IF(
    $N89 &lt; 0.875,
    MAX(0, MIN(($H89 / 1000) * AY$10 * $BA$4, AY$11 * 0.876) - (AY$11 * $N89)) * 0.25,
    0
)</f>
        <v/>
      </c>
      <c r="AZ89" s="117">
        <f t="array" ref="AZ89">IF(
    AND($H89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($H89 / 1000) * AZ$10 * $BA$4 * 0.25
    ),
    0
)
+
IF(
    $N89 &lt; 0.875,
    MAX(0, MIN(($H89 / 1000) * AZ$10 * $BA$4, AZ$11 * 0.876) - (AZ$11 * $N89)) * 0.25,
    0
)</f>
        <v/>
      </c>
      <c r="BA89" s="119">
        <f>SUM(TabellaMar2026[[#This Row],[Colonna54]:[Colonna53]])</f>
        <v/>
      </c>
    </row>
    <row r="90">
      <c r="A90" s="112" t="n">
        <v>46143</v>
      </c>
      <c r="B90" t="inlineStr">
        <is>
          <t>18:45:00.000</t>
        </is>
      </c>
      <c r="C90" s="2" t="n">
        <v>262.7</v>
      </c>
      <c r="D90" s="113" t="n">
        <v>0.065675</v>
      </c>
      <c r="E90" s="113" t="n">
        <v>328</v>
      </c>
      <c r="F90" s="113" t="n">
        <v>0.082</v>
      </c>
      <c r="G90" s="113">
        <f>IFERROR((D90+F90)/2, 0)</f>
        <v/>
      </c>
      <c r="H90" s="114">
        <f>IFERROR(IF(AVERAGE(C90,E90)&gt;$BA$7,AVERAGE(C90,E90),0), 0)</f>
        <v/>
      </c>
      <c r="I90" s="114">
        <f>IFERROR(IF(AND(D90=0,F90=0),0,IF(H90&gt;$BA$6,MAX(D90,F90),G90)), 0)</f>
        <v/>
      </c>
      <c r="J90" s="113">
        <f>IFERROR(IF(AND(D90&gt;0,F90&gt;0),ABS(D90-F90)/AVERAGE(D90,F90),0), 0)</f>
        <v/>
      </c>
      <c r="K90" s="113" t="n">
        <v>30139.1</v>
      </c>
      <c r="L90" s="113" t="n">
        <v>30140</v>
      </c>
      <c r="M90" s="115">
        <f>IFERROR((L90-K90)*1000, 0)</f>
        <v/>
      </c>
      <c r="N90" s="113" t="n">
        <v>0.8759999999999999</v>
      </c>
      <c r="O90" s="115">
        <f t="array" ref="O90">IF(
    AND($H90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($H90 / 1000) * O$10 * $BA$4 * 0.25
    ),
    0
)
+
IF(
    $N90 &lt; 0.875,
    MAX(0, MIN(($H90 / 1000) * O$10 * $BA$4, O$11 * 0.876) - (O$11 * $N90)) * 0.25,
    0
)</f>
        <v/>
      </c>
      <c r="P90" s="115">
        <f t="array" ref="P90">IF(
    AND($H90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($H90 / 1000) * P$10 * $BA$4 * 0.25
    ),
    0
)
+
IF(
    $N90 &lt; 0.875,
    MAX(0, MIN(($H90 / 1000) * P$10 * $BA$4, P$11 * 0.876) - (P$11 * $N90)) * 0.25,
    0
)</f>
        <v/>
      </c>
      <c r="Q90" s="115">
        <f t="array" ref="Q90">IF(
    AND($H90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($H90 / 1000) * Q$10 * $BA$4 * 0.25
    ),
    0
)
+
IF(
    $N90 &lt; 0.875,
    MAX(0, MIN(($H90 / 1000) * Q$10 * $BA$4, Q$11 * 0.876) - (Q$11 * $N90)) * 0.25,
    0
)</f>
        <v/>
      </c>
      <c r="R90" s="115">
        <f t="array" ref="R90">IF(
    AND($H90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($H90 / 1000) * R$10 * $BA$4 * 0.25
    ),
    0
)
+
IF(
    $N90 &lt; 0.875,
    MAX(0, MIN(($H90 / 1000) * R$10 * $BA$4, R$11 * 0.876) - (R$11 * $N90)) * 0.25,
    0
)</f>
        <v/>
      </c>
      <c r="S90" s="115">
        <f t="array" ref="S90">IF(
    AND($H90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($H90 / 1000) * S$10 * $BA$4 * 0.25
    ),
    0
)
+
IF(
    $N90 &lt; 0.875,
    MAX(0, MIN(($H90 / 1000) * S$10 * $BA$4, S$11 * 0.876) - (S$11 * $N90)) * 0.25,
    0
)</f>
        <v/>
      </c>
      <c r="T90" s="115">
        <f t="array" ref="T90">IF(
    AND($H90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($H90 / 1000) * T$10 * $BA$4 * 0.25
    ),
    0
)
+
IF(
    $N90 &lt; 0.875,
    MAX(0, MIN(($H90 / 1000) * T$10 * $BA$4, T$11 * 0.876) - (T$11 * $N90)) * 0.25,
    0
)</f>
        <v/>
      </c>
      <c r="U90" s="115">
        <f t="array" ref="U90">IF(
    AND($H90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($H90 / 1000) * U$10 * $BA$4 * 0.25
    ),
    0
)
+
IF(
    $N90 &lt; 0.875,
    MAX(0, MIN(($H90 / 1000) * U$10 * $BA$4, U$11 * 0.876) - (U$11 * $N90)) * 0.25,
    0
)</f>
        <v/>
      </c>
      <c r="V90" s="115">
        <f t="array" ref="V90">IF(
    AND($H90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($H90 / 1000) * V$10 * $BA$4 * 0.25
    ),
    0
)
+
IF(
    $N90 &lt; 0.875,
    MAX(0, MIN(($H90 / 1000) * V$10 * $BA$4, V$11 * 0.876) - (V$11 * $N90)) * 0.25,
    0
)</f>
        <v/>
      </c>
      <c r="W90" s="115">
        <f t="array" ref="W90">IF(
    AND($H90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($H90 / 1000) * W$10 * $BA$4 * 0.25
    ),
    0
)
+
IF(
    $N90 &lt; 0.875,
    MAX(0, MIN(($H90 / 1000) * W$10 * $BA$4, W$11 * 0.876) - (W$11 * $N90)) * 0.25,
    0
)</f>
        <v/>
      </c>
      <c r="X90" s="115">
        <f t="array" ref="X90">IF(
    AND($H90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($H90 / 1000) * X$10 * $BA$4 * 0.25
    ),
    0
)
+
IF(
    $N90 &lt; 0.875,
    MAX(0, MIN(($H90 / 1000) * X$10 * $BA$4, X$11 * 0.876) - (X$11 * $N90)) * 0.25,
    0
)</f>
        <v/>
      </c>
      <c r="Y90" s="115">
        <f t="array" ref="Y90">IF(
    AND($H90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($H90 / 1000) * Y$10 * $BA$4 * 0.25
    ),
    0
)
+
IF(
    $N90 &lt; 0.875,
    MAX(0, MIN(($H90 / 1000) * Y$10 * $BA$4, Y$11 * 0.876) - (Y$11 * $N90)) * 0.25,
    0
)</f>
        <v/>
      </c>
      <c r="Z90" s="115">
        <f t="array" ref="Z90">IF(
    AND($H90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($H90 / 1000) * Z$10 * $BA$4 * 0.25
    ),
    0
)
+
IF(
    $N90 &lt; 0.875,
    MAX(0, MIN(($H90 / 1000) * Z$10 * $BA$4, Z$11 * 0.876) - (Z$11 * $N90)) * 0.25,
    0
)</f>
        <v/>
      </c>
      <c r="AA90" s="116">
        <f>SUM(TabellaMar2026[[#This Row],[Colonna24]:[Colonna20]])</f>
        <v/>
      </c>
      <c r="AB90" s="117">
        <f>IF(
    AND($H90 &gt; $BA$7, Tabella01MarzoInverter[[#This Row],[Active power TX2-INV-1]] &lt;= 0, Tabella01MarzoInverter[[#This Row],[TX2 - Average Power]] &lt;= 0),
    MIN(($H90 / 1000) * AB$10 * $BA$4, AB$11 * 0.876) * 0.25,
    IF(
        AND($H90 &gt; $BA$7, Tabella01MarzoInverter[[#This Row],[Active power TX2-INV-1]] &lt;= 0),
        Tabella01MarzoInverter[[#This Row],[TX2 - Average Power]] * 0.25,
        0
    )
    +
    IF(
        $N90 &lt; 0.875,
        MAX(0, MIN(($H90 / 1000) * AB$10 * $BA$4, AB$11 * 0.876) - (AB$11 * $N90)) * 0.25,
        0
    )
)</f>
        <v/>
      </c>
      <c r="AC90" s="117">
        <f>IF(
    AND($H90 &gt; $BA$7, Tabella01MarzoInverter[[#This Row],[Active power TX2-INV-2]] &lt;= 0, Tabella01MarzoInverter[[#This Row],[TX2 - Max Power]] &lt;= 0),
    MIN(($H90 / 1000) * AC$10 * $BA$4, AC$11 * 0.876) * 0.25,
    IF(
        AND($H90 &gt; $BA$7, Tabella01MarzoInverter[[#This Row],[Active power TX2-INV-2]] &lt;= 0),
        Tabella01MarzoInverter[[#This Row],[TX2 - Max Power]] * 0.25,
        0
    )
    +
    IF(
        $N90 &lt; 0.875,
        MAX(0, MIN(($H90 / 1000) * AC$10 * $BA$4, AC$11 * 0.876) - (AC$11 * $N90)) * 0.25,
        0
    )
)</f>
        <v/>
      </c>
      <c r="AD90" s="117">
        <f>IF(
    AND($H90 &gt; $BA$7, Tabella01MarzoInverter[[#This Row],[Active power TX2-INV-3]] &lt;= 0, Tabella01MarzoInverter[[#This Row],[TX2 - Min Power]] &lt;= 0),
    MIN(($H90 / 1000) * AD$10 * $BA$4, AD$11 * 0.876) * 0.25,
    IF(
        AND($H90 &gt; $BA$7, Tabella01MarzoInverter[[#This Row],[Active power TX2-INV-3]] &lt;= 0),
        Tabella01MarzoInverter[[#This Row],[TX2 - Min Power]] * 0.25,
        0
    )
    +
    IF(
        $N90 &lt; 0.875,
        MAX(0, MIN(($H90 / 1000) * AD$10 * $BA$4, AD$11 * 0.876) - (AD$11 * $N90)) * 0.25,
        0
    )
)</f>
        <v/>
      </c>
      <c r="AE90" s="117">
        <f>IF(
    AND($H90 &gt; $BA$7, Tabella01MarzoInverter[[#This Row],[Active power TX2-INV-4]] &lt;= 0, Tabella01MarzoInverter[[#This Row],[Active power TX3-INV-1]] &lt;= 0),
    MIN(($H90 / 1000) * AE$10 * $BA$4, AE$11 * 0.876) * 0.25,
    IF(
        AND($H90 &gt; $BA$7, Tabella01MarzoInverter[[#This Row],[Active power TX2-INV-4]] &lt;= 0),
        Tabella01MarzoInverter[[#This Row],[Active power TX3-INV-1]] * 0.25,
        0
    )
    +
    IF(
        $N90 &lt; 0.875,
        MAX(0, MIN(($H90 / 1000) * AE$10 * $BA$4, AE$11 * 0.876) - (AE$11 * $N90)) * 0.25,
        0
    )
)</f>
        <v/>
      </c>
      <c r="AF90" s="117">
        <f>IF(
    AND($H90 &gt; $BA$7, Tabella01MarzoInverter[[#This Row],[Active power TX2-INV-5]] &lt;= 0, Tabella01MarzoInverter[[#This Row],[Active power TX3-INV-2]] &lt;= 0),
    MIN(($H90 / 1000) * AF$10 * $BA$4, AF$11 * 0.876) * 0.25,
    IF(
        AND($H90 &gt; $BA$7, Tabella01MarzoInverter[[#This Row],[Active power TX2-INV-5]] &lt;= 0),
        Tabella01MarzoInverter[[#This Row],[Active power TX3-INV-2]] * 0.25,
        0
    )
    +
    IF(
        $N90 &lt; 0.875,
        MAX(0, MIN(($H90 / 1000) * AF$10 * $BA$4, AF$11 * 0.876) - (AF$11 * $N90)) * 0.25,
        0
    )
)</f>
        <v/>
      </c>
      <c r="AG90" s="117">
        <f>IF(
    AND($H90 &gt; $BA$7, Tabella01MarzoInverter[[#This Row],[Active power TX2-INV-6]] &lt;= 0, Tabella01MarzoInverter[[#This Row],[Active power TX3-INV-3]] &lt;= 0),
    MIN(($H90 / 1000) * AG$10 * $BA$4, AG$11 * 0.876) * 0.25,
    IF(
        AND($H90 &gt; $BA$7, Tabella01MarzoInverter[[#This Row],[Active power TX2-INV-6]] &lt;= 0),
        Tabella01MarzoInverter[[#This Row],[Active power TX3-INV-3]] * 0.25,
        0
    )
    +
    IF(
        $N90 &lt; 0.875,
        MAX(0, MIN(($H90 / 1000) * AG$10 * $BA$4, AG$11 * 0.876) - (AG$11 * $N90)) * 0.25,
        0
    )
)</f>
        <v/>
      </c>
      <c r="AH90" s="117">
        <f>IF(
    AND($H90 &gt; $BA$7, Tabella01MarzoInverter[[#This Row],[Active power TX2-INV-7]] &lt;= 0, Tabella01MarzoInverter[[#This Row],[Active power TX3-INV-4]] &lt;= 0),
    MIN(($H90 / 1000) * AH$10 * $BA$4, AH$11 * 0.876) * 0.25,
    IF(
        AND($H90 &gt; $BA$7, Tabella01MarzoInverter[[#This Row],[Active power TX2-INV-7]] &lt;= 0),
        Tabella01MarzoInverter[[#This Row],[Active power TX3-INV-4]] * 0.25,
        0
    )
    +
    IF(
        $N90 &lt; 0.875,
        MAX(0, MIN(($H90 / 1000) * AH$10 * $BA$4, AH$11 * 0.876) - (AH$11 * $N90)) * 0.25,
        0
    )
)</f>
        <v/>
      </c>
      <c r="AI90" s="117">
        <f>IF(
    AND($H90 &gt; $BA$7, Tabella01MarzoInverter[[#This Row],[Active power TX2-INV-8]] &lt;= 0, Tabella01MarzoInverter[[#This Row],[Active power TX3-INV-5]] &lt;= 0),
    MIN(($H90 / 1000) * AI$10 * $BA$4, AI$11 * 0.876) * 0.25,
    IF(
        AND($H90 &gt; $BA$7, Tabella01MarzoInverter[[#This Row],[Active power TX2-INV-8]] &lt;= 0),
        Tabella01MarzoInverter[[#This Row],[Active power TX3-INV-5]] * 0.25,
        0
    )
    +
    IF(
        $N90 &lt; 0.875,
        MAX(0, MIN(($H90 / 1000) * AI$10 * $BA$4, AI$11 * 0.876) - (AI$11 * $N90)) * 0.25,
        0
    )
)</f>
        <v/>
      </c>
      <c r="AJ90" s="117">
        <f>IF(
    AND($H90 &gt; $BA$7, Tabella01MarzoInverter[[#This Row],[Active power TX2-INV-9]] &lt;= 0, Tabella01MarzoInverter[[#This Row],[Active power TX3-INV-6]] &lt;= 0),
    MIN(($H90 / 1000) * AJ$10 * $BA$4, AJ$11 * 0.876) * 0.25,
    IF(
        AND($H90 &gt; $BA$7, Tabella01MarzoInverter[[#This Row],[Active power TX2-INV-9]] &lt;= 0),
        Tabella01MarzoInverter[[#This Row],[Active power TX3-INV-6]] * 0.25,
        0
    )
    +
    IF(
        $N90 &lt; 0.875,
        MAX(0, MIN(($H90 / 1000) * AJ$10 * $BA$4, AJ$11 * 0.876) - (AJ$11 * $N90)) * 0.25,
        0
    )
)</f>
        <v/>
      </c>
      <c r="AK90" s="117">
        <f>IF(
    AND($H90 &gt; $BA$7, Tabella01MarzoInverter[[#This Row],[Active power TX2-INV-10]] &lt;= 0, Tabella01MarzoInverter[[#This Row],[Active power TX3-INV-7]] &lt;= 0),
    MIN(($H90 / 1000) * AK$10 * $BA$4, AK$11 * 0.876) * 0.25,
    IF(
        AND($H90 &gt; $BA$7, Tabella01MarzoInverter[[#This Row],[Active power TX2-INV-10]] &lt;= 0),
        Tabella01MarzoInverter[[#This Row],[Active power TX3-INV-7]] * 0.25,
        0
    )
    +
    IF(
        $N90 &lt; 0.875,
        MAX(0, MIN(($H90 / 1000) * AK$10 * $BA$4, AK$11 * 0.876) - (AK$11 * $N90)) * 0.25,
        0
    )
)</f>
        <v/>
      </c>
      <c r="AL90" s="117">
        <f>IF(
    AND($H90 &gt; $BA$7, Tabella01MarzoInverter[[#This Row],[Active power TX2-INV-11]] &lt;= 0, Tabella01MarzoInverter[[#This Row],[Active power TX3-INV-8]] &lt;= 0),
    MIN(($H90 / 1000) * AL$10 * $BA$4, AL$11 * 0.876) * 0.25,
    IF(
        AND($H90 &gt; $BA$7, Tabella01MarzoInverter[[#This Row],[Active power TX2-INV-11]] &lt;= 0),
        Tabella01MarzoInverter[[#This Row],[Active power TX3-INV-8]] * 0.25,
        0
    )
    +
    IF(
        $N90 &lt; 0.875,
        MAX(0, MIN(($H90 / 1000) * AL$10 * $BA$4, AL$11 * 0.876) - (AL$11 * $N90)) * 0.25,
        0
    )
)</f>
        <v/>
      </c>
      <c r="AM90" s="117">
        <f>IF(
    AND($H90 &gt; $BA$7, Tabella01MarzoInverter[[#This Row],[Active power TX2-INV-12]] &lt;= 0, Tabella01MarzoInverter[[#This Row],[Active power TX3-INV-9]] &lt;= 0),
    MIN(($H90 / 1000) * AM$10 * $BA$4, AM$11 * 0.876) * 0.25,
    IF(
        AND($H90 &gt; $BA$7, Tabella01MarzoInverter[[#This Row],[Active power TX2-INV-12]] &lt;= 0),
        Tabella01MarzoInverter[[#This Row],[Active power TX3-INV-9]] * 0.25,
        0
    )
    +
    IF(
        $N90 &lt; 0.875,
        MAX(0, MIN(($H90 / 1000) * AM$10 * $BA$4, AM$11 * 0.876) - (AM$11 * $N90)) * 0.25,
        0
    )
)</f>
        <v/>
      </c>
      <c r="AN90" s="118">
        <f>SUM(TabellaMar2026[[#This Row],[Colonna39]:[Colonna6]])</f>
        <v/>
      </c>
      <c r="AO90" s="117">
        <f t="array" ref="AO90">IF(
    AND($H90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($H90 / 1000) * AO$10 * $BA$4 * 0.25
    ),
    0
)
+
IF(
    $N90 &lt; 0.875,
    MAX(0, MIN(($H90 / 1000) * AO$10 * $BA$4, AO$11 * 0.876) - (AO$11 * $N90)) * 0.25,
    0
)</f>
        <v/>
      </c>
      <c r="AP90" s="117">
        <f t="array" ref="AP90">IF(
    AND($H90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($H90 / 1000) * AP$10 * $BA$4 * 0.25
    ),
    0
)
+
IF(
    $N90 &lt; 0.875,
    MAX(0, MIN(($H90 / 1000) * AP$10 * $BA$4, AP$11 * 0.876) - (AP$11 * $N90)) * 0.25,
    0
)</f>
        <v/>
      </c>
      <c r="AQ90" s="117">
        <f t="array" ref="AQ90">IF(
    AND($H90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($H90 / 1000) * AQ$10 * $BA$4 * 0.25
    ),
    0
)
+
IF(
    $N90 &lt; 0.875,
    MAX(0, MIN(($H90 / 1000) * AQ$10 * $BA$4, AQ$11 * 0.876) - (AQ$11 * $N90)) * 0.25,
    0
)</f>
        <v/>
      </c>
      <c r="AR90" s="117">
        <f t="array" ref="AR90">IF(
    AND($H90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($H90 / 1000) * AR$10 * $BA$4 * 0.25
    ),
    0
)
+
IF(
    $N90 &lt; 0.875,
    MAX(0, MIN(($H90 / 1000) * AR$10 * $BA$4, AR$11 * 0.876) - (AR$11 * $N90)) * 0.25,
    0
)</f>
        <v/>
      </c>
      <c r="AS90" s="117">
        <f t="array" ref="AS90">IF(
    AND($H90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($H90 / 1000) * AS$10 * $BA$4 * 0.25
    ),
    0
)
+
IF(
    $N90 &lt; 0.875,
    MAX(0, MIN(($H90 / 1000) * AS$10 * $BA$4, AS$11 * 0.876) - (AS$11 * $N90)) * 0.25,
    0
)</f>
        <v/>
      </c>
      <c r="AT90" s="117">
        <f t="array" ref="AT90">IF(
    AND($H90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($H90 / 1000) * AT$10 * $BA$4 * 0.25
    ),
    0
)
+
IF(
    $N90 &lt; 0.875,
    MAX(0, MIN(($H90 / 1000) * AT$10 * $BA$4, AT$11 * 0.876) - (AT$11 * $N90)) * 0.25,
    0
)</f>
        <v/>
      </c>
      <c r="AU90" s="117">
        <f t="array" ref="AU90">IF(
    AND($H90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($H90 / 1000) * AU$10 * $BA$4 * 0.25
    ),
    0
)
+
IF(
    $N90 &lt; 0.875,
    MAX(0, MIN(($H90 / 1000) * AU$10 * $BA$4, AU$11 * 0.876) - (AU$11 * $N90)) * 0.25,
    0
)</f>
        <v/>
      </c>
      <c r="AV90" s="117">
        <f t="array" ref="AV90">IF(
    AND($H90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($H90 / 1000) * AV$10 * $BA$4 * 0.25
    ),
    0
)
+
IF(
    $N90 &lt; 0.875,
    MAX(0, MIN(($H90 / 1000) * AV$10 * $BA$4, AV$11 * 0.876) - (AV$11 * $N90)) * 0.25,
    0
)</f>
        <v/>
      </c>
      <c r="AW90" s="117">
        <f t="array" ref="AW90">IF(
    AND($H90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($H90 / 1000) * AW$10 * $BA$4 * 0.25
    ),
    0
)
+
IF(
    $N90 &lt; 0.875,
    MAX(0, MIN(($H90 / 1000) * AW$10 * $BA$4, AW$11 * 0.876) - (AW$11 * $N90)) * 0.25,
    0
)</f>
        <v/>
      </c>
      <c r="AX90" s="117">
        <f t="array" ref="AX90">IF(
    AND($H90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($H90 / 1000) * AX$10 * $BA$4 * 0.25
    ),
    0
)
+
IF(
    $N90 &lt; 0.875,
    MAX(0, MIN(($H90 / 1000) * AX$10 * $BA$4, AX$11 * 0.876) - (AX$11 * $N90)) * 0.25,
    0
)</f>
        <v/>
      </c>
      <c r="AY90" s="117">
        <f t="array" ref="AY90">IF(
    AND($H90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($H90 / 1000) * AY$10 * $BA$4 * 0.25
    ),
    0
)
+
IF(
    $N90 &lt; 0.875,
    MAX(0, MIN(($H90 / 1000) * AY$10 * $BA$4, AY$11 * 0.876) - (AY$11 * $N90)) * 0.25,
    0
)</f>
        <v/>
      </c>
      <c r="AZ90" s="117">
        <f t="array" ref="AZ90">IF(
    AND($H90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($H90 / 1000) * AZ$10 * $BA$4 * 0.25
    ),
    0
)
+
IF(
    $N90 &lt; 0.875,
    MAX(0, MIN(($H90 / 1000) * AZ$10 * $BA$4, AZ$11 * 0.876) - (AZ$11 * $N90)) * 0.25,
    0
)</f>
        <v/>
      </c>
      <c r="BA90" s="119">
        <f>SUM(TabellaMar2026[[#This Row],[Colonna54]:[Colonna53]])</f>
        <v/>
      </c>
    </row>
    <row r="91">
      <c r="A91" s="112" t="n">
        <v>46143</v>
      </c>
      <c r="B91" t="inlineStr">
        <is>
          <t>19:00:00.000</t>
        </is>
      </c>
      <c r="C91" s="2" t="n">
        <v>163.3</v>
      </c>
      <c r="D91" s="113" t="n">
        <v>0.040825</v>
      </c>
      <c r="E91" s="113" t="n">
        <v>218.4</v>
      </c>
      <c r="F91" s="113" t="n">
        <v>0.0546</v>
      </c>
      <c r="G91" s="113">
        <f>IFERROR((D91+F91)/2, 0)</f>
        <v/>
      </c>
      <c r="H91" s="114">
        <f>IFERROR(IF(AVERAGE(C91,E91)&gt;$BA$7,AVERAGE(C91,E91),0), 0)</f>
        <v/>
      </c>
      <c r="I91" s="114">
        <f>IFERROR(IF(AND(D91=0,F91=0),0,IF(H91&gt;$BA$6,MAX(D91,F91),G91)), 0)</f>
        <v/>
      </c>
      <c r="J91" s="113">
        <f>IFERROR(IF(AND(D91&gt;0,F91&gt;0),ABS(D91-F91)/AVERAGE(D91,F91),0), 0)</f>
        <v/>
      </c>
      <c r="K91" s="113" t="n">
        <v>30140</v>
      </c>
      <c r="L91" s="113" t="n">
        <v>30140.6</v>
      </c>
      <c r="M91" s="115">
        <f>IFERROR((L91-K91)*1000, 0)</f>
        <v/>
      </c>
      <c r="N91" s="113" t="n">
        <v>0.8759999999999999</v>
      </c>
      <c r="O91" s="115">
        <f t="array" ref="O91">IF(
    AND($H91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($H91 / 1000) * O$10 * $BA$4 * 0.25
    ),
    0
)
+
IF(
    $N91 &lt; 0.875,
    MAX(0, MIN(($H91 / 1000) * O$10 * $BA$4, O$11 * 0.876) - (O$11 * $N91)) * 0.25,
    0
)</f>
        <v/>
      </c>
      <c r="P91" s="115">
        <f t="array" ref="P91">IF(
    AND($H91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($H91 / 1000) * P$10 * $BA$4 * 0.25
    ),
    0
)
+
IF(
    $N91 &lt; 0.875,
    MAX(0, MIN(($H91 / 1000) * P$10 * $BA$4, P$11 * 0.876) - (P$11 * $N91)) * 0.25,
    0
)</f>
        <v/>
      </c>
      <c r="Q91" s="115">
        <f t="array" ref="Q91">IF(
    AND($H91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($H91 / 1000) * Q$10 * $BA$4 * 0.25
    ),
    0
)
+
IF(
    $N91 &lt; 0.875,
    MAX(0, MIN(($H91 / 1000) * Q$10 * $BA$4, Q$11 * 0.876) - (Q$11 * $N91)) * 0.25,
    0
)</f>
        <v/>
      </c>
      <c r="R91" s="115">
        <f t="array" ref="R91">IF(
    AND($H91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($H91 / 1000) * R$10 * $BA$4 * 0.25
    ),
    0
)
+
IF(
    $N91 &lt; 0.875,
    MAX(0, MIN(($H91 / 1000) * R$10 * $BA$4, R$11 * 0.876) - (R$11 * $N91)) * 0.25,
    0
)</f>
        <v/>
      </c>
      <c r="S91" s="115">
        <f t="array" ref="S91">IF(
    AND($H91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($H91 / 1000) * S$10 * $BA$4 * 0.25
    ),
    0
)
+
IF(
    $N91 &lt; 0.875,
    MAX(0, MIN(($H91 / 1000) * S$10 * $BA$4, S$11 * 0.876) - (S$11 * $N91)) * 0.25,
    0
)</f>
        <v/>
      </c>
      <c r="T91" s="115">
        <f t="array" ref="T91">IF(
    AND($H91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($H91 / 1000) * T$10 * $BA$4 * 0.25
    ),
    0
)
+
IF(
    $N91 &lt; 0.875,
    MAX(0, MIN(($H91 / 1000) * T$10 * $BA$4, T$11 * 0.876) - (T$11 * $N91)) * 0.25,
    0
)</f>
        <v/>
      </c>
      <c r="U91" s="115">
        <f t="array" ref="U91">IF(
    AND($H91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($H91 / 1000) * U$10 * $BA$4 * 0.25
    ),
    0
)
+
IF(
    $N91 &lt; 0.875,
    MAX(0, MIN(($H91 / 1000) * U$10 * $BA$4, U$11 * 0.876) - (U$11 * $N91)) * 0.25,
    0
)</f>
        <v/>
      </c>
      <c r="V91" s="115">
        <f t="array" ref="V91">IF(
    AND($H91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($H91 / 1000) * V$10 * $BA$4 * 0.25
    ),
    0
)
+
IF(
    $N91 &lt; 0.875,
    MAX(0, MIN(($H91 / 1000) * V$10 * $BA$4, V$11 * 0.876) - (V$11 * $N91)) * 0.25,
    0
)</f>
        <v/>
      </c>
      <c r="W91" s="115">
        <f t="array" ref="W91">IF(
    AND($H91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($H91 / 1000) * W$10 * $BA$4 * 0.25
    ),
    0
)
+
IF(
    $N91 &lt; 0.875,
    MAX(0, MIN(($H91 / 1000) * W$10 * $BA$4, W$11 * 0.876) - (W$11 * $N91)) * 0.25,
    0
)</f>
        <v/>
      </c>
      <c r="X91" s="115">
        <f t="array" ref="X91">IF(
    AND($H91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($H91 / 1000) * X$10 * $BA$4 * 0.25
    ),
    0
)
+
IF(
    $N91 &lt; 0.875,
    MAX(0, MIN(($H91 / 1000) * X$10 * $BA$4, X$11 * 0.876) - (X$11 * $N91)) * 0.25,
    0
)</f>
        <v/>
      </c>
      <c r="Y91" s="115">
        <f t="array" ref="Y91">IF(
    AND($H91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($H91 / 1000) * Y$10 * $BA$4 * 0.25
    ),
    0
)
+
IF(
    $N91 &lt; 0.875,
    MAX(0, MIN(($H91 / 1000) * Y$10 * $BA$4, Y$11 * 0.876) - (Y$11 * $N91)) * 0.25,
    0
)</f>
        <v/>
      </c>
      <c r="Z91" s="115">
        <f t="array" ref="Z91">IF(
    AND($H91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($H91 / 1000) * Z$10 * $BA$4 * 0.25
    ),
    0
)
+
IF(
    $N91 &lt; 0.875,
    MAX(0, MIN(($H91 / 1000) * Z$10 * $BA$4, Z$11 * 0.876) - (Z$11 * $N91)) * 0.25,
    0
)</f>
        <v/>
      </c>
      <c r="AA91" s="116">
        <f>SUM(TabellaMar2026[[#This Row],[Colonna24]:[Colonna20]])</f>
        <v/>
      </c>
      <c r="AB91" s="117">
        <f>IF(
    AND($H91 &gt; $BA$7, Tabella01MarzoInverter[[#This Row],[Active power TX2-INV-1]] &lt;= 0, Tabella01MarzoInverter[[#This Row],[TX2 - Average Power]] &lt;= 0),
    MIN(($H91 / 1000) * AB$10 * $BA$4, AB$11 * 0.876) * 0.25,
    IF(
        AND($H91 &gt; $BA$7, Tabella01MarzoInverter[[#This Row],[Active power TX2-INV-1]] &lt;= 0),
        Tabella01MarzoInverter[[#This Row],[TX2 - Average Power]] * 0.25,
        0
    )
    +
    IF(
        $N91 &lt; 0.875,
        MAX(0, MIN(($H91 / 1000) * AB$10 * $BA$4, AB$11 * 0.876) - (AB$11 * $N91)) * 0.25,
        0
    )
)</f>
        <v/>
      </c>
      <c r="AC91" s="117">
        <f>IF(
    AND($H91 &gt; $BA$7, Tabella01MarzoInverter[[#This Row],[Active power TX2-INV-2]] &lt;= 0, Tabella01MarzoInverter[[#This Row],[TX2 - Max Power]] &lt;= 0),
    MIN(($H91 / 1000) * AC$10 * $BA$4, AC$11 * 0.876) * 0.25,
    IF(
        AND($H91 &gt; $BA$7, Tabella01MarzoInverter[[#This Row],[Active power TX2-INV-2]] &lt;= 0),
        Tabella01MarzoInverter[[#This Row],[TX2 - Max Power]] * 0.25,
        0
    )
    +
    IF(
        $N91 &lt; 0.875,
        MAX(0, MIN(($H91 / 1000) * AC$10 * $BA$4, AC$11 * 0.876) - (AC$11 * $N91)) * 0.25,
        0
    )
)</f>
        <v/>
      </c>
      <c r="AD91" s="117">
        <f>IF(
    AND($H91 &gt; $BA$7, Tabella01MarzoInverter[[#This Row],[Active power TX2-INV-3]] &lt;= 0, Tabella01MarzoInverter[[#This Row],[TX2 - Min Power]] &lt;= 0),
    MIN(($H91 / 1000) * AD$10 * $BA$4, AD$11 * 0.876) * 0.25,
    IF(
        AND($H91 &gt; $BA$7, Tabella01MarzoInverter[[#This Row],[Active power TX2-INV-3]] &lt;= 0),
        Tabella01MarzoInverter[[#This Row],[TX2 - Min Power]] * 0.25,
        0
    )
    +
    IF(
        $N91 &lt; 0.875,
        MAX(0, MIN(($H91 / 1000) * AD$10 * $BA$4, AD$11 * 0.876) - (AD$11 * $N91)) * 0.25,
        0
    )
)</f>
        <v/>
      </c>
      <c r="AE91" s="117">
        <f>IF(
    AND($H91 &gt; $BA$7, Tabella01MarzoInverter[[#This Row],[Active power TX2-INV-4]] &lt;= 0, Tabella01MarzoInverter[[#This Row],[Active power TX3-INV-1]] &lt;= 0),
    MIN(($H91 / 1000) * AE$10 * $BA$4, AE$11 * 0.876) * 0.25,
    IF(
        AND($H91 &gt; $BA$7, Tabella01MarzoInverter[[#This Row],[Active power TX2-INV-4]] &lt;= 0),
        Tabella01MarzoInverter[[#This Row],[Active power TX3-INV-1]] * 0.25,
        0
    )
    +
    IF(
        $N91 &lt; 0.875,
        MAX(0, MIN(($H91 / 1000) * AE$10 * $BA$4, AE$11 * 0.876) - (AE$11 * $N91)) * 0.25,
        0
    )
)</f>
        <v/>
      </c>
      <c r="AF91" s="117">
        <f>IF(
    AND($H91 &gt; $BA$7, Tabella01MarzoInverter[[#This Row],[Active power TX2-INV-5]] &lt;= 0, Tabella01MarzoInverter[[#This Row],[Active power TX3-INV-2]] &lt;= 0),
    MIN(($H91 / 1000) * AF$10 * $BA$4, AF$11 * 0.876) * 0.25,
    IF(
        AND($H91 &gt; $BA$7, Tabella01MarzoInverter[[#This Row],[Active power TX2-INV-5]] &lt;= 0),
        Tabella01MarzoInverter[[#This Row],[Active power TX3-INV-2]] * 0.25,
        0
    )
    +
    IF(
        $N91 &lt; 0.875,
        MAX(0, MIN(($H91 / 1000) * AF$10 * $BA$4, AF$11 * 0.876) - (AF$11 * $N91)) * 0.25,
        0
    )
)</f>
        <v/>
      </c>
      <c r="AG91" s="117">
        <f>IF(
    AND($H91 &gt; $BA$7, Tabella01MarzoInverter[[#This Row],[Active power TX2-INV-6]] &lt;= 0, Tabella01MarzoInverter[[#This Row],[Active power TX3-INV-3]] &lt;= 0),
    MIN(($H91 / 1000) * AG$10 * $BA$4, AG$11 * 0.876) * 0.25,
    IF(
        AND($H91 &gt; $BA$7, Tabella01MarzoInverter[[#This Row],[Active power TX2-INV-6]] &lt;= 0),
        Tabella01MarzoInverter[[#This Row],[Active power TX3-INV-3]] * 0.25,
        0
    )
    +
    IF(
        $N91 &lt; 0.875,
        MAX(0, MIN(($H91 / 1000) * AG$10 * $BA$4, AG$11 * 0.876) - (AG$11 * $N91)) * 0.25,
        0
    )
)</f>
        <v/>
      </c>
      <c r="AH91" s="117">
        <f>IF(
    AND($H91 &gt; $BA$7, Tabella01MarzoInverter[[#This Row],[Active power TX2-INV-7]] &lt;= 0, Tabella01MarzoInverter[[#This Row],[Active power TX3-INV-4]] &lt;= 0),
    MIN(($H91 / 1000) * AH$10 * $BA$4, AH$11 * 0.876) * 0.25,
    IF(
        AND($H91 &gt; $BA$7, Tabella01MarzoInverter[[#This Row],[Active power TX2-INV-7]] &lt;= 0),
        Tabella01MarzoInverter[[#This Row],[Active power TX3-INV-4]] * 0.25,
        0
    )
    +
    IF(
        $N91 &lt; 0.875,
        MAX(0, MIN(($H91 / 1000) * AH$10 * $BA$4, AH$11 * 0.876) - (AH$11 * $N91)) * 0.25,
        0
    )
)</f>
        <v/>
      </c>
      <c r="AI91" s="117">
        <f>IF(
    AND($H91 &gt; $BA$7, Tabella01MarzoInverter[[#This Row],[Active power TX2-INV-8]] &lt;= 0, Tabella01MarzoInverter[[#This Row],[Active power TX3-INV-5]] &lt;= 0),
    MIN(($H91 / 1000) * AI$10 * $BA$4, AI$11 * 0.876) * 0.25,
    IF(
        AND($H91 &gt; $BA$7, Tabella01MarzoInverter[[#This Row],[Active power TX2-INV-8]] &lt;= 0),
        Tabella01MarzoInverter[[#This Row],[Active power TX3-INV-5]] * 0.25,
        0
    )
    +
    IF(
        $N91 &lt; 0.875,
        MAX(0, MIN(($H91 / 1000) * AI$10 * $BA$4, AI$11 * 0.876) - (AI$11 * $N91)) * 0.25,
        0
    )
)</f>
        <v/>
      </c>
      <c r="AJ91" s="117">
        <f>IF(
    AND($H91 &gt; $BA$7, Tabella01MarzoInverter[[#This Row],[Active power TX2-INV-9]] &lt;= 0, Tabella01MarzoInverter[[#This Row],[Active power TX3-INV-6]] &lt;= 0),
    MIN(($H91 / 1000) * AJ$10 * $BA$4, AJ$11 * 0.876) * 0.25,
    IF(
        AND($H91 &gt; $BA$7, Tabella01MarzoInverter[[#This Row],[Active power TX2-INV-9]] &lt;= 0),
        Tabella01MarzoInverter[[#This Row],[Active power TX3-INV-6]] * 0.25,
        0
    )
    +
    IF(
        $N91 &lt; 0.875,
        MAX(0, MIN(($H91 / 1000) * AJ$10 * $BA$4, AJ$11 * 0.876) - (AJ$11 * $N91)) * 0.25,
        0
    )
)</f>
        <v/>
      </c>
      <c r="AK91" s="117">
        <f>IF(
    AND($H91 &gt; $BA$7, Tabella01MarzoInverter[[#This Row],[Active power TX2-INV-10]] &lt;= 0, Tabella01MarzoInverter[[#This Row],[Active power TX3-INV-7]] &lt;= 0),
    MIN(($H91 / 1000) * AK$10 * $BA$4, AK$11 * 0.876) * 0.25,
    IF(
        AND($H91 &gt; $BA$7, Tabella01MarzoInverter[[#This Row],[Active power TX2-INV-10]] &lt;= 0),
        Tabella01MarzoInverter[[#This Row],[Active power TX3-INV-7]] * 0.25,
        0
    )
    +
    IF(
        $N91 &lt; 0.875,
        MAX(0, MIN(($H91 / 1000) * AK$10 * $BA$4, AK$11 * 0.876) - (AK$11 * $N91)) * 0.25,
        0
    )
)</f>
        <v/>
      </c>
      <c r="AL91" s="117">
        <f>IF(
    AND($H91 &gt; $BA$7, Tabella01MarzoInverter[[#This Row],[Active power TX2-INV-11]] &lt;= 0, Tabella01MarzoInverter[[#This Row],[Active power TX3-INV-8]] &lt;= 0),
    MIN(($H91 / 1000) * AL$10 * $BA$4, AL$11 * 0.876) * 0.25,
    IF(
        AND($H91 &gt; $BA$7, Tabella01MarzoInverter[[#This Row],[Active power TX2-INV-11]] &lt;= 0),
        Tabella01MarzoInverter[[#This Row],[Active power TX3-INV-8]] * 0.25,
        0
    )
    +
    IF(
        $N91 &lt; 0.875,
        MAX(0, MIN(($H91 / 1000) * AL$10 * $BA$4, AL$11 * 0.876) - (AL$11 * $N91)) * 0.25,
        0
    )
)</f>
        <v/>
      </c>
      <c r="AM91" s="117">
        <f>IF(
    AND($H91 &gt; $BA$7, Tabella01MarzoInverter[[#This Row],[Active power TX2-INV-12]] &lt;= 0, Tabella01MarzoInverter[[#This Row],[Active power TX3-INV-9]] &lt;= 0),
    MIN(($H91 / 1000) * AM$10 * $BA$4, AM$11 * 0.876) * 0.25,
    IF(
        AND($H91 &gt; $BA$7, Tabella01MarzoInverter[[#This Row],[Active power TX2-INV-12]] &lt;= 0),
        Tabella01MarzoInverter[[#This Row],[Active power TX3-INV-9]] * 0.25,
        0
    )
    +
    IF(
        $N91 &lt; 0.875,
        MAX(0, MIN(($H91 / 1000) * AM$10 * $BA$4, AM$11 * 0.876) - (AM$11 * $N91)) * 0.25,
        0
    )
)</f>
        <v/>
      </c>
      <c r="AN91" s="118">
        <f>SUM(TabellaMar2026[[#This Row],[Colonna39]:[Colonna6]])</f>
        <v/>
      </c>
      <c r="AO91" s="117">
        <f t="array" ref="AO91">IF(
    AND($H91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($H91 / 1000) * AO$10 * $BA$4 * 0.25
    ),
    0
)
+
IF(
    $N91 &lt; 0.875,
    MAX(0, MIN(($H91 / 1000) * AO$10 * $BA$4, AO$11 * 0.876) - (AO$11 * $N91)) * 0.25,
    0
)</f>
        <v/>
      </c>
      <c r="AP91" s="117">
        <f t="array" ref="AP91">IF(
    AND($H91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($H91 / 1000) * AP$10 * $BA$4 * 0.25
    ),
    0
)
+
IF(
    $N91 &lt; 0.875,
    MAX(0, MIN(($H91 / 1000) * AP$10 * $BA$4, AP$11 * 0.876) - (AP$11 * $N91)) * 0.25,
    0
)</f>
        <v/>
      </c>
      <c r="AQ91" s="117">
        <f t="array" ref="AQ91">IF(
    AND($H91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($H91 / 1000) * AQ$10 * $BA$4 * 0.25
    ),
    0
)
+
IF(
    $N91 &lt; 0.875,
    MAX(0, MIN(($H91 / 1000) * AQ$10 * $BA$4, AQ$11 * 0.876) - (AQ$11 * $N91)) * 0.25,
    0
)</f>
        <v/>
      </c>
      <c r="AR91" s="117">
        <f t="array" ref="AR91">IF(
    AND($H91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($H91 / 1000) * AR$10 * $BA$4 * 0.25
    ),
    0
)
+
IF(
    $N91 &lt; 0.875,
    MAX(0, MIN(($H91 / 1000) * AR$10 * $BA$4, AR$11 * 0.876) - (AR$11 * $N91)) * 0.25,
    0
)</f>
        <v/>
      </c>
      <c r="AS91" s="117">
        <f t="array" ref="AS91">IF(
    AND($H91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($H91 / 1000) * AS$10 * $BA$4 * 0.25
    ),
    0
)
+
IF(
    $N91 &lt; 0.875,
    MAX(0, MIN(($H91 / 1000) * AS$10 * $BA$4, AS$11 * 0.876) - (AS$11 * $N91)) * 0.25,
    0
)</f>
        <v/>
      </c>
      <c r="AT91" s="117">
        <f t="array" ref="AT91">IF(
    AND($H91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($H91 / 1000) * AT$10 * $BA$4 * 0.25
    ),
    0
)
+
IF(
    $N91 &lt; 0.875,
    MAX(0, MIN(($H91 / 1000) * AT$10 * $BA$4, AT$11 * 0.876) - (AT$11 * $N91)) * 0.25,
    0
)</f>
        <v/>
      </c>
      <c r="AU91" s="117">
        <f t="array" ref="AU91">IF(
    AND($H91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($H91 / 1000) * AU$10 * $BA$4 * 0.25
    ),
    0
)
+
IF(
    $N91 &lt; 0.875,
    MAX(0, MIN(($H91 / 1000) * AU$10 * $BA$4, AU$11 * 0.876) - (AU$11 * $N91)) * 0.25,
    0
)</f>
        <v/>
      </c>
      <c r="AV91" s="117">
        <f t="array" ref="AV91">IF(
    AND($H91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($H91 / 1000) * AV$10 * $BA$4 * 0.25
    ),
    0
)
+
IF(
    $N91 &lt; 0.875,
    MAX(0, MIN(($H91 / 1000) * AV$10 * $BA$4, AV$11 * 0.876) - (AV$11 * $N91)) * 0.25,
    0
)</f>
        <v/>
      </c>
      <c r="AW91" s="117">
        <f t="array" ref="AW91">IF(
    AND($H91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($H91 / 1000) * AW$10 * $BA$4 * 0.25
    ),
    0
)
+
IF(
    $N91 &lt; 0.875,
    MAX(0, MIN(($H91 / 1000) * AW$10 * $BA$4, AW$11 * 0.876) - (AW$11 * $N91)) * 0.25,
    0
)</f>
        <v/>
      </c>
      <c r="AX91" s="117">
        <f t="array" ref="AX91">IF(
    AND($H91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($H91 / 1000) * AX$10 * $BA$4 * 0.25
    ),
    0
)
+
IF(
    $N91 &lt; 0.875,
    MAX(0, MIN(($H91 / 1000) * AX$10 * $BA$4, AX$11 * 0.876) - (AX$11 * $N91)) * 0.25,
    0
)</f>
        <v/>
      </c>
      <c r="AY91" s="117">
        <f t="array" ref="AY91">IF(
    AND($H91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($H91 / 1000) * AY$10 * $BA$4 * 0.25
    ),
    0
)
+
IF(
    $N91 &lt; 0.875,
    MAX(0, MIN(($H91 / 1000) * AY$10 * $BA$4, AY$11 * 0.876) - (AY$11 * $N91)) * 0.25,
    0
)</f>
        <v/>
      </c>
      <c r="AZ91" s="117">
        <f t="array" ref="AZ91">IF(
    AND($H91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($H91 / 1000) * AZ$10 * $BA$4 * 0.25
    ),
    0
)
+
IF(
    $N91 &lt; 0.875,
    MAX(0, MIN(($H91 / 1000) * AZ$10 * $BA$4, AZ$11 * 0.876) - (AZ$11 * $N91)) * 0.25,
    0
)</f>
        <v/>
      </c>
      <c r="BA91" s="119">
        <f>SUM(TabellaMar2026[[#This Row],[Colonna54]:[Colonna53]])</f>
        <v/>
      </c>
    </row>
    <row r="92">
      <c r="A92" s="112" t="n">
        <v>46143</v>
      </c>
      <c r="B92" t="inlineStr">
        <is>
          <t>19:15:00.000</t>
        </is>
      </c>
      <c r="C92" s="2" t="n">
        <v>112.6</v>
      </c>
      <c r="D92" s="113" t="n">
        <v>0.02815</v>
      </c>
      <c r="E92" s="113" t="n">
        <v>161.1</v>
      </c>
      <c r="F92" s="113" t="n">
        <v>0.040275</v>
      </c>
      <c r="G92" s="113">
        <f>IFERROR((D92+F92)/2, 0)</f>
        <v/>
      </c>
      <c r="H92" s="114">
        <f>IFERROR(IF(AVERAGE(C92,E92)&gt;$BA$7,AVERAGE(C92,E92),0), 0)</f>
        <v/>
      </c>
      <c r="I92" s="114">
        <f>IFERROR(IF(AND(D92=0,F92=0),0,IF(H92&gt;$BA$6,MAX(D92,F92),G92)), 0)</f>
        <v/>
      </c>
      <c r="J92" s="113">
        <f>IFERROR(IF(AND(D92&gt;0,F92&gt;0),ABS(D92-F92)/AVERAGE(D92,F92),0), 0)</f>
        <v/>
      </c>
      <c r="K92" s="113" t="n">
        <v>30140.6</v>
      </c>
      <c r="L92" s="113" t="n">
        <v>30141</v>
      </c>
      <c r="M92" s="115">
        <f>IFERROR((L92-K92)*1000, 0)</f>
        <v/>
      </c>
      <c r="N92" s="113" t="n">
        <v>0.8759999999999999</v>
      </c>
      <c r="O92" s="115">
        <f t="array" ref="O92">IF(
    AND($H92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($H92 / 1000) * O$10 * $BA$4 * 0.25
    ),
    0
)
+
IF(
    $N92 &lt; 0.875,
    MAX(0, MIN(($H92 / 1000) * O$10 * $BA$4, O$11 * 0.876) - (O$11 * $N92)) * 0.25,
    0
)</f>
        <v/>
      </c>
      <c r="P92" s="115">
        <f t="array" ref="P92">IF(
    AND($H92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($H92 / 1000) * P$10 * $BA$4 * 0.25
    ),
    0
)
+
IF(
    $N92 &lt; 0.875,
    MAX(0, MIN(($H92 / 1000) * P$10 * $BA$4, P$11 * 0.876) - (P$11 * $N92)) * 0.25,
    0
)</f>
        <v/>
      </c>
      <c r="Q92" s="115">
        <f t="array" ref="Q92">IF(
    AND($H92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($H92 / 1000) * Q$10 * $BA$4 * 0.25
    ),
    0
)
+
IF(
    $N92 &lt; 0.875,
    MAX(0, MIN(($H92 / 1000) * Q$10 * $BA$4, Q$11 * 0.876) - (Q$11 * $N92)) * 0.25,
    0
)</f>
        <v/>
      </c>
      <c r="R92" s="115">
        <f t="array" ref="R92">IF(
    AND($H92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($H92 / 1000) * R$10 * $BA$4 * 0.25
    ),
    0
)
+
IF(
    $N92 &lt; 0.875,
    MAX(0, MIN(($H92 / 1000) * R$10 * $BA$4, R$11 * 0.876) - (R$11 * $N92)) * 0.25,
    0
)</f>
        <v/>
      </c>
      <c r="S92" s="115">
        <f t="array" ref="S92">IF(
    AND($H92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($H92 / 1000) * S$10 * $BA$4 * 0.25
    ),
    0
)
+
IF(
    $N92 &lt; 0.875,
    MAX(0, MIN(($H92 / 1000) * S$10 * $BA$4, S$11 * 0.876) - (S$11 * $N92)) * 0.25,
    0
)</f>
        <v/>
      </c>
      <c r="T92" s="115">
        <f t="array" ref="T92">IF(
    AND($H92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($H92 / 1000) * T$10 * $BA$4 * 0.25
    ),
    0
)
+
IF(
    $N92 &lt; 0.875,
    MAX(0, MIN(($H92 / 1000) * T$10 * $BA$4, T$11 * 0.876) - (T$11 * $N92)) * 0.25,
    0
)</f>
        <v/>
      </c>
      <c r="U92" s="115">
        <f t="array" ref="U92">IF(
    AND($H92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($H92 / 1000) * U$10 * $BA$4 * 0.25
    ),
    0
)
+
IF(
    $N92 &lt; 0.875,
    MAX(0, MIN(($H92 / 1000) * U$10 * $BA$4, U$11 * 0.876) - (U$11 * $N92)) * 0.25,
    0
)</f>
        <v/>
      </c>
      <c r="V92" s="115">
        <f t="array" ref="V92">IF(
    AND($H92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($H92 / 1000) * V$10 * $BA$4 * 0.25
    ),
    0
)
+
IF(
    $N92 &lt; 0.875,
    MAX(0, MIN(($H92 / 1000) * V$10 * $BA$4, V$11 * 0.876) - (V$11 * $N92)) * 0.25,
    0
)</f>
        <v/>
      </c>
      <c r="W92" s="115">
        <f t="array" ref="W92">IF(
    AND($H92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($H92 / 1000) * W$10 * $BA$4 * 0.25
    ),
    0
)
+
IF(
    $N92 &lt; 0.875,
    MAX(0, MIN(($H92 / 1000) * W$10 * $BA$4, W$11 * 0.876) - (W$11 * $N92)) * 0.25,
    0
)</f>
        <v/>
      </c>
      <c r="X92" s="115">
        <f t="array" ref="X92">IF(
    AND($H92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($H92 / 1000) * X$10 * $BA$4 * 0.25
    ),
    0
)
+
IF(
    $N92 &lt; 0.875,
    MAX(0, MIN(($H92 / 1000) * X$10 * $BA$4, X$11 * 0.876) - (X$11 * $N92)) * 0.25,
    0
)</f>
        <v/>
      </c>
      <c r="Y92" s="115">
        <f t="array" ref="Y92">IF(
    AND($H92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($H92 / 1000) * Y$10 * $BA$4 * 0.25
    ),
    0
)
+
IF(
    $N92 &lt; 0.875,
    MAX(0, MIN(($H92 / 1000) * Y$10 * $BA$4, Y$11 * 0.876) - (Y$11 * $N92)) * 0.25,
    0
)</f>
        <v/>
      </c>
      <c r="Z92" s="115">
        <f t="array" ref="Z92">IF(
    AND($H92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($H92 / 1000) * Z$10 * $BA$4 * 0.25
    ),
    0
)
+
IF(
    $N92 &lt; 0.875,
    MAX(0, MIN(($H92 / 1000) * Z$10 * $BA$4, Z$11 * 0.876) - (Z$11 * $N92)) * 0.25,
    0
)</f>
        <v/>
      </c>
      <c r="AA92" s="116">
        <f>SUM(TabellaMar2026[[#This Row],[Colonna24]:[Colonna20]])</f>
        <v/>
      </c>
      <c r="AB92" s="117">
        <f>IF(
    AND($H92 &gt; $BA$7, Tabella01MarzoInverter[[#This Row],[Active power TX2-INV-1]] &lt;= 0, Tabella01MarzoInverter[[#This Row],[TX2 - Average Power]] &lt;= 0),
    MIN(($H92 / 1000) * AB$10 * $BA$4, AB$11 * 0.876) * 0.25,
    IF(
        AND($H92 &gt; $BA$7, Tabella01MarzoInverter[[#This Row],[Active power TX2-INV-1]] &lt;= 0),
        Tabella01MarzoInverter[[#This Row],[TX2 - Average Power]] * 0.25,
        0
    )
    +
    IF(
        $N92 &lt; 0.875,
        MAX(0, MIN(($H92 / 1000) * AB$10 * $BA$4, AB$11 * 0.876) - (AB$11 * $N92)) * 0.25,
        0
    )
)</f>
        <v/>
      </c>
      <c r="AC92" s="117">
        <f>IF(
    AND($H92 &gt; $BA$7, Tabella01MarzoInverter[[#This Row],[Active power TX2-INV-2]] &lt;= 0, Tabella01MarzoInverter[[#This Row],[TX2 - Max Power]] &lt;= 0),
    MIN(($H92 / 1000) * AC$10 * $BA$4, AC$11 * 0.876) * 0.25,
    IF(
        AND($H92 &gt; $BA$7, Tabella01MarzoInverter[[#This Row],[Active power TX2-INV-2]] &lt;= 0),
        Tabella01MarzoInverter[[#This Row],[TX2 - Max Power]] * 0.25,
        0
    )
    +
    IF(
        $N92 &lt; 0.875,
        MAX(0, MIN(($H92 / 1000) * AC$10 * $BA$4, AC$11 * 0.876) - (AC$11 * $N92)) * 0.25,
        0
    )
)</f>
        <v/>
      </c>
      <c r="AD92" s="117">
        <f>IF(
    AND($H92 &gt; $BA$7, Tabella01MarzoInverter[[#This Row],[Active power TX2-INV-3]] &lt;= 0, Tabella01MarzoInverter[[#This Row],[TX2 - Min Power]] &lt;= 0),
    MIN(($H92 / 1000) * AD$10 * $BA$4, AD$11 * 0.876) * 0.25,
    IF(
        AND($H92 &gt; $BA$7, Tabella01MarzoInverter[[#This Row],[Active power TX2-INV-3]] &lt;= 0),
        Tabella01MarzoInverter[[#This Row],[TX2 - Min Power]] * 0.25,
        0
    )
    +
    IF(
        $N92 &lt; 0.875,
        MAX(0, MIN(($H92 / 1000) * AD$10 * $BA$4, AD$11 * 0.876) - (AD$11 * $N92)) * 0.25,
        0
    )
)</f>
        <v/>
      </c>
      <c r="AE92" s="117">
        <f>IF(
    AND($H92 &gt; $BA$7, Tabella01MarzoInverter[[#This Row],[Active power TX2-INV-4]] &lt;= 0, Tabella01MarzoInverter[[#This Row],[Active power TX3-INV-1]] &lt;= 0),
    MIN(($H92 / 1000) * AE$10 * $BA$4, AE$11 * 0.876) * 0.25,
    IF(
        AND($H92 &gt; $BA$7, Tabella01MarzoInverter[[#This Row],[Active power TX2-INV-4]] &lt;= 0),
        Tabella01MarzoInverter[[#This Row],[Active power TX3-INV-1]] * 0.25,
        0
    )
    +
    IF(
        $N92 &lt; 0.875,
        MAX(0, MIN(($H92 / 1000) * AE$10 * $BA$4, AE$11 * 0.876) - (AE$11 * $N92)) * 0.25,
        0
    )
)</f>
        <v/>
      </c>
      <c r="AF92" s="117">
        <f>IF(
    AND($H92 &gt; $BA$7, Tabella01MarzoInverter[[#This Row],[Active power TX2-INV-5]] &lt;= 0, Tabella01MarzoInverter[[#This Row],[Active power TX3-INV-2]] &lt;= 0),
    MIN(($H92 / 1000) * AF$10 * $BA$4, AF$11 * 0.876) * 0.25,
    IF(
        AND($H92 &gt; $BA$7, Tabella01MarzoInverter[[#This Row],[Active power TX2-INV-5]] &lt;= 0),
        Tabella01MarzoInverter[[#This Row],[Active power TX3-INV-2]] * 0.25,
        0
    )
    +
    IF(
        $N92 &lt; 0.875,
        MAX(0, MIN(($H92 / 1000) * AF$10 * $BA$4, AF$11 * 0.876) - (AF$11 * $N92)) * 0.25,
        0
    )
)</f>
        <v/>
      </c>
      <c r="AG92" s="117">
        <f>IF(
    AND($H92 &gt; $BA$7, Tabella01MarzoInverter[[#This Row],[Active power TX2-INV-6]] &lt;= 0, Tabella01MarzoInverter[[#This Row],[Active power TX3-INV-3]] &lt;= 0),
    MIN(($H92 / 1000) * AG$10 * $BA$4, AG$11 * 0.876) * 0.25,
    IF(
        AND($H92 &gt; $BA$7, Tabella01MarzoInverter[[#This Row],[Active power TX2-INV-6]] &lt;= 0),
        Tabella01MarzoInverter[[#This Row],[Active power TX3-INV-3]] * 0.25,
        0
    )
    +
    IF(
        $N92 &lt; 0.875,
        MAX(0, MIN(($H92 / 1000) * AG$10 * $BA$4, AG$11 * 0.876) - (AG$11 * $N92)) * 0.25,
        0
    )
)</f>
        <v/>
      </c>
      <c r="AH92" s="117">
        <f>IF(
    AND($H92 &gt; $BA$7, Tabella01MarzoInverter[[#This Row],[Active power TX2-INV-7]] &lt;= 0, Tabella01MarzoInverter[[#This Row],[Active power TX3-INV-4]] &lt;= 0),
    MIN(($H92 / 1000) * AH$10 * $BA$4, AH$11 * 0.876) * 0.25,
    IF(
        AND($H92 &gt; $BA$7, Tabella01MarzoInverter[[#This Row],[Active power TX2-INV-7]] &lt;= 0),
        Tabella01MarzoInverter[[#This Row],[Active power TX3-INV-4]] * 0.25,
        0
    )
    +
    IF(
        $N92 &lt; 0.875,
        MAX(0, MIN(($H92 / 1000) * AH$10 * $BA$4, AH$11 * 0.876) - (AH$11 * $N92)) * 0.25,
        0
    )
)</f>
        <v/>
      </c>
      <c r="AI92" s="117">
        <f>IF(
    AND($H92 &gt; $BA$7, Tabella01MarzoInverter[[#This Row],[Active power TX2-INV-8]] &lt;= 0, Tabella01MarzoInverter[[#This Row],[Active power TX3-INV-5]] &lt;= 0),
    MIN(($H92 / 1000) * AI$10 * $BA$4, AI$11 * 0.876) * 0.25,
    IF(
        AND($H92 &gt; $BA$7, Tabella01MarzoInverter[[#This Row],[Active power TX2-INV-8]] &lt;= 0),
        Tabella01MarzoInverter[[#This Row],[Active power TX3-INV-5]] * 0.25,
        0
    )
    +
    IF(
        $N92 &lt; 0.875,
        MAX(0, MIN(($H92 / 1000) * AI$10 * $BA$4, AI$11 * 0.876) - (AI$11 * $N92)) * 0.25,
        0
    )
)</f>
        <v/>
      </c>
      <c r="AJ92" s="117">
        <f>IF(
    AND($H92 &gt; $BA$7, Tabella01MarzoInverter[[#This Row],[Active power TX2-INV-9]] &lt;= 0, Tabella01MarzoInverter[[#This Row],[Active power TX3-INV-6]] &lt;= 0),
    MIN(($H92 / 1000) * AJ$10 * $BA$4, AJ$11 * 0.876) * 0.25,
    IF(
        AND($H92 &gt; $BA$7, Tabella01MarzoInverter[[#This Row],[Active power TX2-INV-9]] &lt;= 0),
        Tabella01MarzoInverter[[#This Row],[Active power TX3-INV-6]] * 0.25,
        0
    )
    +
    IF(
        $N92 &lt; 0.875,
        MAX(0, MIN(($H92 / 1000) * AJ$10 * $BA$4, AJ$11 * 0.876) - (AJ$11 * $N92)) * 0.25,
        0
    )
)</f>
        <v/>
      </c>
      <c r="AK92" s="117">
        <f>IF(
    AND($H92 &gt; $BA$7, Tabella01MarzoInverter[[#This Row],[Active power TX2-INV-10]] &lt;= 0, Tabella01MarzoInverter[[#This Row],[Active power TX3-INV-7]] &lt;= 0),
    MIN(($H92 / 1000) * AK$10 * $BA$4, AK$11 * 0.876) * 0.25,
    IF(
        AND($H92 &gt; $BA$7, Tabella01MarzoInverter[[#This Row],[Active power TX2-INV-10]] &lt;= 0),
        Tabella01MarzoInverter[[#This Row],[Active power TX3-INV-7]] * 0.25,
        0
    )
    +
    IF(
        $N92 &lt; 0.875,
        MAX(0, MIN(($H92 / 1000) * AK$10 * $BA$4, AK$11 * 0.876) - (AK$11 * $N92)) * 0.25,
        0
    )
)</f>
        <v/>
      </c>
      <c r="AL92" s="117">
        <f>IF(
    AND($H92 &gt; $BA$7, Tabella01MarzoInverter[[#This Row],[Active power TX2-INV-11]] &lt;= 0, Tabella01MarzoInverter[[#This Row],[Active power TX3-INV-8]] &lt;= 0),
    MIN(($H92 / 1000) * AL$10 * $BA$4, AL$11 * 0.876) * 0.25,
    IF(
        AND($H92 &gt; $BA$7, Tabella01MarzoInverter[[#This Row],[Active power TX2-INV-11]] &lt;= 0),
        Tabella01MarzoInverter[[#This Row],[Active power TX3-INV-8]] * 0.25,
        0
    )
    +
    IF(
        $N92 &lt; 0.875,
        MAX(0, MIN(($H92 / 1000) * AL$10 * $BA$4, AL$11 * 0.876) - (AL$11 * $N92)) * 0.25,
        0
    )
)</f>
        <v/>
      </c>
      <c r="AM92" s="117">
        <f>IF(
    AND($H92 &gt; $BA$7, Tabella01MarzoInverter[[#This Row],[Active power TX2-INV-12]] &lt;= 0, Tabella01MarzoInverter[[#This Row],[Active power TX3-INV-9]] &lt;= 0),
    MIN(($H92 / 1000) * AM$10 * $BA$4, AM$11 * 0.876) * 0.25,
    IF(
        AND($H92 &gt; $BA$7, Tabella01MarzoInverter[[#This Row],[Active power TX2-INV-12]] &lt;= 0),
        Tabella01MarzoInverter[[#This Row],[Active power TX3-INV-9]] * 0.25,
        0
    )
    +
    IF(
        $N92 &lt; 0.875,
        MAX(0, MIN(($H92 / 1000) * AM$10 * $BA$4, AM$11 * 0.876) - (AM$11 * $N92)) * 0.25,
        0
    )
)</f>
        <v/>
      </c>
      <c r="AN92" s="118">
        <f>SUM(TabellaMar2026[[#This Row],[Colonna39]:[Colonna6]])</f>
        <v/>
      </c>
      <c r="AO92" s="117">
        <f t="array" ref="AO92">IF(
    AND($H92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($H92 / 1000) * AO$10 * $BA$4 * 0.25
    ),
    0
)
+
IF(
    $N92 &lt; 0.875,
    MAX(0, MIN(($H92 / 1000) * AO$10 * $BA$4, AO$11 * 0.876) - (AO$11 * $N92)) * 0.25,
    0
)</f>
        <v/>
      </c>
      <c r="AP92" s="117">
        <f t="array" ref="AP92">IF(
    AND($H92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($H92 / 1000) * AP$10 * $BA$4 * 0.25
    ),
    0
)
+
IF(
    $N92 &lt; 0.875,
    MAX(0, MIN(($H92 / 1000) * AP$10 * $BA$4, AP$11 * 0.876) - (AP$11 * $N92)) * 0.25,
    0
)</f>
        <v/>
      </c>
      <c r="AQ92" s="117">
        <f t="array" ref="AQ92">IF(
    AND($H92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($H92 / 1000) * AQ$10 * $BA$4 * 0.25
    ),
    0
)
+
IF(
    $N92 &lt; 0.875,
    MAX(0, MIN(($H92 / 1000) * AQ$10 * $BA$4, AQ$11 * 0.876) - (AQ$11 * $N92)) * 0.25,
    0
)</f>
        <v/>
      </c>
      <c r="AR92" s="117">
        <f t="array" ref="AR92">IF(
    AND($H92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($H92 / 1000) * AR$10 * $BA$4 * 0.25
    ),
    0
)
+
IF(
    $N92 &lt; 0.875,
    MAX(0, MIN(($H92 / 1000) * AR$10 * $BA$4, AR$11 * 0.876) - (AR$11 * $N92)) * 0.25,
    0
)</f>
        <v/>
      </c>
      <c r="AS92" s="117">
        <f t="array" ref="AS92">IF(
    AND($H92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($H92 / 1000) * AS$10 * $BA$4 * 0.25
    ),
    0
)
+
IF(
    $N92 &lt; 0.875,
    MAX(0, MIN(($H92 / 1000) * AS$10 * $BA$4, AS$11 * 0.876) - (AS$11 * $N92)) * 0.25,
    0
)</f>
        <v/>
      </c>
      <c r="AT92" s="117">
        <f t="array" ref="AT92">IF(
    AND($H92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($H92 / 1000) * AT$10 * $BA$4 * 0.25
    ),
    0
)
+
IF(
    $N92 &lt; 0.875,
    MAX(0, MIN(($H92 / 1000) * AT$10 * $BA$4, AT$11 * 0.876) - (AT$11 * $N92)) * 0.25,
    0
)</f>
        <v/>
      </c>
      <c r="AU92" s="117">
        <f t="array" ref="AU92">IF(
    AND($H92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($H92 / 1000) * AU$10 * $BA$4 * 0.25
    ),
    0
)
+
IF(
    $N92 &lt; 0.875,
    MAX(0, MIN(($H92 / 1000) * AU$10 * $BA$4, AU$11 * 0.876) - (AU$11 * $N92)) * 0.25,
    0
)</f>
        <v/>
      </c>
      <c r="AV92" s="117">
        <f t="array" ref="AV92">IF(
    AND($H92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($H92 / 1000) * AV$10 * $BA$4 * 0.25
    ),
    0
)
+
IF(
    $N92 &lt; 0.875,
    MAX(0, MIN(($H92 / 1000) * AV$10 * $BA$4, AV$11 * 0.876) - (AV$11 * $N92)) * 0.25,
    0
)</f>
        <v/>
      </c>
      <c r="AW92" s="117">
        <f t="array" ref="AW92">IF(
    AND($H92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($H92 / 1000) * AW$10 * $BA$4 * 0.25
    ),
    0
)
+
IF(
    $N92 &lt; 0.875,
    MAX(0, MIN(($H92 / 1000) * AW$10 * $BA$4, AW$11 * 0.876) - (AW$11 * $N92)) * 0.25,
    0
)</f>
        <v/>
      </c>
      <c r="AX92" s="117">
        <f t="array" ref="AX92">IF(
    AND($H92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($H92 / 1000) * AX$10 * $BA$4 * 0.25
    ),
    0
)
+
IF(
    $N92 &lt; 0.875,
    MAX(0, MIN(($H92 / 1000) * AX$10 * $BA$4, AX$11 * 0.876) - (AX$11 * $N92)) * 0.25,
    0
)</f>
        <v/>
      </c>
      <c r="AY92" s="117">
        <f t="array" ref="AY92">IF(
    AND($H92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($H92 / 1000) * AY$10 * $BA$4 * 0.25
    ),
    0
)
+
IF(
    $N92 &lt; 0.875,
    MAX(0, MIN(($H92 / 1000) * AY$10 * $BA$4, AY$11 * 0.876) - (AY$11 * $N92)) * 0.25,
    0
)</f>
        <v/>
      </c>
      <c r="AZ92" s="117">
        <f t="array" ref="AZ92">IF(
    AND($H92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($H92 / 1000) * AZ$10 * $BA$4 * 0.25
    ),
    0
)
+
IF(
    $N92 &lt; 0.875,
    MAX(0, MIN(($H92 / 1000) * AZ$10 * $BA$4, AZ$11 * 0.876) - (AZ$11 * $N92)) * 0.25,
    0
)</f>
        <v/>
      </c>
      <c r="BA92" s="119">
        <f>SUM(TabellaMar2026[[#This Row],[Colonna54]:[Colonna53]])</f>
        <v/>
      </c>
    </row>
    <row r="93">
      <c r="A93" s="112" t="n">
        <v>46143</v>
      </c>
      <c r="B93" t="inlineStr">
        <is>
          <t>19:30:00.000</t>
        </is>
      </c>
      <c r="C93" s="2" t="n">
        <v>37.4</v>
      </c>
      <c r="D93" s="113" t="n">
        <v>0.009349999999999999</v>
      </c>
      <c r="E93" s="113" t="n">
        <v>61.8</v>
      </c>
      <c r="F93" s="113" t="n">
        <v>0.01545</v>
      </c>
      <c r="G93" s="113">
        <f>IFERROR((D93+F93)/2, 0)</f>
        <v/>
      </c>
      <c r="H93" s="114">
        <f>IFERROR(IF(AVERAGE(C93,E93)&gt;$BA$7,AVERAGE(C93,E93),0), 0)</f>
        <v/>
      </c>
      <c r="I93" s="114">
        <f>IFERROR(IF(AND(D93=0,F93=0),0,IF(H93&gt;$BA$6,MAX(D93,F93),G93)), 0)</f>
        <v/>
      </c>
      <c r="J93" s="113">
        <f>IFERROR(IF(AND(D93&gt;0,F93&gt;0),ABS(D93-F93)/AVERAGE(D93,F93),0), 0)</f>
        <v/>
      </c>
      <c r="K93" s="113" t="n">
        <v>30141</v>
      </c>
      <c r="L93" s="113" t="n">
        <v>30141.2</v>
      </c>
      <c r="M93" s="115">
        <f>IFERROR((L93-K93)*1000, 0)</f>
        <v/>
      </c>
      <c r="N93" s="113" t="n">
        <v>0.8759999999999999</v>
      </c>
      <c r="O93" s="115">
        <f t="array" ref="O93">IF(
    AND($H93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($H93 / 1000) * O$10 * $BA$4 * 0.25
    ),
    0
)
+
IF(
    $N93 &lt; 0.875,
    MAX(0, MIN(($H93 / 1000) * O$10 * $BA$4, O$11 * 0.876) - (O$11 * $N93)) * 0.25,
    0
)</f>
        <v/>
      </c>
      <c r="P93" s="115">
        <f t="array" ref="P93">IF(
    AND($H93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($H93 / 1000) * P$10 * $BA$4 * 0.25
    ),
    0
)
+
IF(
    $N93 &lt; 0.875,
    MAX(0, MIN(($H93 / 1000) * P$10 * $BA$4, P$11 * 0.876) - (P$11 * $N93)) * 0.25,
    0
)</f>
        <v/>
      </c>
      <c r="Q93" s="115">
        <f t="array" ref="Q93">IF(
    AND($H93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($H93 / 1000) * Q$10 * $BA$4 * 0.25
    ),
    0
)
+
IF(
    $N93 &lt; 0.875,
    MAX(0, MIN(($H93 / 1000) * Q$10 * $BA$4, Q$11 * 0.876) - (Q$11 * $N93)) * 0.25,
    0
)</f>
        <v/>
      </c>
      <c r="R93" s="115">
        <f t="array" ref="R93">IF(
    AND($H93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($H93 / 1000) * R$10 * $BA$4 * 0.25
    ),
    0
)
+
IF(
    $N93 &lt; 0.875,
    MAX(0, MIN(($H93 / 1000) * R$10 * $BA$4, R$11 * 0.876) - (R$11 * $N93)) * 0.25,
    0
)</f>
        <v/>
      </c>
      <c r="S93" s="115">
        <f t="array" ref="S93">IF(
    AND($H93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($H93 / 1000) * S$10 * $BA$4 * 0.25
    ),
    0
)
+
IF(
    $N93 &lt; 0.875,
    MAX(0, MIN(($H93 / 1000) * S$10 * $BA$4, S$11 * 0.876) - (S$11 * $N93)) * 0.25,
    0
)</f>
        <v/>
      </c>
      <c r="T93" s="115">
        <f t="array" ref="T93">IF(
    AND($H93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($H93 / 1000) * T$10 * $BA$4 * 0.25
    ),
    0
)
+
IF(
    $N93 &lt; 0.875,
    MAX(0, MIN(($H93 / 1000) * T$10 * $BA$4, T$11 * 0.876) - (T$11 * $N93)) * 0.25,
    0
)</f>
        <v/>
      </c>
      <c r="U93" s="115">
        <f t="array" ref="U93">IF(
    AND($H93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($H93 / 1000) * U$10 * $BA$4 * 0.25
    ),
    0
)
+
IF(
    $N93 &lt; 0.875,
    MAX(0, MIN(($H93 / 1000) * U$10 * $BA$4, U$11 * 0.876) - (U$11 * $N93)) * 0.25,
    0
)</f>
        <v/>
      </c>
      <c r="V93" s="115">
        <f t="array" ref="V93">IF(
    AND($H93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($H93 / 1000) * V$10 * $BA$4 * 0.25
    ),
    0
)
+
IF(
    $N93 &lt; 0.875,
    MAX(0, MIN(($H93 / 1000) * V$10 * $BA$4, V$11 * 0.876) - (V$11 * $N93)) * 0.25,
    0
)</f>
        <v/>
      </c>
      <c r="W93" s="115">
        <f t="array" ref="W93">IF(
    AND($H93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($H93 / 1000) * W$10 * $BA$4 * 0.25
    ),
    0
)
+
IF(
    $N93 &lt; 0.875,
    MAX(0, MIN(($H93 / 1000) * W$10 * $BA$4, W$11 * 0.876) - (W$11 * $N93)) * 0.25,
    0
)</f>
        <v/>
      </c>
      <c r="X93" s="115">
        <f t="array" ref="X93">IF(
    AND($H93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($H93 / 1000) * X$10 * $BA$4 * 0.25
    ),
    0
)
+
IF(
    $N93 &lt; 0.875,
    MAX(0, MIN(($H93 / 1000) * X$10 * $BA$4, X$11 * 0.876) - (X$11 * $N93)) * 0.25,
    0
)</f>
        <v/>
      </c>
      <c r="Y93" s="115">
        <f t="array" ref="Y93">IF(
    AND($H93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($H93 / 1000) * Y$10 * $BA$4 * 0.25
    ),
    0
)
+
IF(
    $N93 &lt; 0.875,
    MAX(0, MIN(($H93 / 1000) * Y$10 * $BA$4, Y$11 * 0.876) - (Y$11 * $N93)) * 0.25,
    0
)</f>
        <v/>
      </c>
      <c r="Z93" s="115">
        <f t="array" ref="Z93">IF(
    AND($H93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($H93 / 1000) * Z$10 * $BA$4 * 0.25
    ),
    0
)
+
IF(
    $N93 &lt; 0.875,
    MAX(0, MIN(($H93 / 1000) * Z$10 * $BA$4, Z$11 * 0.876) - (Z$11 * $N93)) * 0.25,
    0
)</f>
        <v/>
      </c>
      <c r="AA93" s="116">
        <f>SUM(TabellaMar2026[[#This Row],[Colonna24]:[Colonna20]])</f>
        <v/>
      </c>
      <c r="AB93" s="117">
        <f>IF(
    AND($H93 &gt; $BA$7, Tabella01MarzoInverter[[#This Row],[Active power TX2-INV-1]] &lt;= 0, Tabella01MarzoInverter[[#This Row],[TX2 - Average Power]] &lt;= 0),
    MIN(($H93 / 1000) * AB$10 * $BA$4, AB$11 * 0.876) * 0.25,
    IF(
        AND($H93 &gt; $BA$7, Tabella01MarzoInverter[[#This Row],[Active power TX2-INV-1]] &lt;= 0),
        Tabella01MarzoInverter[[#This Row],[TX2 - Average Power]] * 0.25,
        0
    )
    +
    IF(
        $N93 &lt; 0.875,
        MAX(0, MIN(($H93 / 1000) * AB$10 * $BA$4, AB$11 * 0.876) - (AB$11 * $N93)) * 0.25,
        0
    )
)</f>
        <v/>
      </c>
      <c r="AC93" s="117">
        <f>IF(
    AND($H93 &gt; $BA$7, Tabella01MarzoInverter[[#This Row],[Active power TX2-INV-2]] &lt;= 0, Tabella01MarzoInverter[[#This Row],[TX2 - Max Power]] &lt;= 0),
    MIN(($H93 / 1000) * AC$10 * $BA$4, AC$11 * 0.876) * 0.25,
    IF(
        AND($H93 &gt; $BA$7, Tabella01MarzoInverter[[#This Row],[Active power TX2-INV-2]] &lt;= 0),
        Tabella01MarzoInverter[[#This Row],[TX2 - Max Power]] * 0.25,
        0
    )
    +
    IF(
        $N93 &lt; 0.875,
        MAX(0, MIN(($H93 / 1000) * AC$10 * $BA$4, AC$11 * 0.876) - (AC$11 * $N93)) * 0.25,
        0
    )
)</f>
        <v/>
      </c>
      <c r="AD93" s="117">
        <f>IF(
    AND($H93 &gt; $BA$7, Tabella01MarzoInverter[[#This Row],[Active power TX2-INV-3]] &lt;= 0, Tabella01MarzoInverter[[#This Row],[TX2 - Min Power]] &lt;= 0),
    MIN(($H93 / 1000) * AD$10 * $BA$4, AD$11 * 0.876) * 0.25,
    IF(
        AND($H93 &gt; $BA$7, Tabella01MarzoInverter[[#This Row],[Active power TX2-INV-3]] &lt;= 0),
        Tabella01MarzoInverter[[#This Row],[TX2 - Min Power]] * 0.25,
        0
    )
    +
    IF(
        $N93 &lt; 0.875,
        MAX(0, MIN(($H93 / 1000) * AD$10 * $BA$4, AD$11 * 0.876) - (AD$11 * $N93)) * 0.25,
        0
    )
)</f>
        <v/>
      </c>
      <c r="AE93" s="117">
        <f>IF(
    AND($H93 &gt; $BA$7, Tabella01MarzoInverter[[#This Row],[Active power TX2-INV-4]] &lt;= 0, Tabella01MarzoInverter[[#This Row],[Active power TX3-INV-1]] &lt;= 0),
    MIN(($H93 / 1000) * AE$10 * $BA$4, AE$11 * 0.876) * 0.25,
    IF(
        AND($H93 &gt; $BA$7, Tabella01MarzoInverter[[#This Row],[Active power TX2-INV-4]] &lt;= 0),
        Tabella01MarzoInverter[[#This Row],[Active power TX3-INV-1]] * 0.25,
        0
    )
    +
    IF(
        $N93 &lt; 0.875,
        MAX(0, MIN(($H93 / 1000) * AE$10 * $BA$4, AE$11 * 0.876) - (AE$11 * $N93)) * 0.25,
        0
    )
)</f>
        <v/>
      </c>
      <c r="AF93" s="117">
        <f>IF(
    AND($H93 &gt; $BA$7, Tabella01MarzoInverter[[#This Row],[Active power TX2-INV-5]] &lt;= 0, Tabella01MarzoInverter[[#This Row],[Active power TX3-INV-2]] &lt;= 0),
    MIN(($H93 / 1000) * AF$10 * $BA$4, AF$11 * 0.876) * 0.25,
    IF(
        AND($H93 &gt; $BA$7, Tabella01MarzoInverter[[#This Row],[Active power TX2-INV-5]] &lt;= 0),
        Tabella01MarzoInverter[[#This Row],[Active power TX3-INV-2]] * 0.25,
        0
    )
    +
    IF(
        $N93 &lt; 0.875,
        MAX(0, MIN(($H93 / 1000) * AF$10 * $BA$4, AF$11 * 0.876) - (AF$11 * $N93)) * 0.25,
        0
    )
)</f>
        <v/>
      </c>
      <c r="AG93" s="117">
        <f>IF(
    AND($H93 &gt; $BA$7, Tabella01MarzoInverter[[#This Row],[Active power TX2-INV-6]] &lt;= 0, Tabella01MarzoInverter[[#This Row],[Active power TX3-INV-3]] &lt;= 0),
    MIN(($H93 / 1000) * AG$10 * $BA$4, AG$11 * 0.876) * 0.25,
    IF(
        AND($H93 &gt; $BA$7, Tabella01MarzoInverter[[#This Row],[Active power TX2-INV-6]] &lt;= 0),
        Tabella01MarzoInverter[[#This Row],[Active power TX3-INV-3]] * 0.25,
        0
    )
    +
    IF(
        $N93 &lt; 0.875,
        MAX(0, MIN(($H93 / 1000) * AG$10 * $BA$4, AG$11 * 0.876) - (AG$11 * $N93)) * 0.25,
        0
    )
)</f>
        <v/>
      </c>
      <c r="AH93" s="117">
        <f>IF(
    AND($H93 &gt; $BA$7, Tabella01MarzoInverter[[#This Row],[Active power TX2-INV-7]] &lt;= 0, Tabella01MarzoInverter[[#This Row],[Active power TX3-INV-4]] &lt;= 0),
    MIN(($H93 / 1000) * AH$10 * $BA$4, AH$11 * 0.876) * 0.25,
    IF(
        AND($H93 &gt; $BA$7, Tabella01MarzoInverter[[#This Row],[Active power TX2-INV-7]] &lt;= 0),
        Tabella01MarzoInverter[[#This Row],[Active power TX3-INV-4]] * 0.25,
        0
    )
    +
    IF(
        $N93 &lt; 0.875,
        MAX(0, MIN(($H93 / 1000) * AH$10 * $BA$4, AH$11 * 0.876) - (AH$11 * $N93)) * 0.25,
        0
    )
)</f>
        <v/>
      </c>
      <c r="AI93" s="117">
        <f>IF(
    AND($H93 &gt; $BA$7, Tabella01MarzoInverter[[#This Row],[Active power TX2-INV-8]] &lt;= 0, Tabella01MarzoInverter[[#This Row],[Active power TX3-INV-5]] &lt;= 0),
    MIN(($H93 / 1000) * AI$10 * $BA$4, AI$11 * 0.876) * 0.25,
    IF(
        AND($H93 &gt; $BA$7, Tabella01MarzoInverter[[#This Row],[Active power TX2-INV-8]] &lt;= 0),
        Tabella01MarzoInverter[[#This Row],[Active power TX3-INV-5]] * 0.25,
        0
    )
    +
    IF(
        $N93 &lt; 0.875,
        MAX(0, MIN(($H93 / 1000) * AI$10 * $BA$4, AI$11 * 0.876) - (AI$11 * $N93)) * 0.25,
        0
    )
)</f>
        <v/>
      </c>
      <c r="AJ93" s="117">
        <f>IF(
    AND($H93 &gt; $BA$7, Tabella01MarzoInverter[[#This Row],[Active power TX2-INV-9]] &lt;= 0, Tabella01MarzoInverter[[#This Row],[Active power TX3-INV-6]] &lt;= 0),
    MIN(($H93 / 1000) * AJ$10 * $BA$4, AJ$11 * 0.876) * 0.25,
    IF(
        AND($H93 &gt; $BA$7, Tabella01MarzoInverter[[#This Row],[Active power TX2-INV-9]] &lt;= 0),
        Tabella01MarzoInverter[[#This Row],[Active power TX3-INV-6]] * 0.25,
        0
    )
    +
    IF(
        $N93 &lt; 0.875,
        MAX(0, MIN(($H93 / 1000) * AJ$10 * $BA$4, AJ$11 * 0.876) - (AJ$11 * $N93)) * 0.25,
        0
    )
)</f>
        <v/>
      </c>
      <c r="AK93" s="117">
        <f>IF(
    AND($H93 &gt; $BA$7, Tabella01MarzoInverter[[#This Row],[Active power TX2-INV-10]] &lt;= 0, Tabella01MarzoInverter[[#This Row],[Active power TX3-INV-7]] &lt;= 0),
    MIN(($H93 / 1000) * AK$10 * $BA$4, AK$11 * 0.876) * 0.25,
    IF(
        AND($H93 &gt; $BA$7, Tabella01MarzoInverter[[#This Row],[Active power TX2-INV-10]] &lt;= 0),
        Tabella01MarzoInverter[[#This Row],[Active power TX3-INV-7]] * 0.25,
        0
    )
    +
    IF(
        $N93 &lt; 0.875,
        MAX(0, MIN(($H93 / 1000) * AK$10 * $BA$4, AK$11 * 0.876) - (AK$11 * $N93)) * 0.25,
        0
    )
)</f>
        <v/>
      </c>
      <c r="AL93" s="117">
        <f>IF(
    AND($H93 &gt; $BA$7, Tabella01MarzoInverter[[#This Row],[Active power TX2-INV-11]] &lt;= 0, Tabella01MarzoInverter[[#This Row],[Active power TX3-INV-8]] &lt;= 0),
    MIN(($H93 / 1000) * AL$10 * $BA$4, AL$11 * 0.876) * 0.25,
    IF(
        AND($H93 &gt; $BA$7, Tabella01MarzoInverter[[#This Row],[Active power TX2-INV-11]] &lt;= 0),
        Tabella01MarzoInverter[[#This Row],[Active power TX3-INV-8]] * 0.25,
        0
    )
    +
    IF(
        $N93 &lt; 0.875,
        MAX(0, MIN(($H93 / 1000) * AL$10 * $BA$4, AL$11 * 0.876) - (AL$11 * $N93)) * 0.25,
        0
    )
)</f>
        <v/>
      </c>
      <c r="AM93" s="117">
        <f>IF(
    AND($H93 &gt; $BA$7, Tabella01MarzoInverter[[#This Row],[Active power TX2-INV-12]] &lt;= 0, Tabella01MarzoInverter[[#This Row],[Active power TX3-INV-9]] &lt;= 0),
    MIN(($H93 / 1000) * AM$10 * $BA$4, AM$11 * 0.876) * 0.25,
    IF(
        AND($H93 &gt; $BA$7, Tabella01MarzoInverter[[#This Row],[Active power TX2-INV-12]] &lt;= 0),
        Tabella01MarzoInverter[[#This Row],[Active power TX3-INV-9]] * 0.25,
        0
    )
    +
    IF(
        $N93 &lt; 0.875,
        MAX(0, MIN(($H93 / 1000) * AM$10 * $BA$4, AM$11 * 0.876) - (AM$11 * $N93)) * 0.25,
        0
    )
)</f>
        <v/>
      </c>
      <c r="AN93" s="118">
        <f>SUM(TabellaMar2026[[#This Row],[Colonna39]:[Colonna6]])</f>
        <v/>
      </c>
      <c r="AO93" s="117">
        <f t="array" ref="AO93">IF(
    AND($H93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($H93 / 1000) * AO$10 * $BA$4 * 0.25
    ),
    0
)
+
IF(
    $N93 &lt; 0.875,
    MAX(0, MIN(($H93 / 1000) * AO$10 * $BA$4, AO$11 * 0.876) - (AO$11 * $N93)) * 0.25,
    0
)</f>
        <v/>
      </c>
      <c r="AP93" s="117">
        <f t="array" ref="AP93">IF(
    AND($H93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($H93 / 1000) * AP$10 * $BA$4 * 0.25
    ),
    0
)
+
IF(
    $N93 &lt; 0.875,
    MAX(0, MIN(($H93 / 1000) * AP$10 * $BA$4, AP$11 * 0.876) - (AP$11 * $N93)) * 0.25,
    0
)</f>
        <v/>
      </c>
      <c r="AQ93" s="117">
        <f t="array" ref="AQ93">IF(
    AND($H93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($H93 / 1000) * AQ$10 * $BA$4 * 0.25
    ),
    0
)
+
IF(
    $N93 &lt; 0.875,
    MAX(0, MIN(($H93 / 1000) * AQ$10 * $BA$4, AQ$11 * 0.876) - (AQ$11 * $N93)) * 0.25,
    0
)</f>
        <v/>
      </c>
      <c r="AR93" s="117">
        <f t="array" ref="AR93">IF(
    AND($H93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($H93 / 1000) * AR$10 * $BA$4 * 0.25
    ),
    0
)
+
IF(
    $N93 &lt; 0.875,
    MAX(0, MIN(($H93 / 1000) * AR$10 * $BA$4, AR$11 * 0.876) - (AR$11 * $N93)) * 0.25,
    0
)</f>
        <v/>
      </c>
      <c r="AS93" s="117">
        <f t="array" ref="AS93">IF(
    AND($H93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($H93 / 1000) * AS$10 * $BA$4 * 0.25
    ),
    0
)
+
IF(
    $N93 &lt; 0.875,
    MAX(0, MIN(($H93 / 1000) * AS$10 * $BA$4, AS$11 * 0.876) - (AS$11 * $N93)) * 0.25,
    0
)</f>
        <v/>
      </c>
      <c r="AT93" s="117">
        <f t="array" ref="AT93">IF(
    AND($H93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($H93 / 1000) * AT$10 * $BA$4 * 0.25
    ),
    0
)
+
IF(
    $N93 &lt; 0.875,
    MAX(0, MIN(($H93 / 1000) * AT$10 * $BA$4, AT$11 * 0.876) - (AT$11 * $N93)) * 0.25,
    0
)</f>
        <v/>
      </c>
      <c r="AU93" s="117">
        <f t="array" ref="AU93">IF(
    AND($H93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($H93 / 1000) * AU$10 * $BA$4 * 0.25
    ),
    0
)
+
IF(
    $N93 &lt; 0.875,
    MAX(0, MIN(($H93 / 1000) * AU$10 * $BA$4, AU$11 * 0.876) - (AU$11 * $N93)) * 0.25,
    0
)</f>
        <v/>
      </c>
      <c r="AV93" s="117">
        <f t="array" ref="AV93">IF(
    AND($H93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($H93 / 1000) * AV$10 * $BA$4 * 0.25
    ),
    0
)
+
IF(
    $N93 &lt; 0.875,
    MAX(0, MIN(($H93 / 1000) * AV$10 * $BA$4, AV$11 * 0.876) - (AV$11 * $N93)) * 0.25,
    0
)</f>
        <v/>
      </c>
      <c r="AW93" s="117">
        <f t="array" ref="AW93">IF(
    AND($H93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($H93 / 1000) * AW$10 * $BA$4 * 0.25
    ),
    0
)
+
IF(
    $N93 &lt; 0.875,
    MAX(0, MIN(($H93 / 1000) * AW$10 * $BA$4, AW$11 * 0.876) - (AW$11 * $N93)) * 0.25,
    0
)</f>
        <v/>
      </c>
      <c r="AX93" s="117">
        <f t="array" ref="AX93">IF(
    AND($H93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($H93 / 1000) * AX$10 * $BA$4 * 0.25
    ),
    0
)
+
IF(
    $N93 &lt; 0.875,
    MAX(0, MIN(($H93 / 1000) * AX$10 * $BA$4, AX$11 * 0.876) - (AX$11 * $N93)) * 0.25,
    0
)</f>
        <v/>
      </c>
      <c r="AY93" s="117">
        <f t="array" ref="AY93">IF(
    AND($H93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($H93 / 1000) * AY$10 * $BA$4 * 0.25
    ),
    0
)
+
IF(
    $N93 &lt; 0.875,
    MAX(0, MIN(($H93 / 1000) * AY$10 * $BA$4, AY$11 * 0.876) - (AY$11 * $N93)) * 0.25,
    0
)</f>
        <v/>
      </c>
      <c r="AZ93" s="117">
        <f t="array" ref="AZ93">IF(
    AND($H93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($H93 / 1000) * AZ$10 * $BA$4 * 0.25
    ),
    0
)
+
IF(
    $N93 &lt; 0.875,
    MAX(0, MIN(($H93 / 1000) * AZ$10 * $BA$4, AZ$11 * 0.876) - (AZ$11 * $N93)) * 0.25,
    0
)</f>
        <v/>
      </c>
      <c r="BA93" s="119">
        <f>SUM(TabellaMar2026[[#This Row],[Colonna54]:[Colonna53]])</f>
        <v/>
      </c>
    </row>
    <row r="94">
      <c r="A94" s="112" t="n">
        <v>46143</v>
      </c>
      <c r="B94" t="inlineStr">
        <is>
          <t>19:45:00.000</t>
        </is>
      </c>
      <c r="C94" s="2" t="n">
        <v>21.6</v>
      </c>
      <c r="D94" s="113" t="n">
        <v>0.0054</v>
      </c>
      <c r="E94" s="113" t="n">
        <v>23.3</v>
      </c>
      <c r="F94" s="113" t="n">
        <v>0.005825</v>
      </c>
      <c r="G94" s="113">
        <f>IFERROR((D94+F94)/2, 0)</f>
        <v/>
      </c>
      <c r="H94" s="114">
        <f>IFERROR(IF(AVERAGE(C94,E94)&gt;$BA$7,AVERAGE(C94,E94),0), 0)</f>
        <v/>
      </c>
      <c r="I94" s="114">
        <f>IFERROR(IF(AND(D94=0,F94=0),0,IF(H94&gt;$BA$6,MAX(D94,F94),G94)), 0)</f>
        <v/>
      </c>
      <c r="J94" s="113">
        <f>IFERROR(IF(AND(D94&gt;0,F94&gt;0),ABS(D94-F94)/AVERAGE(D94,F94),0), 0)</f>
        <v/>
      </c>
      <c r="K94" s="113" t="n">
        <v>30141.2</v>
      </c>
      <c r="L94" s="113" t="n">
        <v>30141.3</v>
      </c>
      <c r="M94" s="115">
        <f>IFERROR((L94-K94)*1000, 0)</f>
        <v/>
      </c>
      <c r="N94" s="113" t="n">
        <v>0.8759999999999999</v>
      </c>
      <c r="O94" s="115">
        <f t="array" ref="O94">IF(
    AND($H94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($H94 / 1000) * O$10 * $BA$4 * 0.25
    ),
    0
)
+
IF(
    $N94 &lt; 0.875,
    MAX(0, MIN(($H94 / 1000) * O$10 * $BA$4, O$11 * 0.876) - (O$11 * $N94)) * 0.25,
    0
)</f>
        <v/>
      </c>
      <c r="P94" s="115">
        <f t="array" ref="P94">IF(
    AND($H94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($H94 / 1000) * P$10 * $BA$4 * 0.25
    ),
    0
)
+
IF(
    $N94 &lt; 0.875,
    MAX(0, MIN(($H94 / 1000) * P$10 * $BA$4, P$11 * 0.876) - (P$11 * $N94)) * 0.25,
    0
)</f>
        <v/>
      </c>
      <c r="Q94" s="115">
        <f t="array" ref="Q94">IF(
    AND($H94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($H94 / 1000) * Q$10 * $BA$4 * 0.25
    ),
    0
)
+
IF(
    $N94 &lt; 0.875,
    MAX(0, MIN(($H94 / 1000) * Q$10 * $BA$4, Q$11 * 0.876) - (Q$11 * $N94)) * 0.25,
    0
)</f>
        <v/>
      </c>
      <c r="R94" s="115">
        <f t="array" ref="R94">IF(
    AND($H94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($H94 / 1000) * R$10 * $BA$4 * 0.25
    ),
    0
)
+
IF(
    $N94 &lt; 0.875,
    MAX(0, MIN(($H94 / 1000) * R$10 * $BA$4, R$11 * 0.876) - (R$11 * $N94)) * 0.25,
    0
)</f>
        <v/>
      </c>
      <c r="S94" s="115">
        <f t="array" ref="S94">IF(
    AND($H94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($H94 / 1000) * S$10 * $BA$4 * 0.25
    ),
    0
)
+
IF(
    $N94 &lt; 0.875,
    MAX(0, MIN(($H94 / 1000) * S$10 * $BA$4, S$11 * 0.876) - (S$11 * $N94)) * 0.25,
    0
)</f>
        <v/>
      </c>
      <c r="T94" s="115">
        <f t="array" ref="T94">IF(
    AND($H94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($H94 / 1000) * T$10 * $BA$4 * 0.25
    ),
    0
)
+
IF(
    $N94 &lt; 0.875,
    MAX(0, MIN(($H94 / 1000) * T$10 * $BA$4, T$11 * 0.876) - (T$11 * $N94)) * 0.25,
    0
)</f>
        <v/>
      </c>
      <c r="U94" s="115">
        <f t="array" ref="U94">IF(
    AND($H94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($H94 / 1000) * U$10 * $BA$4 * 0.25
    ),
    0
)
+
IF(
    $N94 &lt; 0.875,
    MAX(0, MIN(($H94 / 1000) * U$10 * $BA$4, U$11 * 0.876) - (U$11 * $N94)) * 0.25,
    0
)</f>
        <v/>
      </c>
      <c r="V94" s="115">
        <f t="array" ref="V94">IF(
    AND($H94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($H94 / 1000) * V$10 * $BA$4 * 0.25
    ),
    0
)
+
IF(
    $N94 &lt; 0.875,
    MAX(0, MIN(($H94 / 1000) * V$10 * $BA$4, V$11 * 0.876) - (V$11 * $N94)) * 0.25,
    0
)</f>
        <v/>
      </c>
      <c r="W94" s="115">
        <f t="array" ref="W94">IF(
    AND($H94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($H94 / 1000) * W$10 * $BA$4 * 0.25
    ),
    0
)
+
IF(
    $N94 &lt; 0.875,
    MAX(0, MIN(($H94 / 1000) * W$10 * $BA$4, W$11 * 0.876) - (W$11 * $N94)) * 0.25,
    0
)</f>
        <v/>
      </c>
      <c r="X94" s="115">
        <f t="array" ref="X94">IF(
    AND($H94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($H94 / 1000) * X$10 * $BA$4 * 0.25
    ),
    0
)
+
IF(
    $N94 &lt; 0.875,
    MAX(0, MIN(($H94 / 1000) * X$10 * $BA$4, X$11 * 0.876) - (X$11 * $N94)) * 0.25,
    0
)</f>
        <v/>
      </c>
      <c r="Y94" s="115">
        <f t="array" ref="Y94">IF(
    AND($H94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($H94 / 1000) * Y$10 * $BA$4 * 0.25
    ),
    0
)
+
IF(
    $N94 &lt; 0.875,
    MAX(0, MIN(($H94 / 1000) * Y$10 * $BA$4, Y$11 * 0.876) - (Y$11 * $N94)) * 0.25,
    0
)</f>
        <v/>
      </c>
      <c r="Z94" s="115">
        <f t="array" ref="Z94">IF(
    AND($H94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($H94 / 1000) * Z$10 * $BA$4 * 0.25
    ),
    0
)
+
IF(
    $N94 &lt; 0.875,
    MAX(0, MIN(($H94 / 1000) * Z$10 * $BA$4, Z$11 * 0.876) - (Z$11 * $N94)) * 0.25,
    0
)</f>
        <v/>
      </c>
      <c r="AA94" s="116">
        <f>SUM(TabellaMar2026[[#This Row],[Colonna24]:[Colonna20]])</f>
        <v/>
      </c>
      <c r="AB94" s="117">
        <f>IF(
    AND($H94 &gt; $BA$7, Tabella01MarzoInverter[[#This Row],[Active power TX2-INV-1]] &lt;= 0, Tabella01MarzoInverter[[#This Row],[TX2 - Average Power]] &lt;= 0),
    MIN(($H94 / 1000) * AB$10 * $BA$4, AB$11 * 0.876) * 0.25,
    IF(
        AND($H94 &gt; $BA$7, Tabella01MarzoInverter[[#This Row],[Active power TX2-INV-1]] &lt;= 0),
        Tabella01MarzoInverter[[#This Row],[TX2 - Average Power]] * 0.25,
        0
    )
    +
    IF(
        $N94 &lt; 0.875,
        MAX(0, MIN(($H94 / 1000) * AB$10 * $BA$4, AB$11 * 0.876) - (AB$11 * $N94)) * 0.25,
        0
    )
)</f>
        <v/>
      </c>
      <c r="AC94" s="117">
        <f>IF(
    AND($H94 &gt; $BA$7, Tabella01MarzoInverter[[#This Row],[Active power TX2-INV-2]] &lt;= 0, Tabella01MarzoInverter[[#This Row],[TX2 - Max Power]] &lt;= 0),
    MIN(($H94 / 1000) * AC$10 * $BA$4, AC$11 * 0.876) * 0.25,
    IF(
        AND($H94 &gt; $BA$7, Tabella01MarzoInverter[[#This Row],[Active power TX2-INV-2]] &lt;= 0),
        Tabella01MarzoInverter[[#This Row],[TX2 - Max Power]] * 0.25,
        0
    )
    +
    IF(
        $N94 &lt; 0.875,
        MAX(0, MIN(($H94 / 1000) * AC$10 * $BA$4, AC$11 * 0.876) - (AC$11 * $N94)) * 0.25,
        0
    )
)</f>
        <v/>
      </c>
      <c r="AD94" s="117">
        <f>IF(
    AND($H94 &gt; $BA$7, Tabella01MarzoInverter[[#This Row],[Active power TX2-INV-3]] &lt;= 0, Tabella01MarzoInverter[[#This Row],[TX2 - Min Power]] &lt;= 0),
    MIN(($H94 / 1000) * AD$10 * $BA$4, AD$11 * 0.876) * 0.25,
    IF(
        AND($H94 &gt; $BA$7, Tabella01MarzoInverter[[#This Row],[Active power TX2-INV-3]] &lt;= 0),
        Tabella01MarzoInverter[[#This Row],[TX2 - Min Power]] * 0.25,
        0
    )
    +
    IF(
        $N94 &lt; 0.875,
        MAX(0, MIN(($H94 / 1000) * AD$10 * $BA$4, AD$11 * 0.876) - (AD$11 * $N94)) * 0.25,
        0
    )
)</f>
        <v/>
      </c>
      <c r="AE94" s="117">
        <f>IF(
    AND($H94 &gt; $BA$7, Tabella01MarzoInverter[[#This Row],[Active power TX2-INV-4]] &lt;= 0, Tabella01MarzoInverter[[#This Row],[Active power TX3-INV-1]] &lt;= 0),
    MIN(($H94 / 1000) * AE$10 * $BA$4, AE$11 * 0.876) * 0.25,
    IF(
        AND($H94 &gt; $BA$7, Tabella01MarzoInverter[[#This Row],[Active power TX2-INV-4]] &lt;= 0),
        Tabella01MarzoInverter[[#This Row],[Active power TX3-INV-1]] * 0.25,
        0
    )
    +
    IF(
        $N94 &lt; 0.875,
        MAX(0, MIN(($H94 / 1000) * AE$10 * $BA$4, AE$11 * 0.876) - (AE$11 * $N94)) * 0.25,
        0
    )
)</f>
        <v/>
      </c>
      <c r="AF94" s="117">
        <f>IF(
    AND($H94 &gt; $BA$7, Tabella01MarzoInverter[[#This Row],[Active power TX2-INV-5]] &lt;= 0, Tabella01MarzoInverter[[#This Row],[Active power TX3-INV-2]] &lt;= 0),
    MIN(($H94 / 1000) * AF$10 * $BA$4, AF$11 * 0.876) * 0.25,
    IF(
        AND($H94 &gt; $BA$7, Tabella01MarzoInverter[[#This Row],[Active power TX2-INV-5]] &lt;= 0),
        Tabella01MarzoInverter[[#This Row],[Active power TX3-INV-2]] * 0.25,
        0
    )
    +
    IF(
        $N94 &lt; 0.875,
        MAX(0, MIN(($H94 / 1000) * AF$10 * $BA$4, AF$11 * 0.876) - (AF$11 * $N94)) * 0.25,
        0
    )
)</f>
        <v/>
      </c>
      <c r="AG94" s="117">
        <f>IF(
    AND($H94 &gt; $BA$7, Tabella01MarzoInverter[[#This Row],[Active power TX2-INV-6]] &lt;= 0, Tabella01MarzoInverter[[#This Row],[Active power TX3-INV-3]] &lt;= 0),
    MIN(($H94 / 1000) * AG$10 * $BA$4, AG$11 * 0.876) * 0.25,
    IF(
        AND($H94 &gt; $BA$7, Tabella01MarzoInverter[[#This Row],[Active power TX2-INV-6]] &lt;= 0),
        Tabella01MarzoInverter[[#This Row],[Active power TX3-INV-3]] * 0.25,
        0
    )
    +
    IF(
        $N94 &lt; 0.875,
        MAX(0, MIN(($H94 / 1000) * AG$10 * $BA$4, AG$11 * 0.876) - (AG$11 * $N94)) * 0.25,
        0
    )
)</f>
        <v/>
      </c>
      <c r="AH94" s="117">
        <f>IF(
    AND($H94 &gt; $BA$7, Tabella01MarzoInverter[[#This Row],[Active power TX2-INV-7]] &lt;= 0, Tabella01MarzoInverter[[#This Row],[Active power TX3-INV-4]] &lt;= 0),
    MIN(($H94 / 1000) * AH$10 * $BA$4, AH$11 * 0.876) * 0.25,
    IF(
        AND($H94 &gt; $BA$7, Tabella01MarzoInverter[[#This Row],[Active power TX2-INV-7]] &lt;= 0),
        Tabella01MarzoInverter[[#This Row],[Active power TX3-INV-4]] * 0.25,
        0
    )
    +
    IF(
        $N94 &lt; 0.875,
        MAX(0, MIN(($H94 / 1000) * AH$10 * $BA$4, AH$11 * 0.876) - (AH$11 * $N94)) * 0.25,
        0
    )
)</f>
        <v/>
      </c>
      <c r="AI94" s="117">
        <f>IF(
    AND($H94 &gt; $BA$7, Tabella01MarzoInverter[[#This Row],[Active power TX2-INV-8]] &lt;= 0, Tabella01MarzoInverter[[#This Row],[Active power TX3-INV-5]] &lt;= 0),
    MIN(($H94 / 1000) * AI$10 * $BA$4, AI$11 * 0.876) * 0.25,
    IF(
        AND($H94 &gt; $BA$7, Tabella01MarzoInverter[[#This Row],[Active power TX2-INV-8]] &lt;= 0),
        Tabella01MarzoInverter[[#This Row],[Active power TX3-INV-5]] * 0.25,
        0
    )
    +
    IF(
        $N94 &lt; 0.875,
        MAX(0, MIN(($H94 / 1000) * AI$10 * $BA$4, AI$11 * 0.876) - (AI$11 * $N94)) * 0.25,
        0
    )
)</f>
        <v/>
      </c>
      <c r="AJ94" s="117">
        <f>IF(
    AND($H94 &gt; $BA$7, Tabella01MarzoInverter[[#This Row],[Active power TX2-INV-9]] &lt;= 0, Tabella01MarzoInverter[[#This Row],[Active power TX3-INV-6]] &lt;= 0),
    MIN(($H94 / 1000) * AJ$10 * $BA$4, AJ$11 * 0.876) * 0.25,
    IF(
        AND($H94 &gt; $BA$7, Tabella01MarzoInverter[[#This Row],[Active power TX2-INV-9]] &lt;= 0),
        Tabella01MarzoInverter[[#This Row],[Active power TX3-INV-6]] * 0.25,
        0
    )
    +
    IF(
        $N94 &lt; 0.875,
        MAX(0, MIN(($H94 / 1000) * AJ$10 * $BA$4, AJ$11 * 0.876) - (AJ$11 * $N94)) * 0.25,
        0
    )
)</f>
        <v/>
      </c>
      <c r="AK94" s="117">
        <f>IF(
    AND($H94 &gt; $BA$7, Tabella01MarzoInverter[[#This Row],[Active power TX2-INV-10]] &lt;= 0, Tabella01MarzoInverter[[#This Row],[Active power TX3-INV-7]] &lt;= 0),
    MIN(($H94 / 1000) * AK$10 * $BA$4, AK$11 * 0.876) * 0.25,
    IF(
        AND($H94 &gt; $BA$7, Tabella01MarzoInverter[[#This Row],[Active power TX2-INV-10]] &lt;= 0),
        Tabella01MarzoInverter[[#This Row],[Active power TX3-INV-7]] * 0.25,
        0
    )
    +
    IF(
        $N94 &lt; 0.875,
        MAX(0, MIN(($H94 / 1000) * AK$10 * $BA$4, AK$11 * 0.876) - (AK$11 * $N94)) * 0.25,
        0
    )
)</f>
        <v/>
      </c>
      <c r="AL94" s="117">
        <f>IF(
    AND($H94 &gt; $BA$7, Tabella01MarzoInverter[[#This Row],[Active power TX2-INV-11]] &lt;= 0, Tabella01MarzoInverter[[#This Row],[Active power TX3-INV-8]] &lt;= 0),
    MIN(($H94 / 1000) * AL$10 * $BA$4, AL$11 * 0.876) * 0.25,
    IF(
        AND($H94 &gt; $BA$7, Tabella01MarzoInverter[[#This Row],[Active power TX2-INV-11]] &lt;= 0),
        Tabella01MarzoInverter[[#This Row],[Active power TX3-INV-8]] * 0.25,
        0
    )
    +
    IF(
        $N94 &lt; 0.875,
        MAX(0, MIN(($H94 / 1000) * AL$10 * $BA$4, AL$11 * 0.876) - (AL$11 * $N94)) * 0.25,
        0
    )
)</f>
        <v/>
      </c>
      <c r="AM94" s="117">
        <f>IF(
    AND($H94 &gt; $BA$7, Tabella01MarzoInverter[[#This Row],[Active power TX2-INV-12]] &lt;= 0, Tabella01MarzoInverter[[#This Row],[Active power TX3-INV-9]] &lt;= 0),
    MIN(($H94 / 1000) * AM$10 * $BA$4, AM$11 * 0.876) * 0.25,
    IF(
        AND($H94 &gt; $BA$7, Tabella01MarzoInverter[[#This Row],[Active power TX2-INV-12]] &lt;= 0),
        Tabella01MarzoInverter[[#This Row],[Active power TX3-INV-9]] * 0.25,
        0
    )
    +
    IF(
        $N94 &lt; 0.875,
        MAX(0, MIN(($H94 / 1000) * AM$10 * $BA$4, AM$11 * 0.876) - (AM$11 * $N94)) * 0.25,
        0
    )
)</f>
        <v/>
      </c>
      <c r="AN94" s="118">
        <f>SUM(TabellaMar2026[[#This Row],[Colonna39]:[Colonna6]])</f>
        <v/>
      </c>
      <c r="AO94" s="117">
        <f t="array" ref="AO94">IF(
    AND($H94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($H94 / 1000) * AO$10 * $BA$4 * 0.25
    ),
    0
)
+
IF(
    $N94 &lt; 0.875,
    MAX(0, MIN(($H94 / 1000) * AO$10 * $BA$4, AO$11 * 0.876) - (AO$11 * $N94)) * 0.25,
    0
)</f>
        <v/>
      </c>
      <c r="AP94" s="117">
        <f t="array" ref="AP94">IF(
    AND($H94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($H94 / 1000) * AP$10 * $BA$4 * 0.25
    ),
    0
)
+
IF(
    $N94 &lt; 0.875,
    MAX(0, MIN(($H94 / 1000) * AP$10 * $BA$4, AP$11 * 0.876) - (AP$11 * $N94)) * 0.25,
    0
)</f>
        <v/>
      </c>
      <c r="AQ94" s="117">
        <f t="array" ref="AQ94">IF(
    AND($H94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($H94 / 1000) * AQ$10 * $BA$4 * 0.25
    ),
    0
)
+
IF(
    $N94 &lt; 0.875,
    MAX(0, MIN(($H94 / 1000) * AQ$10 * $BA$4, AQ$11 * 0.876) - (AQ$11 * $N94)) * 0.25,
    0
)</f>
        <v/>
      </c>
      <c r="AR94" s="117">
        <f t="array" ref="AR94">IF(
    AND($H94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($H94 / 1000) * AR$10 * $BA$4 * 0.25
    ),
    0
)
+
IF(
    $N94 &lt; 0.875,
    MAX(0, MIN(($H94 / 1000) * AR$10 * $BA$4, AR$11 * 0.876) - (AR$11 * $N94)) * 0.25,
    0
)</f>
        <v/>
      </c>
      <c r="AS94" s="117">
        <f t="array" ref="AS94">IF(
    AND($H94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($H94 / 1000) * AS$10 * $BA$4 * 0.25
    ),
    0
)
+
IF(
    $N94 &lt; 0.875,
    MAX(0, MIN(($H94 / 1000) * AS$10 * $BA$4, AS$11 * 0.876) - (AS$11 * $N94)) * 0.25,
    0
)</f>
        <v/>
      </c>
      <c r="AT94" s="117">
        <f t="array" ref="AT94">IF(
    AND($H94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($H94 / 1000) * AT$10 * $BA$4 * 0.25
    ),
    0
)
+
IF(
    $N94 &lt; 0.875,
    MAX(0, MIN(($H94 / 1000) * AT$10 * $BA$4, AT$11 * 0.876) - (AT$11 * $N94)) * 0.25,
    0
)</f>
        <v/>
      </c>
      <c r="AU94" s="117">
        <f t="array" ref="AU94">IF(
    AND($H94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($H94 / 1000) * AU$10 * $BA$4 * 0.25
    ),
    0
)
+
IF(
    $N94 &lt; 0.875,
    MAX(0, MIN(($H94 / 1000) * AU$10 * $BA$4, AU$11 * 0.876) - (AU$11 * $N94)) * 0.25,
    0
)</f>
        <v/>
      </c>
      <c r="AV94" s="117">
        <f t="array" ref="AV94">IF(
    AND($H94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($H94 / 1000) * AV$10 * $BA$4 * 0.25
    ),
    0
)
+
IF(
    $N94 &lt; 0.875,
    MAX(0, MIN(($H94 / 1000) * AV$10 * $BA$4, AV$11 * 0.876) - (AV$11 * $N94)) * 0.25,
    0
)</f>
        <v/>
      </c>
      <c r="AW94" s="117">
        <f t="array" ref="AW94">IF(
    AND($H94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($H94 / 1000) * AW$10 * $BA$4 * 0.25
    ),
    0
)
+
IF(
    $N94 &lt; 0.875,
    MAX(0, MIN(($H94 / 1000) * AW$10 * $BA$4, AW$11 * 0.876) - (AW$11 * $N94)) * 0.25,
    0
)</f>
        <v/>
      </c>
      <c r="AX94" s="117">
        <f t="array" ref="AX94">IF(
    AND($H94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($H94 / 1000) * AX$10 * $BA$4 * 0.25
    ),
    0
)
+
IF(
    $N94 &lt; 0.875,
    MAX(0, MIN(($H94 / 1000) * AX$10 * $BA$4, AX$11 * 0.876) - (AX$11 * $N94)) * 0.25,
    0
)</f>
        <v/>
      </c>
      <c r="AY94" s="117">
        <f t="array" ref="AY94">IF(
    AND($H94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($H94 / 1000) * AY$10 * $BA$4 * 0.25
    ),
    0
)
+
IF(
    $N94 &lt; 0.875,
    MAX(0, MIN(($H94 / 1000) * AY$10 * $BA$4, AY$11 * 0.876) - (AY$11 * $N94)) * 0.25,
    0
)</f>
        <v/>
      </c>
      <c r="AZ94" s="117">
        <f t="array" ref="AZ94">IF(
    AND($H94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($H94 / 1000) * AZ$10 * $BA$4 * 0.25
    ),
    0
)
+
IF(
    $N94 &lt; 0.875,
    MAX(0, MIN(($H94 / 1000) * AZ$10 * $BA$4, AZ$11 * 0.876) - (AZ$11 * $N94)) * 0.25,
    0
)</f>
        <v/>
      </c>
      <c r="BA94" s="119">
        <f>SUM(TabellaMar2026[[#This Row],[Colonna54]:[Colonna53]])</f>
        <v/>
      </c>
    </row>
    <row r="95">
      <c r="A95" s="112" t="n">
        <v>46143</v>
      </c>
      <c r="B95" t="inlineStr">
        <is>
          <t>20:00:00.000</t>
        </is>
      </c>
      <c r="C95" s="2" t="n">
        <v>5.8</v>
      </c>
      <c r="D95" s="113" t="n">
        <v>0.00145</v>
      </c>
      <c r="E95" s="113" t="n">
        <v>6.3</v>
      </c>
      <c r="F95" s="113" t="n">
        <v>0.001575</v>
      </c>
      <c r="G95" s="113">
        <f>IFERROR((D95+F95)/2, 0)</f>
        <v/>
      </c>
      <c r="H95" s="114">
        <f>IFERROR(IF(AVERAGE(C95,E95)&gt;$BA$7,AVERAGE(C95,E95),0), 0)</f>
        <v/>
      </c>
      <c r="I95" s="114">
        <f>IFERROR(IF(AND(D95=0,F95=0),0,IF(H95&gt;$BA$6,MAX(D95,F95),G95)), 0)</f>
        <v/>
      </c>
      <c r="J95" s="113">
        <f>IFERROR(IF(AND(D95&gt;0,F95&gt;0),ABS(D95-F95)/AVERAGE(D95,F95),0), 0)</f>
        <v/>
      </c>
      <c r="K95" s="113" t="n">
        <v>30141.3</v>
      </c>
      <c r="L95" s="113" t="n">
        <v>30141.3</v>
      </c>
      <c r="M95" s="115">
        <f>IFERROR((L95-K95)*1000, 0)</f>
        <v/>
      </c>
      <c r="N95" s="113" t="n">
        <v>0.8759999999999999</v>
      </c>
      <c r="O95" s="115">
        <f t="array" ref="O95">IF(
    AND($H95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($H95 / 1000) * O$10 * $BA$4 * 0.25
    ),
    0
)
+
IF(
    $N95 &lt; 0.875,
    MAX(0, MIN(($H95 / 1000) * O$10 * $BA$4, O$11 * 0.876) - (O$11 * $N95)) * 0.25,
    0
)</f>
        <v/>
      </c>
      <c r="P95" s="115">
        <f t="array" ref="P95">IF(
    AND($H95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($H95 / 1000) * P$10 * $BA$4 * 0.25
    ),
    0
)
+
IF(
    $N95 &lt; 0.875,
    MAX(0, MIN(($H95 / 1000) * P$10 * $BA$4, P$11 * 0.876) - (P$11 * $N95)) * 0.25,
    0
)</f>
        <v/>
      </c>
      <c r="Q95" s="115">
        <f t="array" ref="Q95">IF(
    AND($H95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($H95 / 1000) * Q$10 * $BA$4 * 0.25
    ),
    0
)
+
IF(
    $N95 &lt; 0.875,
    MAX(0, MIN(($H95 / 1000) * Q$10 * $BA$4, Q$11 * 0.876) - (Q$11 * $N95)) * 0.25,
    0
)</f>
        <v/>
      </c>
      <c r="R95" s="115">
        <f t="array" ref="R95">IF(
    AND($H95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($H95 / 1000) * R$10 * $BA$4 * 0.25
    ),
    0
)
+
IF(
    $N95 &lt; 0.875,
    MAX(0, MIN(($H95 / 1000) * R$10 * $BA$4, R$11 * 0.876) - (R$11 * $N95)) * 0.25,
    0
)</f>
        <v/>
      </c>
      <c r="S95" s="115">
        <f t="array" ref="S95">IF(
    AND($H95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($H95 / 1000) * S$10 * $BA$4 * 0.25
    ),
    0
)
+
IF(
    $N95 &lt; 0.875,
    MAX(0, MIN(($H95 / 1000) * S$10 * $BA$4, S$11 * 0.876) - (S$11 * $N95)) * 0.25,
    0
)</f>
        <v/>
      </c>
      <c r="T95" s="115">
        <f t="array" ref="T95">IF(
    AND($H95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($H95 / 1000) * T$10 * $BA$4 * 0.25
    ),
    0
)
+
IF(
    $N95 &lt; 0.875,
    MAX(0, MIN(($H95 / 1000) * T$10 * $BA$4, T$11 * 0.876) - (T$11 * $N95)) * 0.25,
    0
)</f>
        <v/>
      </c>
      <c r="U95" s="115">
        <f t="array" ref="U95">IF(
    AND($H95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($H95 / 1000) * U$10 * $BA$4 * 0.25
    ),
    0
)
+
IF(
    $N95 &lt; 0.875,
    MAX(0, MIN(($H95 / 1000) * U$10 * $BA$4, U$11 * 0.876) - (U$11 * $N95)) * 0.25,
    0
)</f>
        <v/>
      </c>
      <c r="V95" s="115">
        <f t="array" ref="V95">IF(
    AND($H95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($H95 / 1000) * V$10 * $BA$4 * 0.25
    ),
    0
)
+
IF(
    $N95 &lt; 0.875,
    MAX(0, MIN(($H95 / 1000) * V$10 * $BA$4, V$11 * 0.876) - (V$11 * $N95)) * 0.25,
    0
)</f>
        <v/>
      </c>
      <c r="W95" s="115">
        <f t="array" ref="W95">IF(
    AND($H95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($H95 / 1000) * W$10 * $BA$4 * 0.25
    ),
    0
)
+
IF(
    $N95 &lt; 0.875,
    MAX(0, MIN(($H95 / 1000) * W$10 * $BA$4, W$11 * 0.876) - (W$11 * $N95)) * 0.25,
    0
)</f>
        <v/>
      </c>
      <c r="X95" s="115">
        <f t="array" ref="X95">IF(
    AND($H95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($H95 / 1000) * X$10 * $BA$4 * 0.25
    ),
    0
)
+
IF(
    $N95 &lt; 0.875,
    MAX(0, MIN(($H95 / 1000) * X$10 * $BA$4, X$11 * 0.876) - (X$11 * $N95)) * 0.25,
    0
)</f>
        <v/>
      </c>
      <c r="Y95" s="115">
        <f t="array" ref="Y95">IF(
    AND($H95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($H95 / 1000) * Y$10 * $BA$4 * 0.25
    ),
    0
)
+
IF(
    $N95 &lt; 0.875,
    MAX(0, MIN(($H95 / 1000) * Y$10 * $BA$4, Y$11 * 0.876) - (Y$11 * $N95)) * 0.25,
    0
)</f>
        <v/>
      </c>
      <c r="Z95" s="115">
        <f t="array" ref="Z95">IF(
    AND($H95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($H95 / 1000) * Z$10 * $BA$4 * 0.25
    ),
    0
)
+
IF(
    $N95 &lt; 0.875,
    MAX(0, MIN(($H95 / 1000) * Z$10 * $BA$4, Z$11 * 0.876) - (Z$11 * $N95)) * 0.25,
    0
)</f>
        <v/>
      </c>
      <c r="AA95" s="116">
        <f>SUM(TabellaMar2026[[#This Row],[Colonna24]:[Colonna20]])</f>
        <v/>
      </c>
      <c r="AB95" s="117">
        <f>IF(
    AND($H95 &gt; $BA$7, Tabella01MarzoInverter[[#This Row],[Active power TX2-INV-1]] &lt;= 0, Tabella01MarzoInverter[[#This Row],[TX2 - Average Power]] &lt;= 0),
    MIN(($H95 / 1000) * AB$10 * $BA$4, AB$11 * 0.876) * 0.25,
    IF(
        AND($H95 &gt; $BA$7, Tabella01MarzoInverter[[#This Row],[Active power TX2-INV-1]] &lt;= 0),
        Tabella01MarzoInverter[[#This Row],[TX2 - Average Power]] * 0.25,
        0
    )
    +
    IF(
        $N95 &lt; 0.875,
        MAX(0, MIN(($H95 / 1000) * AB$10 * $BA$4, AB$11 * 0.876) - (AB$11 * $N95)) * 0.25,
        0
    )
)</f>
        <v/>
      </c>
      <c r="AC95" s="117">
        <f>IF(
    AND($H95 &gt; $BA$7, Tabella01MarzoInverter[[#This Row],[Active power TX2-INV-2]] &lt;= 0, Tabella01MarzoInverter[[#This Row],[TX2 - Max Power]] &lt;= 0),
    MIN(($H95 / 1000) * AC$10 * $BA$4, AC$11 * 0.876) * 0.25,
    IF(
        AND($H95 &gt; $BA$7, Tabella01MarzoInverter[[#This Row],[Active power TX2-INV-2]] &lt;= 0),
        Tabella01MarzoInverter[[#This Row],[TX2 - Max Power]] * 0.25,
        0
    )
    +
    IF(
        $N95 &lt; 0.875,
        MAX(0, MIN(($H95 / 1000) * AC$10 * $BA$4, AC$11 * 0.876) - (AC$11 * $N95)) * 0.25,
        0
    )
)</f>
        <v/>
      </c>
      <c r="AD95" s="117">
        <f>IF(
    AND($H95 &gt; $BA$7, Tabella01MarzoInverter[[#This Row],[Active power TX2-INV-3]] &lt;= 0, Tabella01MarzoInverter[[#This Row],[TX2 - Min Power]] &lt;= 0),
    MIN(($H95 / 1000) * AD$10 * $BA$4, AD$11 * 0.876) * 0.25,
    IF(
        AND($H95 &gt; $BA$7, Tabella01MarzoInverter[[#This Row],[Active power TX2-INV-3]] &lt;= 0),
        Tabella01MarzoInverter[[#This Row],[TX2 - Min Power]] * 0.25,
        0
    )
    +
    IF(
        $N95 &lt; 0.875,
        MAX(0, MIN(($H95 / 1000) * AD$10 * $BA$4, AD$11 * 0.876) - (AD$11 * $N95)) * 0.25,
        0
    )
)</f>
        <v/>
      </c>
      <c r="AE95" s="117">
        <f>IF(
    AND($H95 &gt; $BA$7, Tabella01MarzoInverter[[#This Row],[Active power TX2-INV-4]] &lt;= 0, Tabella01MarzoInverter[[#This Row],[Active power TX3-INV-1]] &lt;= 0),
    MIN(($H95 / 1000) * AE$10 * $BA$4, AE$11 * 0.876) * 0.25,
    IF(
        AND($H95 &gt; $BA$7, Tabella01MarzoInverter[[#This Row],[Active power TX2-INV-4]] &lt;= 0),
        Tabella01MarzoInverter[[#This Row],[Active power TX3-INV-1]] * 0.25,
        0
    )
    +
    IF(
        $N95 &lt; 0.875,
        MAX(0, MIN(($H95 / 1000) * AE$10 * $BA$4, AE$11 * 0.876) - (AE$11 * $N95)) * 0.25,
        0
    )
)</f>
        <v/>
      </c>
      <c r="AF95" s="117">
        <f>IF(
    AND($H95 &gt; $BA$7, Tabella01MarzoInverter[[#This Row],[Active power TX2-INV-5]] &lt;= 0, Tabella01MarzoInverter[[#This Row],[Active power TX3-INV-2]] &lt;= 0),
    MIN(($H95 / 1000) * AF$10 * $BA$4, AF$11 * 0.876) * 0.25,
    IF(
        AND($H95 &gt; $BA$7, Tabella01MarzoInverter[[#This Row],[Active power TX2-INV-5]] &lt;= 0),
        Tabella01MarzoInverter[[#This Row],[Active power TX3-INV-2]] * 0.25,
        0
    )
    +
    IF(
        $N95 &lt; 0.875,
        MAX(0, MIN(($H95 / 1000) * AF$10 * $BA$4, AF$11 * 0.876) - (AF$11 * $N95)) * 0.25,
        0
    )
)</f>
        <v/>
      </c>
      <c r="AG95" s="117">
        <f>IF(
    AND($H95 &gt; $BA$7, Tabella01MarzoInverter[[#This Row],[Active power TX2-INV-6]] &lt;= 0, Tabella01MarzoInverter[[#This Row],[Active power TX3-INV-3]] &lt;= 0),
    MIN(($H95 / 1000) * AG$10 * $BA$4, AG$11 * 0.876) * 0.25,
    IF(
        AND($H95 &gt; $BA$7, Tabella01MarzoInverter[[#This Row],[Active power TX2-INV-6]] &lt;= 0),
        Tabella01MarzoInverter[[#This Row],[Active power TX3-INV-3]] * 0.25,
        0
    )
    +
    IF(
        $N95 &lt; 0.875,
        MAX(0, MIN(($H95 / 1000) * AG$10 * $BA$4, AG$11 * 0.876) - (AG$11 * $N95)) * 0.25,
        0
    )
)</f>
        <v/>
      </c>
      <c r="AH95" s="117">
        <f>IF(
    AND($H95 &gt; $BA$7, Tabella01MarzoInverter[[#This Row],[Active power TX2-INV-7]] &lt;= 0, Tabella01MarzoInverter[[#This Row],[Active power TX3-INV-4]] &lt;= 0),
    MIN(($H95 / 1000) * AH$10 * $BA$4, AH$11 * 0.876) * 0.25,
    IF(
        AND($H95 &gt; $BA$7, Tabella01MarzoInverter[[#This Row],[Active power TX2-INV-7]] &lt;= 0),
        Tabella01MarzoInverter[[#This Row],[Active power TX3-INV-4]] * 0.25,
        0
    )
    +
    IF(
        $N95 &lt; 0.875,
        MAX(0, MIN(($H95 / 1000) * AH$10 * $BA$4, AH$11 * 0.876) - (AH$11 * $N95)) * 0.25,
        0
    )
)</f>
        <v/>
      </c>
      <c r="AI95" s="117">
        <f>IF(
    AND($H95 &gt; $BA$7, Tabella01MarzoInverter[[#This Row],[Active power TX2-INV-8]] &lt;= 0, Tabella01MarzoInverter[[#This Row],[Active power TX3-INV-5]] &lt;= 0),
    MIN(($H95 / 1000) * AI$10 * $BA$4, AI$11 * 0.876) * 0.25,
    IF(
        AND($H95 &gt; $BA$7, Tabella01MarzoInverter[[#This Row],[Active power TX2-INV-8]] &lt;= 0),
        Tabella01MarzoInverter[[#This Row],[Active power TX3-INV-5]] * 0.25,
        0
    )
    +
    IF(
        $N95 &lt; 0.875,
        MAX(0, MIN(($H95 / 1000) * AI$10 * $BA$4, AI$11 * 0.876) - (AI$11 * $N95)) * 0.25,
        0
    )
)</f>
        <v/>
      </c>
      <c r="AJ95" s="117">
        <f>IF(
    AND($H95 &gt; $BA$7, Tabella01MarzoInverter[[#This Row],[Active power TX2-INV-9]] &lt;= 0, Tabella01MarzoInverter[[#This Row],[Active power TX3-INV-6]] &lt;= 0),
    MIN(($H95 / 1000) * AJ$10 * $BA$4, AJ$11 * 0.876) * 0.25,
    IF(
        AND($H95 &gt; $BA$7, Tabella01MarzoInverter[[#This Row],[Active power TX2-INV-9]] &lt;= 0),
        Tabella01MarzoInverter[[#This Row],[Active power TX3-INV-6]] * 0.25,
        0
    )
    +
    IF(
        $N95 &lt; 0.875,
        MAX(0, MIN(($H95 / 1000) * AJ$10 * $BA$4, AJ$11 * 0.876) - (AJ$11 * $N95)) * 0.25,
        0
    )
)</f>
        <v/>
      </c>
      <c r="AK95" s="117">
        <f>IF(
    AND($H95 &gt; $BA$7, Tabella01MarzoInverter[[#This Row],[Active power TX2-INV-10]] &lt;= 0, Tabella01MarzoInverter[[#This Row],[Active power TX3-INV-7]] &lt;= 0),
    MIN(($H95 / 1000) * AK$10 * $BA$4, AK$11 * 0.876) * 0.25,
    IF(
        AND($H95 &gt; $BA$7, Tabella01MarzoInverter[[#This Row],[Active power TX2-INV-10]] &lt;= 0),
        Tabella01MarzoInverter[[#This Row],[Active power TX3-INV-7]] * 0.25,
        0
    )
    +
    IF(
        $N95 &lt; 0.875,
        MAX(0, MIN(($H95 / 1000) * AK$10 * $BA$4, AK$11 * 0.876) - (AK$11 * $N95)) * 0.25,
        0
    )
)</f>
        <v/>
      </c>
      <c r="AL95" s="117">
        <f>IF(
    AND($H95 &gt; $BA$7, Tabella01MarzoInverter[[#This Row],[Active power TX2-INV-11]] &lt;= 0, Tabella01MarzoInverter[[#This Row],[Active power TX3-INV-8]] &lt;= 0),
    MIN(($H95 / 1000) * AL$10 * $BA$4, AL$11 * 0.876) * 0.25,
    IF(
        AND($H95 &gt; $BA$7, Tabella01MarzoInverter[[#This Row],[Active power TX2-INV-11]] &lt;= 0),
        Tabella01MarzoInverter[[#This Row],[Active power TX3-INV-8]] * 0.25,
        0
    )
    +
    IF(
        $N95 &lt; 0.875,
        MAX(0, MIN(($H95 / 1000) * AL$10 * $BA$4, AL$11 * 0.876) - (AL$11 * $N95)) * 0.25,
        0
    )
)</f>
        <v/>
      </c>
      <c r="AM95" s="117">
        <f>IF(
    AND($H95 &gt; $BA$7, Tabella01MarzoInverter[[#This Row],[Active power TX2-INV-12]] &lt;= 0, Tabella01MarzoInverter[[#This Row],[Active power TX3-INV-9]] &lt;= 0),
    MIN(($H95 / 1000) * AM$10 * $BA$4, AM$11 * 0.876) * 0.25,
    IF(
        AND($H95 &gt; $BA$7, Tabella01MarzoInverter[[#This Row],[Active power TX2-INV-12]] &lt;= 0),
        Tabella01MarzoInverter[[#This Row],[Active power TX3-INV-9]] * 0.25,
        0
    )
    +
    IF(
        $N95 &lt; 0.875,
        MAX(0, MIN(($H95 / 1000) * AM$10 * $BA$4, AM$11 * 0.876) - (AM$11 * $N95)) * 0.25,
        0
    )
)</f>
        <v/>
      </c>
      <c r="AN95" s="118">
        <f>SUM(TabellaMar2026[[#This Row],[Colonna39]:[Colonna6]])</f>
        <v/>
      </c>
      <c r="AO95" s="117">
        <f t="array" ref="AO95">IF(
    AND($H95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($H95 / 1000) * AO$10 * $BA$4 * 0.25
    ),
    0
)
+
IF(
    $N95 &lt; 0.875,
    MAX(0, MIN(($H95 / 1000) * AO$10 * $BA$4, AO$11 * 0.876) - (AO$11 * $N95)) * 0.25,
    0
)</f>
        <v/>
      </c>
      <c r="AP95" s="117">
        <f t="array" ref="AP95">IF(
    AND($H95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($H95 / 1000) * AP$10 * $BA$4 * 0.25
    ),
    0
)
+
IF(
    $N95 &lt; 0.875,
    MAX(0, MIN(($H95 / 1000) * AP$10 * $BA$4, AP$11 * 0.876) - (AP$11 * $N95)) * 0.25,
    0
)</f>
        <v/>
      </c>
      <c r="AQ95" s="117">
        <f t="array" ref="AQ95">IF(
    AND($H95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($H95 / 1000) * AQ$10 * $BA$4 * 0.25
    ),
    0
)
+
IF(
    $N95 &lt; 0.875,
    MAX(0, MIN(($H95 / 1000) * AQ$10 * $BA$4, AQ$11 * 0.876) - (AQ$11 * $N95)) * 0.25,
    0
)</f>
        <v/>
      </c>
      <c r="AR95" s="117">
        <f t="array" ref="AR95">IF(
    AND($H95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($H95 / 1000) * AR$10 * $BA$4 * 0.25
    ),
    0
)
+
IF(
    $N95 &lt; 0.875,
    MAX(0, MIN(($H95 / 1000) * AR$10 * $BA$4, AR$11 * 0.876) - (AR$11 * $N95)) * 0.25,
    0
)</f>
        <v/>
      </c>
      <c r="AS95" s="117">
        <f t="array" ref="AS95">IF(
    AND($H95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($H95 / 1000) * AS$10 * $BA$4 * 0.25
    ),
    0
)
+
IF(
    $N95 &lt; 0.875,
    MAX(0, MIN(($H95 / 1000) * AS$10 * $BA$4, AS$11 * 0.876) - (AS$11 * $N95)) * 0.25,
    0
)</f>
        <v/>
      </c>
      <c r="AT95" s="117">
        <f t="array" ref="AT95">IF(
    AND($H95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($H95 / 1000) * AT$10 * $BA$4 * 0.25
    ),
    0
)
+
IF(
    $N95 &lt; 0.875,
    MAX(0, MIN(($H95 / 1000) * AT$10 * $BA$4, AT$11 * 0.876) - (AT$11 * $N95)) * 0.25,
    0
)</f>
        <v/>
      </c>
      <c r="AU95" s="117">
        <f t="array" ref="AU95">IF(
    AND($H95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($H95 / 1000) * AU$10 * $BA$4 * 0.25
    ),
    0
)
+
IF(
    $N95 &lt; 0.875,
    MAX(0, MIN(($H95 / 1000) * AU$10 * $BA$4, AU$11 * 0.876) - (AU$11 * $N95)) * 0.25,
    0
)</f>
        <v/>
      </c>
      <c r="AV95" s="117">
        <f t="array" ref="AV95">IF(
    AND($H95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($H95 / 1000) * AV$10 * $BA$4 * 0.25
    ),
    0
)
+
IF(
    $N95 &lt; 0.875,
    MAX(0, MIN(($H95 / 1000) * AV$10 * $BA$4, AV$11 * 0.876) - (AV$11 * $N95)) * 0.25,
    0
)</f>
        <v/>
      </c>
      <c r="AW95" s="117">
        <f t="array" ref="AW95">IF(
    AND($H95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($H95 / 1000) * AW$10 * $BA$4 * 0.25
    ),
    0
)
+
IF(
    $N95 &lt; 0.875,
    MAX(0, MIN(($H95 / 1000) * AW$10 * $BA$4, AW$11 * 0.876) - (AW$11 * $N95)) * 0.25,
    0
)</f>
        <v/>
      </c>
      <c r="AX95" s="117">
        <f t="array" ref="AX95">IF(
    AND($H95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($H95 / 1000) * AX$10 * $BA$4 * 0.25
    ),
    0
)
+
IF(
    $N95 &lt; 0.875,
    MAX(0, MIN(($H95 / 1000) * AX$10 * $BA$4, AX$11 * 0.876) - (AX$11 * $N95)) * 0.25,
    0
)</f>
        <v/>
      </c>
      <c r="AY95" s="117">
        <f t="array" ref="AY95">IF(
    AND($H95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($H95 / 1000) * AY$10 * $BA$4 * 0.25
    ),
    0
)
+
IF(
    $N95 &lt; 0.875,
    MAX(0, MIN(($H95 / 1000) * AY$10 * $BA$4, AY$11 * 0.876) - (AY$11 * $N95)) * 0.25,
    0
)</f>
        <v/>
      </c>
      <c r="AZ95" s="117">
        <f t="array" ref="AZ95">IF(
    AND($H95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($H95 / 1000) * AZ$10 * $BA$4 * 0.25
    ),
    0
)
+
IF(
    $N95 &lt; 0.875,
    MAX(0, MIN(($H95 / 1000) * AZ$10 * $BA$4, AZ$11 * 0.876) - (AZ$11 * $N95)) * 0.25,
    0
)</f>
        <v/>
      </c>
      <c r="BA95" s="119">
        <f>SUM(TabellaMar2026[[#This Row],[Colonna54]:[Colonna53]])</f>
        <v/>
      </c>
    </row>
    <row r="96">
      <c r="A96" s="112" t="n">
        <v>46143</v>
      </c>
      <c r="B96" t="inlineStr">
        <is>
          <t>20:15:00.000</t>
        </is>
      </c>
      <c r="C96" s="2" t="n">
        <v>-0.7</v>
      </c>
      <c r="D96" s="113" t="n">
        <v>-0.000175</v>
      </c>
      <c r="E96" s="113" t="n">
        <v>-0.4</v>
      </c>
      <c r="F96" s="113" t="n">
        <v>-0.0001</v>
      </c>
      <c r="G96" s="113">
        <f>IFERROR((D96+F96)/2, 0)</f>
        <v/>
      </c>
      <c r="H96" s="114">
        <f>IFERROR(IF(AVERAGE(C96,E96)&gt;$BA$7,AVERAGE(C96,E96),0), 0)</f>
        <v/>
      </c>
      <c r="I96" s="114">
        <f>IFERROR(IF(AND(D96=0,F96=0),0,IF(H96&gt;$BA$6,MAX(D96,F96),G96)), 0)</f>
        <v/>
      </c>
      <c r="J96" s="113">
        <f>IFERROR(IF(AND(D96&gt;0,F96&gt;0),ABS(D96-F96)/AVERAGE(D96,F96),0), 0)</f>
        <v/>
      </c>
      <c r="K96" s="113" t="n">
        <v>30141.3</v>
      </c>
      <c r="L96" s="113" t="n">
        <v>30141.3</v>
      </c>
      <c r="M96" s="115">
        <f>IFERROR((L96-K96)*1000, 0)</f>
        <v/>
      </c>
      <c r="N96" s="113" t="n">
        <v>0.8759999999999999</v>
      </c>
      <c r="O96" s="115">
        <f t="array" ref="O96">IF(
    AND($H96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($H96 / 1000) * O$10 * $BA$4 * 0.25
    ),
    0
)
+
IF(
    $N96 &lt; 0.875,
    MAX(0, MIN(($H96 / 1000) * O$10 * $BA$4, O$11 * 0.876) - (O$11 * $N96)) * 0.25,
    0
)</f>
        <v/>
      </c>
      <c r="P96" s="115">
        <f t="array" ref="P96">IF(
    AND($H96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($H96 / 1000) * P$10 * $BA$4 * 0.25
    ),
    0
)
+
IF(
    $N96 &lt; 0.875,
    MAX(0, MIN(($H96 / 1000) * P$10 * $BA$4, P$11 * 0.876) - (P$11 * $N96)) * 0.25,
    0
)</f>
        <v/>
      </c>
      <c r="Q96" s="115">
        <f t="array" ref="Q96">IF(
    AND($H96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($H96 / 1000) * Q$10 * $BA$4 * 0.25
    ),
    0
)
+
IF(
    $N96 &lt; 0.875,
    MAX(0, MIN(($H96 / 1000) * Q$10 * $BA$4, Q$11 * 0.876) - (Q$11 * $N96)) * 0.25,
    0
)</f>
        <v/>
      </c>
      <c r="R96" s="115">
        <f t="array" ref="R96">IF(
    AND($H96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($H96 / 1000) * R$10 * $BA$4 * 0.25
    ),
    0
)
+
IF(
    $N96 &lt; 0.875,
    MAX(0, MIN(($H96 / 1000) * R$10 * $BA$4, R$11 * 0.876) - (R$11 * $N96)) * 0.25,
    0
)</f>
        <v/>
      </c>
      <c r="S96" s="115">
        <f t="array" ref="S96">IF(
    AND($H96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($H96 / 1000) * S$10 * $BA$4 * 0.25
    ),
    0
)
+
IF(
    $N96 &lt; 0.875,
    MAX(0, MIN(($H96 / 1000) * S$10 * $BA$4, S$11 * 0.876) - (S$11 * $N96)) * 0.25,
    0
)</f>
        <v/>
      </c>
      <c r="T96" s="115">
        <f t="array" ref="T96">IF(
    AND($H96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($H96 / 1000) * T$10 * $BA$4 * 0.25
    ),
    0
)
+
IF(
    $N96 &lt; 0.875,
    MAX(0, MIN(($H96 / 1000) * T$10 * $BA$4, T$11 * 0.876) - (T$11 * $N96)) * 0.25,
    0
)</f>
        <v/>
      </c>
      <c r="U96" s="115">
        <f t="array" ref="U96">IF(
    AND($H96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($H96 / 1000) * U$10 * $BA$4 * 0.25
    ),
    0
)
+
IF(
    $N96 &lt; 0.875,
    MAX(0, MIN(($H96 / 1000) * U$10 * $BA$4, U$11 * 0.876) - (U$11 * $N96)) * 0.25,
    0
)</f>
        <v/>
      </c>
      <c r="V96" s="115">
        <f t="array" ref="V96">IF(
    AND($H96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($H96 / 1000) * V$10 * $BA$4 * 0.25
    ),
    0
)
+
IF(
    $N96 &lt; 0.875,
    MAX(0, MIN(($H96 / 1000) * V$10 * $BA$4, V$11 * 0.876) - (V$11 * $N96)) * 0.25,
    0
)</f>
        <v/>
      </c>
      <c r="W96" s="115">
        <f t="array" ref="W96">IF(
    AND($H96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($H96 / 1000) * W$10 * $BA$4 * 0.25
    ),
    0
)
+
IF(
    $N96 &lt; 0.875,
    MAX(0, MIN(($H96 / 1000) * W$10 * $BA$4, W$11 * 0.876) - (W$11 * $N96)) * 0.25,
    0
)</f>
        <v/>
      </c>
      <c r="X96" s="115">
        <f t="array" ref="X96">IF(
    AND($H96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($H96 / 1000) * X$10 * $BA$4 * 0.25
    ),
    0
)
+
IF(
    $N96 &lt; 0.875,
    MAX(0, MIN(($H96 / 1000) * X$10 * $BA$4, X$11 * 0.876) - (X$11 * $N96)) * 0.25,
    0
)</f>
        <v/>
      </c>
      <c r="Y96" s="115">
        <f t="array" ref="Y96">IF(
    AND($H96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($H96 / 1000) * Y$10 * $BA$4 * 0.25
    ),
    0
)
+
IF(
    $N96 &lt; 0.875,
    MAX(0, MIN(($H96 / 1000) * Y$10 * $BA$4, Y$11 * 0.876) - (Y$11 * $N96)) * 0.25,
    0
)</f>
        <v/>
      </c>
      <c r="Z96" s="115">
        <f t="array" ref="Z96">IF(
    AND($H96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($H96 / 1000) * Z$10 * $BA$4 * 0.25
    ),
    0
)
+
IF(
    $N96 &lt; 0.875,
    MAX(0, MIN(($H96 / 1000) * Z$10 * $BA$4, Z$11 * 0.876) - (Z$11 * $N96)) * 0.25,
    0
)</f>
        <v/>
      </c>
      <c r="AA96" s="116">
        <f>SUM(TabellaMar2026[[#This Row],[Colonna24]:[Colonna20]])</f>
        <v/>
      </c>
      <c r="AB96" s="117">
        <f>IF(
    AND($H96 &gt; $BA$7, Tabella01MarzoInverter[[#This Row],[Active power TX2-INV-1]] &lt;= 0, Tabella01MarzoInverter[[#This Row],[TX2 - Average Power]] &lt;= 0),
    MIN(($H96 / 1000) * AB$10 * $BA$4, AB$11 * 0.876) * 0.25,
    IF(
        AND($H96 &gt; $BA$7, Tabella01MarzoInverter[[#This Row],[Active power TX2-INV-1]] &lt;= 0),
        Tabella01MarzoInverter[[#This Row],[TX2 - Average Power]] * 0.25,
        0
    )
    +
    IF(
        $N96 &lt; 0.875,
        MAX(0, MIN(($H96 / 1000) * AB$10 * $BA$4, AB$11 * 0.876) - (AB$11 * $N96)) * 0.25,
        0
    )
)</f>
        <v/>
      </c>
      <c r="AC96" s="117">
        <f>IF(
    AND($H96 &gt; $BA$7, Tabella01MarzoInverter[[#This Row],[Active power TX2-INV-2]] &lt;= 0, Tabella01MarzoInverter[[#This Row],[TX2 - Max Power]] &lt;= 0),
    MIN(($H96 / 1000) * AC$10 * $BA$4, AC$11 * 0.876) * 0.25,
    IF(
        AND($H96 &gt; $BA$7, Tabella01MarzoInverter[[#This Row],[Active power TX2-INV-2]] &lt;= 0),
        Tabella01MarzoInverter[[#This Row],[TX2 - Max Power]] * 0.25,
        0
    )
    +
    IF(
        $N96 &lt; 0.875,
        MAX(0, MIN(($H96 / 1000) * AC$10 * $BA$4, AC$11 * 0.876) - (AC$11 * $N96)) * 0.25,
        0
    )
)</f>
        <v/>
      </c>
      <c r="AD96" s="117">
        <f>IF(
    AND($H96 &gt; $BA$7, Tabella01MarzoInverter[[#This Row],[Active power TX2-INV-3]] &lt;= 0, Tabella01MarzoInverter[[#This Row],[TX2 - Min Power]] &lt;= 0),
    MIN(($H96 / 1000) * AD$10 * $BA$4, AD$11 * 0.876) * 0.25,
    IF(
        AND($H96 &gt; $BA$7, Tabella01MarzoInverter[[#This Row],[Active power TX2-INV-3]] &lt;= 0),
        Tabella01MarzoInverter[[#This Row],[TX2 - Min Power]] * 0.25,
        0
    )
    +
    IF(
        $N96 &lt; 0.875,
        MAX(0, MIN(($H96 / 1000) * AD$10 * $BA$4, AD$11 * 0.876) - (AD$11 * $N96)) * 0.25,
        0
    )
)</f>
        <v/>
      </c>
      <c r="AE96" s="117">
        <f>IF(
    AND($H96 &gt; $BA$7, Tabella01MarzoInverter[[#This Row],[Active power TX2-INV-4]] &lt;= 0, Tabella01MarzoInverter[[#This Row],[Active power TX3-INV-1]] &lt;= 0),
    MIN(($H96 / 1000) * AE$10 * $BA$4, AE$11 * 0.876) * 0.25,
    IF(
        AND($H96 &gt; $BA$7, Tabella01MarzoInverter[[#This Row],[Active power TX2-INV-4]] &lt;= 0),
        Tabella01MarzoInverter[[#This Row],[Active power TX3-INV-1]] * 0.25,
        0
    )
    +
    IF(
        $N96 &lt; 0.875,
        MAX(0, MIN(($H96 / 1000) * AE$10 * $BA$4, AE$11 * 0.876) - (AE$11 * $N96)) * 0.25,
        0
    )
)</f>
        <v/>
      </c>
      <c r="AF96" s="117">
        <f>IF(
    AND($H96 &gt; $BA$7, Tabella01MarzoInverter[[#This Row],[Active power TX2-INV-5]] &lt;= 0, Tabella01MarzoInverter[[#This Row],[Active power TX3-INV-2]] &lt;= 0),
    MIN(($H96 / 1000) * AF$10 * $BA$4, AF$11 * 0.876) * 0.25,
    IF(
        AND($H96 &gt; $BA$7, Tabella01MarzoInverter[[#This Row],[Active power TX2-INV-5]] &lt;= 0),
        Tabella01MarzoInverter[[#This Row],[Active power TX3-INV-2]] * 0.25,
        0
    )
    +
    IF(
        $N96 &lt; 0.875,
        MAX(0, MIN(($H96 / 1000) * AF$10 * $BA$4, AF$11 * 0.876) - (AF$11 * $N96)) * 0.25,
        0
    )
)</f>
        <v/>
      </c>
      <c r="AG96" s="117">
        <f>IF(
    AND($H96 &gt; $BA$7, Tabella01MarzoInverter[[#This Row],[Active power TX2-INV-6]] &lt;= 0, Tabella01MarzoInverter[[#This Row],[Active power TX3-INV-3]] &lt;= 0),
    MIN(($H96 / 1000) * AG$10 * $BA$4, AG$11 * 0.876) * 0.25,
    IF(
        AND($H96 &gt; $BA$7, Tabella01MarzoInverter[[#This Row],[Active power TX2-INV-6]] &lt;= 0),
        Tabella01MarzoInverter[[#This Row],[Active power TX3-INV-3]] * 0.25,
        0
    )
    +
    IF(
        $N96 &lt; 0.875,
        MAX(0, MIN(($H96 / 1000) * AG$10 * $BA$4, AG$11 * 0.876) - (AG$11 * $N96)) * 0.25,
        0
    )
)</f>
        <v/>
      </c>
      <c r="AH96" s="117">
        <f>IF(
    AND($H96 &gt; $BA$7, Tabella01MarzoInverter[[#This Row],[Active power TX2-INV-7]] &lt;= 0, Tabella01MarzoInverter[[#This Row],[Active power TX3-INV-4]] &lt;= 0),
    MIN(($H96 / 1000) * AH$10 * $BA$4, AH$11 * 0.876) * 0.25,
    IF(
        AND($H96 &gt; $BA$7, Tabella01MarzoInverter[[#This Row],[Active power TX2-INV-7]] &lt;= 0),
        Tabella01MarzoInverter[[#This Row],[Active power TX3-INV-4]] * 0.25,
        0
    )
    +
    IF(
        $N96 &lt; 0.875,
        MAX(0, MIN(($H96 / 1000) * AH$10 * $BA$4, AH$11 * 0.876) - (AH$11 * $N96)) * 0.25,
        0
    )
)</f>
        <v/>
      </c>
      <c r="AI96" s="117">
        <f>IF(
    AND($H96 &gt; $BA$7, Tabella01MarzoInverter[[#This Row],[Active power TX2-INV-8]] &lt;= 0, Tabella01MarzoInverter[[#This Row],[Active power TX3-INV-5]] &lt;= 0),
    MIN(($H96 / 1000) * AI$10 * $BA$4, AI$11 * 0.876) * 0.25,
    IF(
        AND($H96 &gt; $BA$7, Tabella01MarzoInverter[[#This Row],[Active power TX2-INV-8]] &lt;= 0),
        Tabella01MarzoInverter[[#This Row],[Active power TX3-INV-5]] * 0.25,
        0
    )
    +
    IF(
        $N96 &lt; 0.875,
        MAX(0, MIN(($H96 / 1000) * AI$10 * $BA$4, AI$11 * 0.876) - (AI$11 * $N96)) * 0.25,
        0
    )
)</f>
        <v/>
      </c>
      <c r="AJ96" s="117">
        <f>IF(
    AND($H96 &gt; $BA$7, Tabella01MarzoInverter[[#This Row],[Active power TX2-INV-9]] &lt;= 0, Tabella01MarzoInverter[[#This Row],[Active power TX3-INV-6]] &lt;= 0),
    MIN(($H96 / 1000) * AJ$10 * $BA$4, AJ$11 * 0.876) * 0.25,
    IF(
        AND($H96 &gt; $BA$7, Tabella01MarzoInverter[[#This Row],[Active power TX2-INV-9]] &lt;= 0),
        Tabella01MarzoInverter[[#This Row],[Active power TX3-INV-6]] * 0.25,
        0
    )
    +
    IF(
        $N96 &lt; 0.875,
        MAX(0, MIN(($H96 / 1000) * AJ$10 * $BA$4, AJ$11 * 0.876) - (AJ$11 * $N96)) * 0.25,
        0
    )
)</f>
        <v/>
      </c>
      <c r="AK96" s="117">
        <f>IF(
    AND($H96 &gt; $BA$7, Tabella01MarzoInverter[[#This Row],[Active power TX2-INV-10]] &lt;= 0, Tabella01MarzoInverter[[#This Row],[Active power TX3-INV-7]] &lt;= 0),
    MIN(($H96 / 1000) * AK$10 * $BA$4, AK$11 * 0.876) * 0.25,
    IF(
        AND($H96 &gt; $BA$7, Tabella01MarzoInverter[[#This Row],[Active power TX2-INV-10]] &lt;= 0),
        Tabella01MarzoInverter[[#This Row],[Active power TX3-INV-7]] * 0.25,
        0
    )
    +
    IF(
        $N96 &lt; 0.875,
        MAX(0, MIN(($H96 / 1000) * AK$10 * $BA$4, AK$11 * 0.876) - (AK$11 * $N96)) * 0.25,
        0
    )
)</f>
        <v/>
      </c>
      <c r="AL96" s="117">
        <f>IF(
    AND($H96 &gt; $BA$7, Tabella01MarzoInverter[[#This Row],[Active power TX2-INV-11]] &lt;= 0, Tabella01MarzoInverter[[#This Row],[Active power TX3-INV-8]] &lt;= 0),
    MIN(($H96 / 1000) * AL$10 * $BA$4, AL$11 * 0.876) * 0.25,
    IF(
        AND($H96 &gt; $BA$7, Tabella01MarzoInverter[[#This Row],[Active power TX2-INV-11]] &lt;= 0),
        Tabella01MarzoInverter[[#This Row],[Active power TX3-INV-8]] * 0.25,
        0
    )
    +
    IF(
        $N96 &lt; 0.875,
        MAX(0, MIN(($H96 / 1000) * AL$10 * $BA$4, AL$11 * 0.876) - (AL$11 * $N96)) * 0.25,
        0
    )
)</f>
        <v/>
      </c>
      <c r="AM96" s="117">
        <f>IF(
    AND($H96 &gt; $BA$7, Tabella01MarzoInverter[[#This Row],[Active power TX2-INV-12]] &lt;= 0, Tabella01MarzoInverter[[#This Row],[Active power TX3-INV-9]] &lt;= 0),
    MIN(($H96 / 1000) * AM$10 * $BA$4, AM$11 * 0.876) * 0.25,
    IF(
        AND($H96 &gt; $BA$7, Tabella01MarzoInverter[[#This Row],[Active power TX2-INV-12]] &lt;= 0),
        Tabella01MarzoInverter[[#This Row],[Active power TX3-INV-9]] * 0.25,
        0
    )
    +
    IF(
        $N96 &lt; 0.875,
        MAX(0, MIN(($H96 / 1000) * AM$10 * $BA$4, AM$11 * 0.876) - (AM$11 * $N96)) * 0.25,
        0
    )
)</f>
        <v/>
      </c>
      <c r="AN96" s="118">
        <f>SUM(TabellaMar2026[[#This Row],[Colonna39]:[Colonna6]])</f>
        <v/>
      </c>
      <c r="AO96" s="117">
        <f t="array" ref="AO96">IF(
    AND($H96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($H96 / 1000) * AO$10 * $BA$4 * 0.25
    ),
    0
)
+
IF(
    $N96 &lt; 0.875,
    MAX(0, MIN(($H96 / 1000) * AO$10 * $BA$4, AO$11 * 0.876) - (AO$11 * $N96)) * 0.25,
    0
)</f>
        <v/>
      </c>
      <c r="AP96" s="117">
        <f t="array" ref="AP96">IF(
    AND($H96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($H96 / 1000) * AP$10 * $BA$4 * 0.25
    ),
    0
)
+
IF(
    $N96 &lt; 0.875,
    MAX(0, MIN(($H96 / 1000) * AP$10 * $BA$4, AP$11 * 0.876) - (AP$11 * $N96)) * 0.25,
    0
)</f>
        <v/>
      </c>
      <c r="AQ96" s="117">
        <f t="array" ref="AQ96">IF(
    AND($H96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($H96 / 1000) * AQ$10 * $BA$4 * 0.25
    ),
    0
)
+
IF(
    $N96 &lt; 0.875,
    MAX(0, MIN(($H96 / 1000) * AQ$10 * $BA$4, AQ$11 * 0.876) - (AQ$11 * $N96)) * 0.25,
    0
)</f>
        <v/>
      </c>
      <c r="AR96" s="117">
        <f t="array" ref="AR96">IF(
    AND($H96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($H96 / 1000) * AR$10 * $BA$4 * 0.25
    ),
    0
)
+
IF(
    $N96 &lt; 0.875,
    MAX(0, MIN(($H96 / 1000) * AR$10 * $BA$4, AR$11 * 0.876) - (AR$11 * $N96)) * 0.25,
    0
)</f>
        <v/>
      </c>
      <c r="AS96" s="117">
        <f t="array" ref="AS96">IF(
    AND($H96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($H96 / 1000) * AS$10 * $BA$4 * 0.25
    ),
    0
)
+
IF(
    $N96 &lt; 0.875,
    MAX(0, MIN(($H96 / 1000) * AS$10 * $BA$4, AS$11 * 0.876) - (AS$11 * $N96)) * 0.25,
    0
)</f>
        <v/>
      </c>
      <c r="AT96" s="117">
        <f t="array" ref="AT96">IF(
    AND($H96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($H96 / 1000) * AT$10 * $BA$4 * 0.25
    ),
    0
)
+
IF(
    $N96 &lt; 0.875,
    MAX(0, MIN(($H96 / 1000) * AT$10 * $BA$4, AT$11 * 0.876) - (AT$11 * $N96)) * 0.25,
    0
)</f>
        <v/>
      </c>
      <c r="AU96" s="117">
        <f t="array" ref="AU96">IF(
    AND($H96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($H96 / 1000) * AU$10 * $BA$4 * 0.25
    ),
    0
)
+
IF(
    $N96 &lt; 0.875,
    MAX(0, MIN(($H96 / 1000) * AU$10 * $BA$4, AU$11 * 0.876) - (AU$11 * $N96)) * 0.25,
    0
)</f>
        <v/>
      </c>
      <c r="AV96" s="117">
        <f t="array" ref="AV96">IF(
    AND($H96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($H96 / 1000) * AV$10 * $BA$4 * 0.25
    ),
    0
)
+
IF(
    $N96 &lt; 0.875,
    MAX(0, MIN(($H96 / 1000) * AV$10 * $BA$4, AV$11 * 0.876) - (AV$11 * $N96)) * 0.25,
    0
)</f>
        <v/>
      </c>
      <c r="AW96" s="117">
        <f t="array" ref="AW96">IF(
    AND($H96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($H96 / 1000) * AW$10 * $BA$4 * 0.25
    ),
    0
)
+
IF(
    $N96 &lt; 0.875,
    MAX(0, MIN(($H96 / 1000) * AW$10 * $BA$4, AW$11 * 0.876) - (AW$11 * $N96)) * 0.25,
    0
)</f>
        <v/>
      </c>
      <c r="AX96" s="117">
        <f t="array" ref="AX96">IF(
    AND($H96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($H96 / 1000) * AX$10 * $BA$4 * 0.25
    ),
    0
)
+
IF(
    $N96 &lt; 0.875,
    MAX(0, MIN(($H96 / 1000) * AX$10 * $BA$4, AX$11 * 0.876) - (AX$11 * $N96)) * 0.25,
    0
)</f>
        <v/>
      </c>
      <c r="AY96" s="117">
        <f t="array" ref="AY96">IF(
    AND($H96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($H96 / 1000) * AY$10 * $BA$4 * 0.25
    ),
    0
)
+
IF(
    $N96 &lt; 0.875,
    MAX(0, MIN(($H96 / 1000) * AY$10 * $BA$4, AY$11 * 0.876) - (AY$11 * $N96)) * 0.25,
    0
)</f>
        <v/>
      </c>
      <c r="AZ96" s="117">
        <f t="array" ref="AZ96">IF(
    AND($H96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($H96 / 1000) * AZ$10 * $BA$4 * 0.25
    ),
    0
)
+
IF(
    $N96 &lt; 0.875,
    MAX(0, MIN(($H96 / 1000) * AZ$10 * $BA$4, AZ$11 * 0.876) - (AZ$11 * $N96)) * 0.25,
    0
)</f>
        <v/>
      </c>
      <c r="BA96" s="119">
        <f>SUM(TabellaMar2026[[#This Row],[Colonna54]:[Colonna53]])</f>
        <v/>
      </c>
    </row>
    <row r="97">
      <c r="A97" s="112" t="n">
        <v>46143</v>
      </c>
      <c r="B97" t="inlineStr">
        <is>
          <t>20:30:00.000</t>
        </is>
      </c>
      <c r="C97" s="2" t="n">
        <v>-2.5</v>
      </c>
      <c r="D97" s="113" t="n">
        <v>-0.000625</v>
      </c>
      <c r="E97" s="113" t="n">
        <v>-2.2</v>
      </c>
      <c r="F97" s="113" t="n">
        <v>-0.00055</v>
      </c>
      <c r="G97" s="113">
        <f>IFERROR((D97+F97)/2, 0)</f>
        <v/>
      </c>
      <c r="H97" s="114">
        <f>IFERROR(IF(AVERAGE(C97,E97)&gt;$BA$7,AVERAGE(C97,E97),0), 0)</f>
        <v/>
      </c>
      <c r="I97" s="114">
        <f>IFERROR(IF(AND(D97=0,F97=0),0,IF(H97&gt;$BA$6,MAX(D97,F97),G97)), 0)</f>
        <v/>
      </c>
      <c r="J97" s="113">
        <f>IFERROR(IF(AND(D97&gt;0,F97&gt;0),ABS(D97-F97)/AVERAGE(D97,F97),0), 0)</f>
        <v/>
      </c>
      <c r="K97" s="113" t="n">
        <v>30141.3</v>
      </c>
      <c r="L97" s="113" t="n">
        <v>30141.3</v>
      </c>
      <c r="M97" s="115">
        <f>IFERROR((L97-K97)*1000, 0)</f>
        <v/>
      </c>
      <c r="N97" s="113" t="n">
        <v>0.8759999999999999</v>
      </c>
      <c r="O97" s="115">
        <f t="array" ref="O97">IF(
    AND($H97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($H97 / 1000) * O$10 * $BA$4 * 0.25
    ),
    0
)
+
IF(
    $N97 &lt; 0.875,
    MAX(0, MIN(($H97 / 1000) * O$10 * $BA$4, O$11 * 0.876) - (O$11 * $N97)) * 0.25,
    0
)</f>
        <v/>
      </c>
      <c r="P97" s="115">
        <f t="array" ref="P97">IF(
    AND($H97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($H97 / 1000) * P$10 * $BA$4 * 0.25
    ),
    0
)
+
IF(
    $N97 &lt; 0.875,
    MAX(0, MIN(($H97 / 1000) * P$10 * $BA$4, P$11 * 0.876) - (P$11 * $N97)) * 0.25,
    0
)</f>
        <v/>
      </c>
      <c r="Q97" s="115">
        <f t="array" ref="Q97">IF(
    AND($H97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($H97 / 1000) * Q$10 * $BA$4 * 0.25
    ),
    0
)
+
IF(
    $N97 &lt; 0.875,
    MAX(0, MIN(($H97 / 1000) * Q$10 * $BA$4, Q$11 * 0.876) - (Q$11 * $N97)) * 0.25,
    0
)</f>
        <v/>
      </c>
      <c r="R97" s="115">
        <f t="array" ref="R97">IF(
    AND($H97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($H97 / 1000) * R$10 * $BA$4 * 0.25
    ),
    0
)
+
IF(
    $N97 &lt; 0.875,
    MAX(0, MIN(($H97 / 1000) * R$10 * $BA$4, R$11 * 0.876) - (R$11 * $N97)) * 0.25,
    0
)</f>
        <v/>
      </c>
      <c r="S97" s="115">
        <f t="array" ref="S97">IF(
    AND($H97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($H97 / 1000) * S$10 * $BA$4 * 0.25
    ),
    0
)
+
IF(
    $N97 &lt; 0.875,
    MAX(0, MIN(($H97 / 1000) * S$10 * $BA$4, S$11 * 0.876) - (S$11 * $N97)) * 0.25,
    0
)</f>
        <v/>
      </c>
      <c r="T97" s="115">
        <f t="array" ref="T97">IF(
    AND($H97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($H97 / 1000) * T$10 * $BA$4 * 0.25
    ),
    0
)
+
IF(
    $N97 &lt; 0.875,
    MAX(0, MIN(($H97 / 1000) * T$10 * $BA$4, T$11 * 0.876) - (T$11 * $N97)) * 0.25,
    0
)</f>
        <v/>
      </c>
      <c r="U97" s="115">
        <f t="array" ref="U97">IF(
    AND($H97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($H97 / 1000) * U$10 * $BA$4 * 0.25
    ),
    0
)
+
IF(
    $N97 &lt; 0.875,
    MAX(0, MIN(($H97 / 1000) * U$10 * $BA$4, U$11 * 0.876) - (U$11 * $N97)) * 0.25,
    0
)</f>
        <v/>
      </c>
      <c r="V97" s="115">
        <f t="array" ref="V97">IF(
    AND($H97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($H97 / 1000) * V$10 * $BA$4 * 0.25
    ),
    0
)
+
IF(
    $N97 &lt; 0.875,
    MAX(0, MIN(($H97 / 1000) * V$10 * $BA$4, V$11 * 0.876) - (V$11 * $N97)) * 0.25,
    0
)</f>
        <v/>
      </c>
      <c r="W97" s="115">
        <f t="array" ref="W97">IF(
    AND($H97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($H97 / 1000) * W$10 * $BA$4 * 0.25
    ),
    0
)
+
IF(
    $N97 &lt; 0.875,
    MAX(0, MIN(($H97 / 1000) * W$10 * $BA$4, W$11 * 0.876) - (W$11 * $N97)) * 0.25,
    0
)</f>
        <v/>
      </c>
      <c r="X97" s="115">
        <f t="array" ref="X97">IF(
    AND($H97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($H97 / 1000) * X$10 * $BA$4 * 0.25
    ),
    0
)
+
IF(
    $N97 &lt; 0.875,
    MAX(0, MIN(($H97 / 1000) * X$10 * $BA$4, X$11 * 0.876) - (X$11 * $N97)) * 0.25,
    0
)</f>
        <v/>
      </c>
      <c r="Y97" s="115">
        <f t="array" ref="Y97">IF(
    AND($H97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($H97 / 1000) * Y$10 * $BA$4 * 0.25
    ),
    0
)
+
IF(
    $N97 &lt; 0.875,
    MAX(0, MIN(($H97 / 1000) * Y$10 * $BA$4, Y$11 * 0.876) - (Y$11 * $N97)) * 0.25,
    0
)</f>
        <v/>
      </c>
      <c r="Z97" s="115">
        <f t="array" ref="Z97">IF(
    AND($H97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($H97 / 1000) * Z$10 * $BA$4 * 0.25
    ),
    0
)
+
IF(
    $N97 &lt; 0.875,
    MAX(0, MIN(($H97 / 1000) * Z$10 * $BA$4, Z$11 * 0.876) - (Z$11 * $N97)) * 0.25,
    0
)</f>
        <v/>
      </c>
      <c r="AA97" s="116">
        <f>SUM(TabellaMar2026[[#This Row],[Colonna24]:[Colonna20]])</f>
        <v/>
      </c>
      <c r="AB97" s="117">
        <f>IF(
    AND($H97 &gt; $BA$7, Tabella01MarzoInverter[[#This Row],[Active power TX2-INV-1]] &lt;= 0, Tabella01MarzoInverter[[#This Row],[TX2 - Average Power]] &lt;= 0),
    MIN(($H97 / 1000) * AB$10 * $BA$4, AB$11 * 0.876) * 0.25,
    IF(
        AND($H97 &gt; $BA$7, Tabella01MarzoInverter[[#This Row],[Active power TX2-INV-1]] &lt;= 0),
        Tabella01MarzoInverter[[#This Row],[TX2 - Average Power]] * 0.25,
        0
    )
    +
    IF(
        $N97 &lt; 0.875,
        MAX(0, MIN(($H97 / 1000) * AB$10 * $BA$4, AB$11 * 0.876) - (AB$11 * $N97)) * 0.25,
        0
    )
)</f>
        <v/>
      </c>
      <c r="AC97" s="117">
        <f>IF(
    AND($H97 &gt; $BA$7, Tabella01MarzoInverter[[#This Row],[Active power TX2-INV-2]] &lt;= 0, Tabella01MarzoInverter[[#This Row],[TX2 - Max Power]] &lt;= 0),
    MIN(($H97 / 1000) * AC$10 * $BA$4, AC$11 * 0.876) * 0.25,
    IF(
        AND($H97 &gt; $BA$7, Tabella01MarzoInverter[[#This Row],[Active power TX2-INV-2]] &lt;= 0),
        Tabella01MarzoInverter[[#This Row],[TX2 - Max Power]] * 0.25,
        0
    )
    +
    IF(
        $N97 &lt; 0.875,
        MAX(0, MIN(($H97 / 1000) * AC$10 * $BA$4, AC$11 * 0.876) - (AC$11 * $N97)) * 0.25,
        0
    )
)</f>
        <v/>
      </c>
      <c r="AD97" s="117">
        <f>IF(
    AND($H97 &gt; $BA$7, Tabella01MarzoInverter[[#This Row],[Active power TX2-INV-3]] &lt;= 0, Tabella01MarzoInverter[[#This Row],[TX2 - Min Power]] &lt;= 0),
    MIN(($H97 / 1000) * AD$10 * $BA$4, AD$11 * 0.876) * 0.25,
    IF(
        AND($H97 &gt; $BA$7, Tabella01MarzoInverter[[#This Row],[Active power TX2-INV-3]] &lt;= 0),
        Tabella01MarzoInverter[[#This Row],[TX2 - Min Power]] * 0.25,
        0
    )
    +
    IF(
        $N97 &lt; 0.875,
        MAX(0, MIN(($H97 / 1000) * AD$10 * $BA$4, AD$11 * 0.876) - (AD$11 * $N97)) * 0.25,
        0
    )
)</f>
        <v/>
      </c>
      <c r="AE97" s="117">
        <f>IF(
    AND($H97 &gt; $BA$7, Tabella01MarzoInverter[[#This Row],[Active power TX2-INV-4]] &lt;= 0, Tabella01MarzoInverter[[#This Row],[Active power TX3-INV-1]] &lt;= 0),
    MIN(($H97 / 1000) * AE$10 * $BA$4, AE$11 * 0.876) * 0.25,
    IF(
        AND($H97 &gt; $BA$7, Tabella01MarzoInverter[[#This Row],[Active power TX2-INV-4]] &lt;= 0),
        Tabella01MarzoInverter[[#This Row],[Active power TX3-INV-1]] * 0.25,
        0
    )
    +
    IF(
        $N97 &lt; 0.875,
        MAX(0, MIN(($H97 / 1000) * AE$10 * $BA$4, AE$11 * 0.876) - (AE$11 * $N97)) * 0.25,
        0
    )
)</f>
        <v/>
      </c>
      <c r="AF97" s="117">
        <f>IF(
    AND($H97 &gt; $BA$7, Tabella01MarzoInverter[[#This Row],[Active power TX2-INV-5]] &lt;= 0, Tabella01MarzoInverter[[#This Row],[Active power TX3-INV-2]] &lt;= 0),
    MIN(($H97 / 1000) * AF$10 * $BA$4, AF$11 * 0.876) * 0.25,
    IF(
        AND($H97 &gt; $BA$7, Tabella01MarzoInverter[[#This Row],[Active power TX2-INV-5]] &lt;= 0),
        Tabella01MarzoInverter[[#This Row],[Active power TX3-INV-2]] * 0.25,
        0
    )
    +
    IF(
        $N97 &lt; 0.875,
        MAX(0, MIN(($H97 / 1000) * AF$10 * $BA$4, AF$11 * 0.876) - (AF$11 * $N97)) * 0.25,
        0
    )
)</f>
        <v/>
      </c>
      <c r="AG97" s="117">
        <f>IF(
    AND($H97 &gt; $BA$7, Tabella01MarzoInverter[[#This Row],[Active power TX2-INV-6]] &lt;= 0, Tabella01MarzoInverter[[#This Row],[Active power TX3-INV-3]] &lt;= 0),
    MIN(($H97 / 1000) * AG$10 * $BA$4, AG$11 * 0.876) * 0.25,
    IF(
        AND($H97 &gt; $BA$7, Tabella01MarzoInverter[[#This Row],[Active power TX2-INV-6]] &lt;= 0),
        Tabella01MarzoInverter[[#This Row],[Active power TX3-INV-3]] * 0.25,
        0
    )
    +
    IF(
        $N97 &lt; 0.875,
        MAX(0, MIN(($H97 / 1000) * AG$10 * $BA$4, AG$11 * 0.876) - (AG$11 * $N97)) * 0.25,
        0
    )
)</f>
        <v/>
      </c>
      <c r="AH97" s="117">
        <f>IF(
    AND($H97 &gt; $BA$7, Tabella01MarzoInverter[[#This Row],[Active power TX2-INV-7]] &lt;= 0, Tabella01MarzoInverter[[#This Row],[Active power TX3-INV-4]] &lt;= 0),
    MIN(($H97 / 1000) * AH$10 * $BA$4, AH$11 * 0.876) * 0.25,
    IF(
        AND($H97 &gt; $BA$7, Tabella01MarzoInverter[[#This Row],[Active power TX2-INV-7]] &lt;= 0),
        Tabella01MarzoInverter[[#This Row],[Active power TX3-INV-4]] * 0.25,
        0
    )
    +
    IF(
        $N97 &lt; 0.875,
        MAX(0, MIN(($H97 / 1000) * AH$10 * $BA$4, AH$11 * 0.876) - (AH$11 * $N97)) * 0.25,
        0
    )
)</f>
        <v/>
      </c>
      <c r="AI97" s="117">
        <f>IF(
    AND($H97 &gt; $BA$7, Tabella01MarzoInverter[[#This Row],[Active power TX2-INV-8]] &lt;= 0, Tabella01MarzoInverter[[#This Row],[Active power TX3-INV-5]] &lt;= 0),
    MIN(($H97 / 1000) * AI$10 * $BA$4, AI$11 * 0.876) * 0.25,
    IF(
        AND($H97 &gt; $BA$7, Tabella01MarzoInverter[[#This Row],[Active power TX2-INV-8]] &lt;= 0),
        Tabella01MarzoInverter[[#This Row],[Active power TX3-INV-5]] * 0.25,
        0
    )
    +
    IF(
        $N97 &lt; 0.875,
        MAX(0, MIN(($H97 / 1000) * AI$10 * $BA$4, AI$11 * 0.876) - (AI$11 * $N97)) * 0.25,
        0
    )
)</f>
        <v/>
      </c>
      <c r="AJ97" s="117">
        <f>IF(
    AND($H97 &gt; $BA$7, Tabella01MarzoInverter[[#This Row],[Active power TX2-INV-9]] &lt;= 0, Tabella01MarzoInverter[[#This Row],[Active power TX3-INV-6]] &lt;= 0),
    MIN(($H97 / 1000) * AJ$10 * $BA$4, AJ$11 * 0.876) * 0.25,
    IF(
        AND($H97 &gt; $BA$7, Tabella01MarzoInverter[[#This Row],[Active power TX2-INV-9]] &lt;= 0),
        Tabella01MarzoInverter[[#This Row],[Active power TX3-INV-6]] * 0.25,
        0
    )
    +
    IF(
        $N97 &lt; 0.875,
        MAX(0, MIN(($H97 / 1000) * AJ$10 * $BA$4, AJ$11 * 0.876) - (AJ$11 * $N97)) * 0.25,
        0
    )
)</f>
        <v/>
      </c>
      <c r="AK97" s="117">
        <f>IF(
    AND($H97 &gt; $BA$7, Tabella01MarzoInverter[[#This Row],[Active power TX2-INV-10]] &lt;= 0, Tabella01MarzoInverter[[#This Row],[Active power TX3-INV-7]] &lt;= 0),
    MIN(($H97 / 1000) * AK$10 * $BA$4, AK$11 * 0.876) * 0.25,
    IF(
        AND($H97 &gt; $BA$7, Tabella01MarzoInverter[[#This Row],[Active power TX2-INV-10]] &lt;= 0),
        Tabella01MarzoInverter[[#This Row],[Active power TX3-INV-7]] * 0.25,
        0
    )
    +
    IF(
        $N97 &lt; 0.875,
        MAX(0, MIN(($H97 / 1000) * AK$10 * $BA$4, AK$11 * 0.876) - (AK$11 * $N97)) * 0.25,
        0
    )
)</f>
        <v/>
      </c>
      <c r="AL97" s="117">
        <f>IF(
    AND($H97 &gt; $BA$7, Tabella01MarzoInverter[[#This Row],[Active power TX2-INV-11]] &lt;= 0, Tabella01MarzoInverter[[#This Row],[Active power TX3-INV-8]] &lt;= 0),
    MIN(($H97 / 1000) * AL$10 * $BA$4, AL$11 * 0.876) * 0.25,
    IF(
        AND($H97 &gt; $BA$7, Tabella01MarzoInverter[[#This Row],[Active power TX2-INV-11]] &lt;= 0),
        Tabella01MarzoInverter[[#This Row],[Active power TX3-INV-8]] * 0.25,
        0
    )
    +
    IF(
        $N97 &lt; 0.875,
        MAX(0, MIN(($H97 / 1000) * AL$10 * $BA$4, AL$11 * 0.876) - (AL$11 * $N97)) * 0.25,
        0
    )
)</f>
        <v/>
      </c>
      <c r="AM97" s="117">
        <f>IF(
    AND($H97 &gt; $BA$7, Tabella01MarzoInverter[[#This Row],[Active power TX2-INV-12]] &lt;= 0, Tabella01MarzoInverter[[#This Row],[Active power TX3-INV-9]] &lt;= 0),
    MIN(($H97 / 1000) * AM$10 * $BA$4, AM$11 * 0.876) * 0.25,
    IF(
        AND($H97 &gt; $BA$7, Tabella01MarzoInverter[[#This Row],[Active power TX2-INV-12]] &lt;= 0),
        Tabella01MarzoInverter[[#This Row],[Active power TX3-INV-9]] * 0.25,
        0
    )
    +
    IF(
        $N97 &lt; 0.875,
        MAX(0, MIN(($H97 / 1000) * AM$10 * $BA$4, AM$11 * 0.876) - (AM$11 * $N97)) * 0.25,
        0
    )
)</f>
        <v/>
      </c>
      <c r="AN97" s="118">
        <f>SUM(TabellaMar2026[[#This Row],[Colonna39]:[Colonna6]])</f>
        <v/>
      </c>
      <c r="AO97" s="117">
        <f t="array" ref="AO97">IF(
    AND($H97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($H97 / 1000) * AO$10 * $BA$4 * 0.25
    ),
    0
)
+
IF(
    $N97 &lt; 0.875,
    MAX(0, MIN(($H97 / 1000) * AO$10 * $BA$4, AO$11 * 0.876) - (AO$11 * $N97)) * 0.25,
    0
)</f>
        <v/>
      </c>
      <c r="AP97" s="117">
        <f t="array" ref="AP97">IF(
    AND($H97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($H97 / 1000) * AP$10 * $BA$4 * 0.25
    ),
    0
)
+
IF(
    $N97 &lt; 0.875,
    MAX(0, MIN(($H97 / 1000) * AP$10 * $BA$4, AP$11 * 0.876) - (AP$11 * $N97)) * 0.25,
    0
)</f>
        <v/>
      </c>
      <c r="AQ97" s="117">
        <f t="array" ref="AQ97">IF(
    AND($H97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($H97 / 1000) * AQ$10 * $BA$4 * 0.25
    ),
    0
)
+
IF(
    $N97 &lt; 0.875,
    MAX(0, MIN(($H97 / 1000) * AQ$10 * $BA$4, AQ$11 * 0.876) - (AQ$11 * $N97)) * 0.25,
    0
)</f>
        <v/>
      </c>
      <c r="AR97" s="117">
        <f t="array" ref="AR97">IF(
    AND($H97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($H97 / 1000) * AR$10 * $BA$4 * 0.25
    ),
    0
)
+
IF(
    $N97 &lt; 0.875,
    MAX(0, MIN(($H97 / 1000) * AR$10 * $BA$4, AR$11 * 0.876) - (AR$11 * $N97)) * 0.25,
    0
)</f>
        <v/>
      </c>
      <c r="AS97" s="117">
        <f t="array" ref="AS97">IF(
    AND($H97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($H97 / 1000) * AS$10 * $BA$4 * 0.25
    ),
    0
)
+
IF(
    $N97 &lt; 0.875,
    MAX(0, MIN(($H97 / 1000) * AS$10 * $BA$4, AS$11 * 0.876) - (AS$11 * $N97)) * 0.25,
    0
)</f>
        <v/>
      </c>
      <c r="AT97" s="117">
        <f t="array" ref="AT97">IF(
    AND($H97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($H97 / 1000) * AT$10 * $BA$4 * 0.25
    ),
    0
)
+
IF(
    $N97 &lt; 0.875,
    MAX(0, MIN(($H97 / 1000) * AT$10 * $BA$4, AT$11 * 0.876) - (AT$11 * $N97)) * 0.25,
    0
)</f>
        <v/>
      </c>
      <c r="AU97" s="117">
        <f t="array" ref="AU97">IF(
    AND($H97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($H97 / 1000) * AU$10 * $BA$4 * 0.25
    ),
    0
)
+
IF(
    $N97 &lt; 0.875,
    MAX(0, MIN(($H97 / 1000) * AU$10 * $BA$4, AU$11 * 0.876) - (AU$11 * $N97)) * 0.25,
    0
)</f>
        <v/>
      </c>
      <c r="AV97" s="117">
        <f t="array" ref="AV97">IF(
    AND($H97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($H97 / 1000) * AV$10 * $BA$4 * 0.25
    ),
    0
)
+
IF(
    $N97 &lt; 0.875,
    MAX(0, MIN(($H97 / 1000) * AV$10 * $BA$4, AV$11 * 0.876) - (AV$11 * $N97)) * 0.25,
    0
)</f>
        <v/>
      </c>
      <c r="AW97" s="117">
        <f t="array" ref="AW97">IF(
    AND($H97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($H97 / 1000) * AW$10 * $BA$4 * 0.25
    ),
    0
)
+
IF(
    $N97 &lt; 0.875,
    MAX(0, MIN(($H97 / 1000) * AW$10 * $BA$4, AW$11 * 0.876) - (AW$11 * $N97)) * 0.25,
    0
)</f>
        <v/>
      </c>
      <c r="AX97" s="117">
        <f t="array" ref="AX97">IF(
    AND($H97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($H97 / 1000) * AX$10 * $BA$4 * 0.25
    ),
    0
)
+
IF(
    $N97 &lt; 0.875,
    MAX(0, MIN(($H97 / 1000) * AX$10 * $BA$4, AX$11 * 0.876) - (AX$11 * $N97)) * 0.25,
    0
)</f>
        <v/>
      </c>
      <c r="AY97" s="117">
        <f t="array" ref="AY97">IF(
    AND($H97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($H97 / 1000) * AY$10 * $BA$4 * 0.25
    ),
    0
)
+
IF(
    $N97 &lt; 0.875,
    MAX(0, MIN(($H97 / 1000) * AY$10 * $BA$4, AY$11 * 0.876) - (AY$11 * $N97)) * 0.25,
    0
)</f>
        <v/>
      </c>
      <c r="AZ97" s="117">
        <f t="array" ref="AZ97">IF(
    AND($H97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($H97 / 1000) * AZ$10 * $BA$4 * 0.25
    ),
    0
)
+
IF(
    $N97 &lt; 0.875,
    MAX(0, MIN(($H97 / 1000) * AZ$10 * $BA$4, AZ$11 * 0.876) - (AZ$11 * $N97)) * 0.25,
    0
)</f>
        <v/>
      </c>
      <c r="BA97" s="119">
        <f>SUM(TabellaMar2026[[#This Row],[Colonna54]:[Colonna53]])</f>
        <v/>
      </c>
    </row>
    <row r="98">
      <c r="A98" s="112" t="n">
        <v>46143</v>
      </c>
      <c r="B98" t="inlineStr">
        <is>
          <t>20:45:00.000</t>
        </is>
      </c>
      <c r="C98" s="2" t="n">
        <v>-3</v>
      </c>
      <c r="D98" s="113" t="n">
        <v>-0.00075</v>
      </c>
      <c r="E98" s="113" t="n">
        <v>-2.7</v>
      </c>
      <c r="F98" s="113" t="n">
        <v>-0.000675</v>
      </c>
      <c r="G98" s="113">
        <f>IFERROR((D98+F98)/2, 0)</f>
        <v/>
      </c>
      <c r="H98" s="114">
        <f>IFERROR(IF(AVERAGE(C98,E98)&gt;$BA$7,AVERAGE(C98,E98),0), 0)</f>
        <v/>
      </c>
      <c r="I98" s="114">
        <f>IFERROR(IF(AND(D98=0,F98=0),0,IF(H98&gt;$BA$6,MAX(D98,F98),G98)), 0)</f>
        <v/>
      </c>
      <c r="J98" s="113">
        <f>IFERROR(IF(AND(D98&gt;0,F98&gt;0),ABS(D98-F98)/AVERAGE(D98,F98),0), 0)</f>
        <v/>
      </c>
      <c r="K98" s="113" t="n">
        <v>30141.3</v>
      </c>
      <c r="L98" s="113" t="n">
        <v>30141.3</v>
      </c>
      <c r="M98" s="115">
        <f>IFERROR((L98-K98)*1000, 0)</f>
        <v/>
      </c>
      <c r="N98" s="113" t="n">
        <v>0.8759999999999999</v>
      </c>
      <c r="O98" s="115">
        <f t="array" ref="O98">IF(
    AND($H98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($H98 / 1000) * O$10 * $BA$4 * 0.25
    ),
    0
)
+
IF(
    $N98 &lt; 0.875,
    MAX(0, MIN(($H98 / 1000) * O$10 * $BA$4, O$11 * 0.876) - (O$11 * $N98)) * 0.25,
    0
)</f>
        <v/>
      </c>
      <c r="P98" s="115">
        <f t="array" ref="P98">IF(
    AND($H98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($H98 / 1000) * P$10 * $BA$4 * 0.25
    ),
    0
)
+
IF(
    $N98 &lt; 0.875,
    MAX(0, MIN(($H98 / 1000) * P$10 * $BA$4, P$11 * 0.876) - (P$11 * $N98)) * 0.25,
    0
)</f>
        <v/>
      </c>
      <c r="Q98" s="115">
        <f t="array" ref="Q98">IF(
    AND($H98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($H98 / 1000) * Q$10 * $BA$4 * 0.25
    ),
    0
)
+
IF(
    $N98 &lt; 0.875,
    MAX(0, MIN(($H98 / 1000) * Q$10 * $BA$4, Q$11 * 0.876) - (Q$11 * $N98)) * 0.25,
    0
)</f>
        <v/>
      </c>
      <c r="R98" s="115">
        <f t="array" ref="R98">IF(
    AND($H98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($H98 / 1000) * R$10 * $BA$4 * 0.25
    ),
    0
)
+
IF(
    $N98 &lt; 0.875,
    MAX(0, MIN(($H98 / 1000) * R$10 * $BA$4, R$11 * 0.876) - (R$11 * $N98)) * 0.25,
    0
)</f>
        <v/>
      </c>
      <c r="S98" s="115">
        <f t="array" ref="S98">IF(
    AND($H98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($H98 / 1000) * S$10 * $BA$4 * 0.25
    ),
    0
)
+
IF(
    $N98 &lt; 0.875,
    MAX(0, MIN(($H98 / 1000) * S$10 * $BA$4, S$11 * 0.876) - (S$11 * $N98)) * 0.25,
    0
)</f>
        <v/>
      </c>
      <c r="T98" s="115">
        <f t="array" ref="T98">IF(
    AND($H98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($H98 / 1000) * T$10 * $BA$4 * 0.25
    ),
    0
)
+
IF(
    $N98 &lt; 0.875,
    MAX(0, MIN(($H98 / 1000) * T$10 * $BA$4, T$11 * 0.876) - (T$11 * $N98)) * 0.25,
    0
)</f>
        <v/>
      </c>
      <c r="U98" s="115">
        <f t="array" ref="U98">IF(
    AND($H98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($H98 / 1000) * U$10 * $BA$4 * 0.25
    ),
    0
)
+
IF(
    $N98 &lt; 0.875,
    MAX(0, MIN(($H98 / 1000) * U$10 * $BA$4, U$11 * 0.876) - (U$11 * $N98)) * 0.25,
    0
)</f>
        <v/>
      </c>
      <c r="V98" s="115">
        <f t="array" ref="V98">IF(
    AND($H98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($H98 / 1000) * V$10 * $BA$4 * 0.25
    ),
    0
)
+
IF(
    $N98 &lt; 0.875,
    MAX(0, MIN(($H98 / 1000) * V$10 * $BA$4, V$11 * 0.876) - (V$11 * $N98)) * 0.25,
    0
)</f>
        <v/>
      </c>
      <c r="W98" s="115">
        <f t="array" ref="W98">IF(
    AND($H98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($H98 / 1000) * W$10 * $BA$4 * 0.25
    ),
    0
)
+
IF(
    $N98 &lt; 0.875,
    MAX(0, MIN(($H98 / 1000) * W$10 * $BA$4, W$11 * 0.876) - (W$11 * $N98)) * 0.25,
    0
)</f>
        <v/>
      </c>
      <c r="X98" s="115">
        <f t="array" ref="X98">IF(
    AND($H98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($H98 / 1000) * X$10 * $BA$4 * 0.25
    ),
    0
)
+
IF(
    $N98 &lt; 0.875,
    MAX(0, MIN(($H98 / 1000) * X$10 * $BA$4, X$11 * 0.876) - (X$11 * $N98)) * 0.25,
    0
)</f>
        <v/>
      </c>
      <c r="Y98" s="115">
        <f t="array" ref="Y98">IF(
    AND($H98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($H98 / 1000) * Y$10 * $BA$4 * 0.25
    ),
    0
)
+
IF(
    $N98 &lt; 0.875,
    MAX(0, MIN(($H98 / 1000) * Y$10 * $BA$4, Y$11 * 0.876) - (Y$11 * $N98)) * 0.25,
    0
)</f>
        <v/>
      </c>
      <c r="Z98" s="115">
        <f t="array" ref="Z98">IF(
    AND($H98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($H98 / 1000) * Z$10 * $BA$4 * 0.25
    ),
    0
)
+
IF(
    $N98 &lt; 0.875,
    MAX(0, MIN(($H98 / 1000) * Z$10 * $BA$4, Z$11 * 0.876) - (Z$11 * $N98)) * 0.25,
    0
)</f>
        <v/>
      </c>
      <c r="AA98" s="116">
        <f>SUM(TabellaMar2026[[#This Row],[Colonna24]:[Colonna20]])</f>
        <v/>
      </c>
      <c r="AB98" s="117">
        <f>IF(
    AND($H98 &gt; $BA$7, Tabella01MarzoInverter[[#This Row],[Active power TX2-INV-1]] &lt;= 0, Tabella01MarzoInverter[[#This Row],[TX2 - Average Power]] &lt;= 0),
    MIN(($H98 / 1000) * AB$10 * $BA$4, AB$11 * 0.876) * 0.25,
    IF(
        AND($H98 &gt; $BA$7, Tabella01MarzoInverter[[#This Row],[Active power TX2-INV-1]] &lt;= 0),
        Tabella01MarzoInverter[[#This Row],[TX2 - Average Power]] * 0.25,
        0
    )
    +
    IF(
        $N98 &lt; 0.875,
        MAX(0, MIN(($H98 / 1000) * AB$10 * $BA$4, AB$11 * 0.876) - (AB$11 * $N98)) * 0.25,
        0
    )
)</f>
        <v/>
      </c>
      <c r="AC98" s="117">
        <f>IF(
    AND($H98 &gt; $BA$7, Tabella01MarzoInverter[[#This Row],[Active power TX2-INV-2]] &lt;= 0, Tabella01MarzoInverter[[#This Row],[TX2 - Max Power]] &lt;= 0),
    MIN(($H98 / 1000) * AC$10 * $BA$4, AC$11 * 0.876) * 0.25,
    IF(
        AND($H98 &gt; $BA$7, Tabella01MarzoInverter[[#This Row],[Active power TX2-INV-2]] &lt;= 0),
        Tabella01MarzoInverter[[#This Row],[TX2 - Max Power]] * 0.25,
        0
    )
    +
    IF(
        $N98 &lt; 0.875,
        MAX(0, MIN(($H98 / 1000) * AC$10 * $BA$4, AC$11 * 0.876) - (AC$11 * $N98)) * 0.25,
        0
    )
)</f>
        <v/>
      </c>
      <c r="AD98" s="117">
        <f>IF(
    AND($H98 &gt; $BA$7, Tabella01MarzoInverter[[#This Row],[Active power TX2-INV-3]] &lt;= 0, Tabella01MarzoInverter[[#This Row],[TX2 - Min Power]] &lt;= 0),
    MIN(($H98 / 1000) * AD$10 * $BA$4, AD$11 * 0.876) * 0.25,
    IF(
        AND($H98 &gt; $BA$7, Tabella01MarzoInverter[[#This Row],[Active power TX2-INV-3]] &lt;= 0),
        Tabella01MarzoInverter[[#This Row],[TX2 - Min Power]] * 0.25,
        0
    )
    +
    IF(
        $N98 &lt; 0.875,
        MAX(0, MIN(($H98 / 1000) * AD$10 * $BA$4, AD$11 * 0.876) - (AD$11 * $N98)) * 0.25,
        0
    )
)</f>
        <v/>
      </c>
      <c r="AE98" s="117">
        <f>IF(
    AND($H98 &gt; $BA$7, Tabella01MarzoInverter[[#This Row],[Active power TX2-INV-4]] &lt;= 0, Tabella01MarzoInverter[[#This Row],[Active power TX3-INV-1]] &lt;= 0),
    MIN(($H98 / 1000) * AE$10 * $BA$4, AE$11 * 0.876) * 0.25,
    IF(
        AND($H98 &gt; $BA$7, Tabella01MarzoInverter[[#This Row],[Active power TX2-INV-4]] &lt;= 0),
        Tabella01MarzoInverter[[#This Row],[Active power TX3-INV-1]] * 0.25,
        0
    )
    +
    IF(
        $N98 &lt; 0.875,
        MAX(0, MIN(($H98 / 1000) * AE$10 * $BA$4, AE$11 * 0.876) - (AE$11 * $N98)) * 0.25,
        0
    )
)</f>
        <v/>
      </c>
      <c r="AF98" s="117">
        <f>IF(
    AND($H98 &gt; $BA$7, Tabella01MarzoInverter[[#This Row],[Active power TX2-INV-5]] &lt;= 0, Tabella01MarzoInverter[[#This Row],[Active power TX3-INV-2]] &lt;= 0),
    MIN(($H98 / 1000) * AF$10 * $BA$4, AF$11 * 0.876) * 0.25,
    IF(
        AND($H98 &gt; $BA$7, Tabella01MarzoInverter[[#This Row],[Active power TX2-INV-5]] &lt;= 0),
        Tabella01MarzoInverter[[#This Row],[Active power TX3-INV-2]] * 0.25,
        0
    )
    +
    IF(
        $N98 &lt; 0.875,
        MAX(0, MIN(($H98 / 1000) * AF$10 * $BA$4, AF$11 * 0.876) - (AF$11 * $N98)) * 0.25,
        0
    )
)</f>
        <v/>
      </c>
      <c r="AG98" s="117">
        <f>IF(
    AND($H98 &gt; $BA$7, Tabella01MarzoInverter[[#This Row],[Active power TX2-INV-6]] &lt;= 0, Tabella01MarzoInverter[[#This Row],[Active power TX3-INV-3]] &lt;= 0),
    MIN(($H98 / 1000) * AG$10 * $BA$4, AG$11 * 0.876) * 0.25,
    IF(
        AND($H98 &gt; $BA$7, Tabella01MarzoInverter[[#This Row],[Active power TX2-INV-6]] &lt;= 0),
        Tabella01MarzoInverter[[#This Row],[Active power TX3-INV-3]] * 0.25,
        0
    )
    +
    IF(
        $N98 &lt; 0.875,
        MAX(0, MIN(($H98 / 1000) * AG$10 * $BA$4, AG$11 * 0.876) - (AG$11 * $N98)) * 0.25,
        0
    )
)</f>
        <v/>
      </c>
      <c r="AH98" s="117">
        <f>IF(
    AND($H98 &gt; $BA$7, Tabella01MarzoInverter[[#This Row],[Active power TX2-INV-7]] &lt;= 0, Tabella01MarzoInverter[[#This Row],[Active power TX3-INV-4]] &lt;= 0),
    MIN(($H98 / 1000) * AH$10 * $BA$4, AH$11 * 0.876) * 0.25,
    IF(
        AND($H98 &gt; $BA$7, Tabella01MarzoInverter[[#This Row],[Active power TX2-INV-7]] &lt;= 0),
        Tabella01MarzoInverter[[#This Row],[Active power TX3-INV-4]] * 0.25,
        0
    )
    +
    IF(
        $N98 &lt; 0.875,
        MAX(0, MIN(($H98 / 1000) * AH$10 * $BA$4, AH$11 * 0.876) - (AH$11 * $N98)) * 0.25,
        0
    )
)</f>
        <v/>
      </c>
      <c r="AI98" s="117">
        <f>IF(
    AND($H98 &gt; $BA$7, Tabella01MarzoInverter[[#This Row],[Active power TX2-INV-8]] &lt;= 0, Tabella01MarzoInverter[[#This Row],[Active power TX3-INV-5]] &lt;= 0),
    MIN(($H98 / 1000) * AI$10 * $BA$4, AI$11 * 0.876) * 0.25,
    IF(
        AND($H98 &gt; $BA$7, Tabella01MarzoInverter[[#This Row],[Active power TX2-INV-8]] &lt;= 0),
        Tabella01MarzoInverter[[#This Row],[Active power TX3-INV-5]] * 0.25,
        0
    )
    +
    IF(
        $N98 &lt; 0.875,
        MAX(0, MIN(($H98 / 1000) * AI$10 * $BA$4, AI$11 * 0.876) - (AI$11 * $N98)) * 0.25,
        0
    )
)</f>
        <v/>
      </c>
      <c r="AJ98" s="117">
        <f>IF(
    AND($H98 &gt; $BA$7, Tabella01MarzoInverter[[#This Row],[Active power TX2-INV-9]] &lt;= 0, Tabella01MarzoInverter[[#This Row],[Active power TX3-INV-6]] &lt;= 0),
    MIN(($H98 / 1000) * AJ$10 * $BA$4, AJ$11 * 0.876) * 0.25,
    IF(
        AND($H98 &gt; $BA$7, Tabella01MarzoInverter[[#This Row],[Active power TX2-INV-9]] &lt;= 0),
        Tabella01MarzoInverter[[#This Row],[Active power TX3-INV-6]] * 0.25,
        0
    )
    +
    IF(
        $N98 &lt; 0.875,
        MAX(0, MIN(($H98 / 1000) * AJ$10 * $BA$4, AJ$11 * 0.876) - (AJ$11 * $N98)) * 0.25,
        0
    )
)</f>
        <v/>
      </c>
      <c r="AK98" s="117">
        <f>IF(
    AND($H98 &gt; $BA$7, Tabella01MarzoInverter[[#This Row],[Active power TX2-INV-10]] &lt;= 0, Tabella01MarzoInverter[[#This Row],[Active power TX3-INV-7]] &lt;= 0),
    MIN(($H98 / 1000) * AK$10 * $BA$4, AK$11 * 0.876) * 0.25,
    IF(
        AND($H98 &gt; $BA$7, Tabella01MarzoInverter[[#This Row],[Active power TX2-INV-10]] &lt;= 0),
        Tabella01MarzoInverter[[#This Row],[Active power TX3-INV-7]] * 0.25,
        0
    )
    +
    IF(
        $N98 &lt; 0.875,
        MAX(0, MIN(($H98 / 1000) * AK$10 * $BA$4, AK$11 * 0.876) - (AK$11 * $N98)) * 0.25,
        0
    )
)</f>
        <v/>
      </c>
      <c r="AL98" s="117">
        <f>IF(
    AND($H98 &gt; $BA$7, Tabella01MarzoInverter[[#This Row],[Active power TX2-INV-11]] &lt;= 0, Tabella01MarzoInverter[[#This Row],[Active power TX3-INV-8]] &lt;= 0),
    MIN(($H98 / 1000) * AL$10 * $BA$4, AL$11 * 0.876) * 0.25,
    IF(
        AND($H98 &gt; $BA$7, Tabella01MarzoInverter[[#This Row],[Active power TX2-INV-11]] &lt;= 0),
        Tabella01MarzoInverter[[#This Row],[Active power TX3-INV-8]] * 0.25,
        0
    )
    +
    IF(
        $N98 &lt; 0.875,
        MAX(0, MIN(($H98 / 1000) * AL$10 * $BA$4, AL$11 * 0.876) - (AL$11 * $N98)) * 0.25,
        0
    )
)</f>
        <v/>
      </c>
      <c r="AM98" s="117">
        <f>IF(
    AND($H98 &gt; $BA$7, Tabella01MarzoInverter[[#This Row],[Active power TX2-INV-12]] &lt;= 0, Tabella01MarzoInverter[[#This Row],[Active power TX3-INV-9]] &lt;= 0),
    MIN(($H98 / 1000) * AM$10 * $BA$4, AM$11 * 0.876) * 0.25,
    IF(
        AND($H98 &gt; $BA$7, Tabella01MarzoInverter[[#This Row],[Active power TX2-INV-12]] &lt;= 0),
        Tabella01MarzoInverter[[#This Row],[Active power TX3-INV-9]] * 0.25,
        0
    )
    +
    IF(
        $N98 &lt; 0.875,
        MAX(0, MIN(($H98 / 1000) * AM$10 * $BA$4, AM$11 * 0.876) - (AM$11 * $N98)) * 0.25,
        0
    )
)</f>
        <v/>
      </c>
      <c r="AN98" s="118">
        <f>SUM(TabellaMar2026[[#This Row],[Colonna39]:[Colonna6]])</f>
        <v/>
      </c>
      <c r="AO98" s="117">
        <f t="array" ref="AO98">IF(
    AND($H98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($H98 / 1000) * AO$10 * $BA$4 * 0.25
    ),
    0
)
+
IF(
    $N98 &lt; 0.875,
    MAX(0, MIN(($H98 / 1000) * AO$10 * $BA$4, AO$11 * 0.876) - (AO$11 * $N98)) * 0.25,
    0
)</f>
        <v/>
      </c>
      <c r="AP98" s="117">
        <f t="array" ref="AP98">IF(
    AND($H98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($H98 / 1000) * AP$10 * $BA$4 * 0.25
    ),
    0
)
+
IF(
    $N98 &lt; 0.875,
    MAX(0, MIN(($H98 / 1000) * AP$10 * $BA$4, AP$11 * 0.876) - (AP$11 * $N98)) * 0.25,
    0
)</f>
        <v/>
      </c>
      <c r="AQ98" s="117">
        <f t="array" ref="AQ98">IF(
    AND($H98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($H98 / 1000) * AQ$10 * $BA$4 * 0.25
    ),
    0
)
+
IF(
    $N98 &lt; 0.875,
    MAX(0, MIN(($H98 / 1000) * AQ$10 * $BA$4, AQ$11 * 0.876) - (AQ$11 * $N98)) * 0.25,
    0
)</f>
        <v/>
      </c>
      <c r="AR98" s="117">
        <f t="array" ref="AR98">IF(
    AND($H98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($H98 / 1000) * AR$10 * $BA$4 * 0.25
    ),
    0
)
+
IF(
    $N98 &lt; 0.875,
    MAX(0, MIN(($H98 / 1000) * AR$10 * $BA$4, AR$11 * 0.876) - (AR$11 * $N98)) * 0.25,
    0
)</f>
        <v/>
      </c>
      <c r="AS98" s="117">
        <f t="array" ref="AS98">IF(
    AND($H98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($H98 / 1000) * AS$10 * $BA$4 * 0.25
    ),
    0
)
+
IF(
    $N98 &lt; 0.875,
    MAX(0, MIN(($H98 / 1000) * AS$10 * $BA$4, AS$11 * 0.876) - (AS$11 * $N98)) * 0.25,
    0
)</f>
        <v/>
      </c>
      <c r="AT98" s="117">
        <f t="array" ref="AT98">IF(
    AND($H98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($H98 / 1000) * AT$10 * $BA$4 * 0.25
    ),
    0
)
+
IF(
    $N98 &lt; 0.875,
    MAX(0, MIN(($H98 / 1000) * AT$10 * $BA$4, AT$11 * 0.876) - (AT$11 * $N98)) * 0.25,
    0
)</f>
        <v/>
      </c>
      <c r="AU98" s="117">
        <f t="array" ref="AU98">IF(
    AND($H98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($H98 / 1000) * AU$10 * $BA$4 * 0.25
    ),
    0
)
+
IF(
    $N98 &lt; 0.875,
    MAX(0, MIN(($H98 / 1000) * AU$10 * $BA$4, AU$11 * 0.876) - (AU$11 * $N98)) * 0.25,
    0
)</f>
        <v/>
      </c>
      <c r="AV98" s="117">
        <f t="array" ref="AV98">IF(
    AND($H98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($H98 / 1000) * AV$10 * $BA$4 * 0.25
    ),
    0
)
+
IF(
    $N98 &lt; 0.875,
    MAX(0, MIN(($H98 / 1000) * AV$10 * $BA$4, AV$11 * 0.876) - (AV$11 * $N98)) * 0.25,
    0
)</f>
        <v/>
      </c>
      <c r="AW98" s="117">
        <f t="array" ref="AW98">IF(
    AND($H98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($H98 / 1000) * AW$10 * $BA$4 * 0.25
    ),
    0
)
+
IF(
    $N98 &lt; 0.875,
    MAX(0, MIN(($H98 / 1000) * AW$10 * $BA$4, AW$11 * 0.876) - (AW$11 * $N98)) * 0.25,
    0
)</f>
        <v/>
      </c>
      <c r="AX98" s="117">
        <f t="array" ref="AX98">IF(
    AND($H98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($H98 / 1000) * AX$10 * $BA$4 * 0.25
    ),
    0
)
+
IF(
    $N98 &lt; 0.875,
    MAX(0, MIN(($H98 / 1000) * AX$10 * $BA$4, AX$11 * 0.876) - (AX$11 * $N98)) * 0.25,
    0
)</f>
        <v/>
      </c>
      <c r="AY98" s="117">
        <f t="array" ref="AY98">IF(
    AND($H98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($H98 / 1000) * AY$10 * $BA$4 * 0.25
    ),
    0
)
+
IF(
    $N98 &lt; 0.875,
    MAX(0, MIN(($H98 / 1000) * AY$10 * $BA$4, AY$11 * 0.876) - (AY$11 * $N98)) * 0.25,
    0
)</f>
        <v/>
      </c>
      <c r="AZ98" s="117">
        <f t="array" ref="AZ98">IF(
    AND($H98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($H98 / 1000) * AZ$10 * $BA$4 * 0.25
    ),
    0
)
+
IF(
    $N98 &lt; 0.875,
    MAX(0, MIN(($H98 / 1000) * AZ$10 * $BA$4, AZ$11 * 0.876) - (AZ$11 * $N98)) * 0.25,
    0
)</f>
        <v/>
      </c>
      <c r="BA98" s="119">
        <f>SUM(TabellaMar2026[[#This Row],[Colonna54]:[Colonna53]])</f>
        <v/>
      </c>
    </row>
    <row r="99">
      <c r="A99" s="112" t="n">
        <v>46143</v>
      </c>
      <c r="B99" t="inlineStr">
        <is>
          <t>21:00:00.000</t>
        </is>
      </c>
      <c r="C99" s="2" t="n">
        <v>-2.1</v>
      </c>
      <c r="D99" s="113" t="n">
        <v>-0.0005250000000000001</v>
      </c>
      <c r="E99" s="113" t="n">
        <v>-1.2</v>
      </c>
      <c r="F99" s="113" t="n">
        <v>-0.0003</v>
      </c>
      <c r="G99" s="113">
        <f>IFERROR((D99+F99)/2, 0)</f>
        <v/>
      </c>
      <c r="H99" s="114">
        <f>IFERROR(IF(AVERAGE(C99,E99)&gt;$BA$7,AVERAGE(C99,E99),0), 0)</f>
        <v/>
      </c>
      <c r="I99" s="114">
        <f>IFERROR(IF(AND(D99=0,F99=0),0,IF(H99&gt;$BA$6,MAX(D99,F99),G99)), 0)</f>
        <v/>
      </c>
      <c r="J99" s="113">
        <f>IFERROR(IF(AND(D99&gt;0,F99&gt;0),ABS(D99-F99)/AVERAGE(D99,F99),0), 0)</f>
        <v/>
      </c>
      <c r="K99" s="113" t="n">
        <v>30141.3</v>
      </c>
      <c r="L99" s="113" t="n">
        <v>30141.3</v>
      </c>
      <c r="M99" s="115">
        <f>IFERROR((L99-K99)*1000, 0)</f>
        <v/>
      </c>
      <c r="N99" s="113" t="n">
        <v>0.8759999999999999</v>
      </c>
      <c r="O99" s="115">
        <f t="array" ref="O99">IF(
    AND($H99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($H99 / 1000) * O$10 * $BA$4 * 0.25
    ),
    0
)
+
IF(
    $N99 &lt; 0.875,
    MAX(0, MIN(($H99 / 1000) * O$10 * $BA$4, O$11 * 0.876) - (O$11 * $N99)) * 0.25,
    0
)</f>
        <v/>
      </c>
      <c r="P99" s="115">
        <f t="array" ref="P99">IF(
    AND($H99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($H99 / 1000) * P$10 * $BA$4 * 0.25
    ),
    0
)
+
IF(
    $N99 &lt; 0.875,
    MAX(0, MIN(($H99 / 1000) * P$10 * $BA$4, P$11 * 0.876) - (P$11 * $N99)) * 0.25,
    0
)</f>
        <v/>
      </c>
      <c r="Q99" s="115">
        <f t="array" ref="Q99">IF(
    AND($H99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($H99 / 1000) * Q$10 * $BA$4 * 0.25
    ),
    0
)
+
IF(
    $N99 &lt; 0.875,
    MAX(0, MIN(($H99 / 1000) * Q$10 * $BA$4, Q$11 * 0.876) - (Q$11 * $N99)) * 0.25,
    0
)</f>
        <v/>
      </c>
      <c r="R99" s="115">
        <f t="array" ref="R99">IF(
    AND($H99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($H99 / 1000) * R$10 * $BA$4 * 0.25
    ),
    0
)
+
IF(
    $N99 &lt; 0.875,
    MAX(0, MIN(($H99 / 1000) * R$10 * $BA$4, R$11 * 0.876) - (R$11 * $N99)) * 0.25,
    0
)</f>
        <v/>
      </c>
      <c r="S99" s="115">
        <f t="array" ref="S99">IF(
    AND($H99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($H99 / 1000) * S$10 * $BA$4 * 0.25
    ),
    0
)
+
IF(
    $N99 &lt; 0.875,
    MAX(0, MIN(($H99 / 1000) * S$10 * $BA$4, S$11 * 0.876) - (S$11 * $N99)) * 0.25,
    0
)</f>
        <v/>
      </c>
      <c r="T99" s="115">
        <f t="array" ref="T99">IF(
    AND($H99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($H99 / 1000) * T$10 * $BA$4 * 0.25
    ),
    0
)
+
IF(
    $N99 &lt; 0.875,
    MAX(0, MIN(($H99 / 1000) * T$10 * $BA$4, T$11 * 0.876) - (T$11 * $N99)) * 0.25,
    0
)</f>
        <v/>
      </c>
      <c r="U99" s="115">
        <f t="array" ref="U99">IF(
    AND($H99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($H99 / 1000) * U$10 * $BA$4 * 0.25
    ),
    0
)
+
IF(
    $N99 &lt; 0.875,
    MAX(0, MIN(($H99 / 1000) * U$10 * $BA$4, U$11 * 0.876) - (U$11 * $N99)) * 0.25,
    0
)</f>
        <v/>
      </c>
      <c r="V99" s="115">
        <f t="array" ref="V99">IF(
    AND($H99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($H99 / 1000) * V$10 * $BA$4 * 0.25
    ),
    0
)
+
IF(
    $N99 &lt; 0.875,
    MAX(0, MIN(($H99 / 1000) * V$10 * $BA$4, V$11 * 0.876) - (V$11 * $N99)) * 0.25,
    0
)</f>
        <v/>
      </c>
      <c r="W99" s="115">
        <f t="array" ref="W99">IF(
    AND($H99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($H99 / 1000) * W$10 * $BA$4 * 0.25
    ),
    0
)
+
IF(
    $N99 &lt; 0.875,
    MAX(0, MIN(($H99 / 1000) * W$10 * $BA$4, W$11 * 0.876) - (W$11 * $N99)) * 0.25,
    0
)</f>
        <v/>
      </c>
      <c r="X99" s="115">
        <f t="array" ref="X99">IF(
    AND($H99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($H99 / 1000) * X$10 * $BA$4 * 0.25
    ),
    0
)
+
IF(
    $N99 &lt; 0.875,
    MAX(0, MIN(($H99 / 1000) * X$10 * $BA$4, X$11 * 0.876) - (X$11 * $N99)) * 0.25,
    0
)</f>
        <v/>
      </c>
      <c r="Y99" s="115">
        <f t="array" ref="Y99">IF(
    AND($H99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($H99 / 1000) * Y$10 * $BA$4 * 0.25
    ),
    0
)
+
IF(
    $N99 &lt; 0.875,
    MAX(0, MIN(($H99 / 1000) * Y$10 * $BA$4, Y$11 * 0.876) - (Y$11 * $N99)) * 0.25,
    0
)</f>
        <v/>
      </c>
      <c r="Z99" s="115">
        <f t="array" ref="Z99">IF(
    AND($H99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($H99 / 1000) * Z$10 * $BA$4 * 0.25
    ),
    0
)
+
IF(
    $N99 &lt; 0.875,
    MAX(0, MIN(($H99 / 1000) * Z$10 * $BA$4, Z$11 * 0.876) - (Z$11 * $N99)) * 0.25,
    0
)</f>
        <v/>
      </c>
      <c r="AA99" s="116">
        <f>SUM(TabellaMar2026[[#This Row],[Colonna24]:[Colonna20]])</f>
        <v/>
      </c>
      <c r="AB99" s="117">
        <f>IF(
    AND($H99 &gt; $BA$7, Tabella01MarzoInverter[[#This Row],[Active power TX2-INV-1]] &lt;= 0, Tabella01MarzoInverter[[#This Row],[TX2 - Average Power]] &lt;= 0),
    MIN(($H99 / 1000) * AB$10 * $BA$4, AB$11 * 0.876) * 0.25,
    IF(
        AND($H99 &gt; $BA$7, Tabella01MarzoInverter[[#This Row],[Active power TX2-INV-1]] &lt;= 0),
        Tabella01MarzoInverter[[#This Row],[TX2 - Average Power]] * 0.25,
        0
    )
    +
    IF(
        $N99 &lt; 0.875,
        MAX(0, MIN(($H99 / 1000) * AB$10 * $BA$4, AB$11 * 0.876) - (AB$11 * $N99)) * 0.25,
        0
    )
)</f>
        <v/>
      </c>
      <c r="AC99" s="117">
        <f>IF(
    AND($H99 &gt; $BA$7, Tabella01MarzoInverter[[#This Row],[Active power TX2-INV-2]] &lt;= 0, Tabella01MarzoInverter[[#This Row],[TX2 - Max Power]] &lt;= 0),
    MIN(($H99 / 1000) * AC$10 * $BA$4, AC$11 * 0.876) * 0.25,
    IF(
        AND($H99 &gt; $BA$7, Tabella01MarzoInverter[[#This Row],[Active power TX2-INV-2]] &lt;= 0),
        Tabella01MarzoInverter[[#This Row],[TX2 - Max Power]] * 0.25,
        0
    )
    +
    IF(
        $N99 &lt; 0.875,
        MAX(0, MIN(($H99 / 1000) * AC$10 * $BA$4, AC$11 * 0.876) - (AC$11 * $N99)) * 0.25,
        0
    )
)</f>
        <v/>
      </c>
      <c r="AD99" s="117">
        <f>IF(
    AND($H99 &gt; $BA$7, Tabella01MarzoInverter[[#This Row],[Active power TX2-INV-3]] &lt;= 0, Tabella01MarzoInverter[[#This Row],[TX2 - Min Power]] &lt;= 0),
    MIN(($H99 / 1000) * AD$10 * $BA$4, AD$11 * 0.876) * 0.25,
    IF(
        AND($H99 &gt; $BA$7, Tabella01MarzoInverter[[#This Row],[Active power TX2-INV-3]] &lt;= 0),
        Tabella01MarzoInverter[[#This Row],[TX2 - Min Power]] * 0.25,
        0
    )
    +
    IF(
        $N99 &lt; 0.875,
        MAX(0, MIN(($H99 / 1000) * AD$10 * $BA$4, AD$11 * 0.876) - (AD$11 * $N99)) * 0.25,
        0
    )
)</f>
        <v/>
      </c>
      <c r="AE99" s="117">
        <f>IF(
    AND($H99 &gt; $BA$7, Tabella01MarzoInverter[[#This Row],[Active power TX2-INV-4]] &lt;= 0, Tabella01MarzoInverter[[#This Row],[Active power TX3-INV-1]] &lt;= 0),
    MIN(($H99 / 1000) * AE$10 * $BA$4, AE$11 * 0.876) * 0.25,
    IF(
        AND($H99 &gt; $BA$7, Tabella01MarzoInverter[[#This Row],[Active power TX2-INV-4]] &lt;= 0),
        Tabella01MarzoInverter[[#This Row],[Active power TX3-INV-1]] * 0.25,
        0
    )
    +
    IF(
        $N99 &lt; 0.875,
        MAX(0, MIN(($H99 / 1000) * AE$10 * $BA$4, AE$11 * 0.876) - (AE$11 * $N99)) * 0.25,
        0
    )
)</f>
        <v/>
      </c>
      <c r="AF99" s="117">
        <f>IF(
    AND($H99 &gt; $BA$7, Tabella01MarzoInverter[[#This Row],[Active power TX2-INV-5]] &lt;= 0, Tabella01MarzoInverter[[#This Row],[Active power TX3-INV-2]] &lt;= 0),
    MIN(($H99 / 1000) * AF$10 * $BA$4, AF$11 * 0.876) * 0.25,
    IF(
        AND($H99 &gt; $BA$7, Tabella01MarzoInverter[[#This Row],[Active power TX2-INV-5]] &lt;= 0),
        Tabella01MarzoInverter[[#This Row],[Active power TX3-INV-2]] * 0.25,
        0
    )
    +
    IF(
        $N99 &lt; 0.875,
        MAX(0, MIN(($H99 / 1000) * AF$10 * $BA$4, AF$11 * 0.876) - (AF$11 * $N99)) * 0.25,
        0
    )
)</f>
        <v/>
      </c>
      <c r="AG99" s="117">
        <f>IF(
    AND($H99 &gt; $BA$7, Tabella01MarzoInverter[[#This Row],[Active power TX2-INV-6]] &lt;= 0, Tabella01MarzoInverter[[#This Row],[Active power TX3-INV-3]] &lt;= 0),
    MIN(($H99 / 1000) * AG$10 * $BA$4, AG$11 * 0.876) * 0.25,
    IF(
        AND($H99 &gt; $BA$7, Tabella01MarzoInverter[[#This Row],[Active power TX2-INV-6]] &lt;= 0),
        Tabella01MarzoInverter[[#This Row],[Active power TX3-INV-3]] * 0.25,
        0
    )
    +
    IF(
        $N99 &lt; 0.875,
        MAX(0, MIN(($H99 / 1000) * AG$10 * $BA$4, AG$11 * 0.876) - (AG$11 * $N99)) * 0.25,
        0
    )
)</f>
        <v/>
      </c>
      <c r="AH99" s="117">
        <f>IF(
    AND($H99 &gt; $BA$7, Tabella01MarzoInverter[[#This Row],[Active power TX2-INV-7]] &lt;= 0, Tabella01MarzoInverter[[#This Row],[Active power TX3-INV-4]] &lt;= 0),
    MIN(($H99 / 1000) * AH$10 * $BA$4, AH$11 * 0.876) * 0.25,
    IF(
        AND($H99 &gt; $BA$7, Tabella01MarzoInverter[[#This Row],[Active power TX2-INV-7]] &lt;= 0),
        Tabella01MarzoInverter[[#This Row],[Active power TX3-INV-4]] * 0.25,
        0
    )
    +
    IF(
        $N99 &lt; 0.875,
        MAX(0, MIN(($H99 / 1000) * AH$10 * $BA$4, AH$11 * 0.876) - (AH$11 * $N99)) * 0.25,
        0
    )
)</f>
        <v/>
      </c>
      <c r="AI99" s="117">
        <f>IF(
    AND($H99 &gt; $BA$7, Tabella01MarzoInverter[[#This Row],[Active power TX2-INV-8]] &lt;= 0, Tabella01MarzoInverter[[#This Row],[Active power TX3-INV-5]] &lt;= 0),
    MIN(($H99 / 1000) * AI$10 * $BA$4, AI$11 * 0.876) * 0.25,
    IF(
        AND($H99 &gt; $BA$7, Tabella01MarzoInverter[[#This Row],[Active power TX2-INV-8]] &lt;= 0),
        Tabella01MarzoInverter[[#This Row],[Active power TX3-INV-5]] * 0.25,
        0
    )
    +
    IF(
        $N99 &lt; 0.875,
        MAX(0, MIN(($H99 / 1000) * AI$10 * $BA$4, AI$11 * 0.876) - (AI$11 * $N99)) * 0.25,
        0
    )
)</f>
        <v/>
      </c>
      <c r="AJ99" s="117">
        <f>IF(
    AND($H99 &gt; $BA$7, Tabella01MarzoInverter[[#This Row],[Active power TX2-INV-9]] &lt;= 0, Tabella01MarzoInverter[[#This Row],[Active power TX3-INV-6]] &lt;= 0),
    MIN(($H99 / 1000) * AJ$10 * $BA$4, AJ$11 * 0.876) * 0.25,
    IF(
        AND($H99 &gt; $BA$7, Tabella01MarzoInverter[[#This Row],[Active power TX2-INV-9]] &lt;= 0),
        Tabella01MarzoInverter[[#This Row],[Active power TX3-INV-6]] * 0.25,
        0
    )
    +
    IF(
        $N99 &lt; 0.875,
        MAX(0, MIN(($H99 / 1000) * AJ$10 * $BA$4, AJ$11 * 0.876) - (AJ$11 * $N99)) * 0.25,
        0
    )
)</f>
        <v/>
      </c>
      <c r="AK99" s="117">
        <f>IF(
    AND($H99 &gt; $BA$7, Tabella01MarzoInverter[[#This Row],[Active power TX2-INV-10]] &lt;= 0, Tabella01MarzoInverter[[#This Row],[Active power TX3-INV-7]] &lt;= 0),
    MIN(($H99 / 1000) * AK$10 * $BA$4, AK$11 * 0.876) * 0.25,
    IF(
        AND($H99 &gt; $BA$7, Tabella01MarzoInverter[[#This Row],[Active power TX2-INV-10]] &lt;= 0),
        Tabella01MarzoInverter[[#This Row],[Active power TX3-INV-7]] * 0.25,
        0
    )
    +
    IF(
        $N99 &lt; 0.875,
        MAX(0, MIN(($H99 / 1000) * AK$10 * $BA$4, AK$11 * 0.876) - (AK$11 * $N99)) * 0.25,
        0
    )
)</f>
        <v/>
      </c>
      <c r="AL99" s="117">
        <f>IF(
    AND($H99 &gt; $BA$7, Tabella01MarzoInverter[[#This Row],[Active power TX2-INV-11]] &lt;= 0, Tabella01MarzoInverter[[#This Row],[Active power TX3-INV-8]] &lt;= 0),
    MIN(($H99 / 1000) * AL$10 * $BA$4, AL$11 * 0.876) * 0.25,
    IF(
        AND($H99 &gt; $BA$7, Tabella01MarzoInverter[[#This Row],[Active power TX2-INV-11]] &lt;= 0),
        Tabella01MarzoInverter[[#This Row],[Active power TX3-INV-8]] * 0.25,
        0
    )
    +
    IF(
        $N99 &lt; 0.875,
        MAX(0, MIN(($H99 / 1000) * AL$10 * $BA$4, AL$11 * 0.876) - (AL$11 * $N99)) * 0.25,
        0
    )
)</f>
        <v/>
      </c>
      <c r="AM99" s="117">
        <f>IF(
    AND($H99 &gt; $BA$7, Tabella01MarzoInverter[[#This Row],[Active power TX2-INV-12]] &lt;= 0, Tabella01MarzoInverter[[#This Row],[Active power TX3-INV-9]] &lt;= 0),
    MIN(($H99 / 1000) * AM$10 * $BA$4, AM$11 * 0.876) * 0.25,
    IF(
        AND($H99 &gt; $BA$7, Tabella01MarzoInverter[[#This Row],[Active power TX2-INV-12]] &lt;= 0),
        Tabella01MarzoInverter[[#This Row],[Active power TX3-INV-9]] * 0.25,
        0
    )
    +
    IF(
        $N99 &lt; 0.875,
        MAX(0, MIN(($H99 / 1000) * AM$10 * $BA$4, AM$11 * 0.876) - (AM$11 * $N99)) * 0.25,
        0
    )
)</f>
        <v/>
      </c>
      <c r="AN99" s="118">
        <f>SUM(TabellaMar2026[[#This Row],[Colonna39]:[Colonna6]])</f>
        <v/>
      </c>
      <c r="AO99" s="117">
        <f t="array" ref="AO99">IF(
    AND($H99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($H99 / 1000) * AO$10 * $BA$4 * 0.25
    ),
    0
)
+
IF(
    $N99 &lt; 0.875,
    MAX(0, MIN(($H99 / 1000) * AO$10 * $BA$4, AO$11 * 0.876) - (AO$11 * $N99)) * 0.25,
    0
)</f>
        <v/>
      </c>
      <c r="AP99" s="117">
        <f t="array" ref="AP99">IF(
    AND($H99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($H99 / 1000) * AP$10 * $BA$4 * 0.25
    ),
    0
)
+
IF(
    $N99 &lt; 0.875,
    MAX(0, MIN(($H99 / 1000) * AP$10 * $BA$4, AP$11 * 0.876) - (AP$11 * $N99)) * 0.25,
    0
)</f>
        <v/>
      </c>
      <c r="AQ99" s="117">
        <f t="array" ref="AQ99">IF(
    AND($H99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($H99 / 1000) * AQ$10 * $BA$4 * 0.25
    ),
    0
)
+
IF(
    $N99 &lt; 0.875,
    MAX(0, MIN(($H99 / 1000) * AQ$10 * $BA$4, AQ$11 * 0.876) - (AQ$11 * $N99)) * 0.25,
    0
)</f>
        <v/>
      </c>
      <c r="AR99" s="117">
        <f t="array" ref="AR99">IF(
    AND($H99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($H99 / 1000) * AR$10 * $BA$4 * 0.25
    ),
    0
)
+
IF(
    $N99 &lt; 0.875,
    MAX(0, MIN(($H99 / 1000) * AR$10 * $BA$4, AR$11 * 0.876) - (AR$11 * $N99)) * 0.25,
    0
)</f>
        <v/>
      </c>
      <c r="AS99" s="117">
        <f t="array" ref="AS99">IF(
    AND($H99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($H99 / 1000) * AS$10 * $BA$4 * 0.25
    ),
    0
)
+
IF(
    $N99 &lt; 0.875,
    MAX(0, MIN(($H99 / 1000) * AS$10 * $BA$4, AS$11 * 0.876) - (AS$11 * $N99)) * 0.25,
    0
)</f>
        <v/>
      </c>
      <c r="AT99" s="117">
        <f t="array" ref="AT99">IF(
    AND($H99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($H99 / 1000) * AT$10 * $BA$4 * 0.25
    ),
    0
)
+
IF(
    $N99 &lt; 0.875,
    MAX(0, MIN(($H99 / 1000) * AT$10 * $BA$4, AT$11 * 0.876) - (AT$11 * $N99)) * 0.25,
    0
)</f>
        <v/>
      </c>
      <c r="AU99" s="117">
        <f t="array" ref="AU99">IF(
    AND($H99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($H99 / 1000) * AU$10 * $BA$4 * 0.25
    ),
    0
)
+
IF(
    $N99 &lt; 0.875,
    MAX(0, MIN(($H99 / 1000) * AU$10 * $BA$4, AU$11 * 0.876) - (AU$11 * $N99)) * 0.25,
    0
)</f>
        <v/>
      </c>
      <c r="AV99" s="117">
        <f t="array" ref="AV99">IF(
    AND($H99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($H99 / 1000) * AV$10 * $BA$4 * 0.25
    ),
    0
)
+
IF(
    $N99 &lt; 0.875,
    MAX(0, MIN(($H99 / 1000) * AV$10 * $BA$4, AV$11 * 0.876) - (AV$11 * $N99)) * 0.25,
    0
)</f>
        <v/>
      </c>
      <c r="AW99" s="117">
        <f t="array" ref="AW99">IF(
    AND($H99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($H99 / 1000) * AW$10 * $BA$4 * 0.25
    ),
    0
)
+
IF(
    $N99 &lt; 0.875,
    MAX(0, MIN(($H99 / 1000) * AW$10 * $BA$4, AW$11 * 0.876) - (AW$11 * $N99)) * 0.25,
    0
)</f>
        <v/>
      </c>
      <c r="AX99" s="117">
        <f t="array" ref="AX99">IF(
    AND($H99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($H99 / 1000) * AX$10 * $BA$4 * 0.25
    ),
    0
)
+
IF(
    $N99 &lt; 0.875,
    MAX(0, MIN(($H99 / 1000) * AX$10 * $BA$4, AX$11 * 0.876) - (AX$11 * $N99)) * 0.25,
    0
)</f>
        <v/>
      </c>
      <c r="AY99" s="117">
        <f t="array" ref="AY99">IF(
    AND($H99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($H99 / 1000) * AY$10 * $BA$4 * 0.25
    ),
    0
)
+
IF(
    $N99 &lt; 0.875,
    MAX(0, MIN(($H99 / 1000) * AY$10 * $BA$4, AY$11 * 0.876) - (AY$11 * $N99)) * 0.25,
    0
)</f>
        <v/>
      </c>
      <c r="AZ99" s="117">
        <f t="array" ref="AZ99">IF(
    AND($H99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($H99 / 1000) * AZ$10 * $BA$4 * 0.25
    ),
    0
)
+
IF(
    $N99 &lt; 0.875,
    MAX(0, MIN(($H99 / 1000) * AZ$10 * $BA$4, AZ$11 * 0.876) - (AZ$11 * $N99)) * 0.25,
    0
)</f>
        <v/>
      </c>
      <c r="BA99" s="119">
        <f>SUM(TabellaMar2026[[#This Row],[Colonna54]:[Colonna53]])</f>
        <v/>
      </c>
    </row>
    <row r="100">
      <c r="A100" s="112" t="n">
        <v>46143</v>
      </c>
      <c r="B100" t="inlineStr">
        <is>
          <t>21:15:00.000</t>
        </is>
      </c>
      <c r="C100" s="2" t="n">
        <v>-2</v>
      </c>
      <c r="D100" s="113" t="n">
        <v>-0.0005</v>
      </c>
      <c r="E100" s="113" t="n">
        <v>-1.7</v>
      </c>
      <c r="F100" s="113" t="n">
        <v>-0.000425</v>
      </c>
      <c r="G100" s="113">
        <f>IFERROR((D100+F100)/2, 0)</f>
        <v/>
      </c>
      <c r="H100" s="114">
        <f>IFERROR(IF(AVERAGE(C100,E100)&gt;$BA$7,AVERAGE(C100,E100),0), 0)</f>
        <v/>
      </c>
      <c r="I100" s="114">
        <f>IFERROR(IF(AND(D100=0,F100=0),0,IF(H100&gt;$BA$6,MAX(D100,F100),G100)), 0)</f>
        <v/>
      </c>
      <c r="J100" s="113">
        <f>IFERROR(IF(AND(D100&gt;0,F100&gt;0),ABS(D100-F100)/AVERAGE(D100,F100),0), 0)</f>
        <v/>
      </c>
      <c r="K100" s="113" t="n">
        <v>30141.3</v>
      </c>
      <c r="L100" s="113" t="n">
        <v>30141.3</v>
      </c>
      <c r="M100" s="115">
        <f>IFERROR((L100-K100)*1000, 0)</f>
        <v/>
      </c>
      <c r="N100" s="113" t="n">
        <v>0.8759999999999999</v>
      </c>
      <c r="O100" s="115">
        <f t="array" ref="O100">IF(
    AND($H100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($H100 / 1000) * O$10 * $BA$4 * 0.25
    ),
    0
)
+
IF(
    $N100 &lt; 0.875,
    MAX(0, MIN(($H100 / 1000) * O$10 * $BA$4, O$11 * 0.876) - (O$11 * $N100)) * 0.25,
    0
)</f>
        <v/>
      </c>
      <c r="P100" s="115">
        <f t="array" ref="P100">IF(
    AND($H100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($H100 / 1000) * P$10 * $BA$4 * 0.25
    ),
    0
)
+
IF(
    $N100 &lt; 0.875,
    MAX(0, MIN(($H100 / 1000) * P$10 * $BA$4, P$11 * 0.876) - (P$11 * $N100)) * 0.25,
    0
)</f>
        <v/>
      </c>
      <c r="Q100" s="115">
        <f t="array" ref="Q100">IF(
    AND($H100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($H100 / 1000) * Q$10 * $BA$4 * 0.25
    ),
    0
)
+
IF(
    $N100 &lt; 0.875,
    MAX(0, MIN(($H100 / 1000) * Q$10 * $BA$4, Q$11 * 0.876) - (Q$11 * $N100)) * 0.25,
    0
)</f>
        <v/>
      </c>
      <c r="R100" s="115">
        <f t="array" ref="R100">IF(
    AND($H100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($H100 / 1000) * R$10 * $BA$4 * 0.25
    ),
    0
)
+
IF(
    $N100 &lt; 0.875,
    MAX(0, MIN(($H100 / 1000) * R$10 * $BA$4, R$11 * 0.876) - (R$11 * $N100)) * 0.25,
    0
)</f>
        <v/>
      </c>
      <c r="S100" s="115">
        <f t="array" ref="S100">IF(
    AND($H100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($H100 / 1000) * S$10 * $BA$4 * 0.25
    ),
    0
)
+
IF(
    $N100 &lt; 0.875,
    MAX(0, MIN(($H100 / 1000) * S$10 * $BA$4, S$11 * 0.876) - (S$11 * $N100)) * 0.25,
    0
)</f>
        <v/>
      </c>
      <c r="T100" s="115">
        <f t="array" ref="T100">IF(
    AND($H100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($H100 / 1000) * T$10 * $BA$4 * 0.25
    ),
    0
)
+
IF(
    $N100 &lt; 0.875,
    MAX(0, MIN(($H100 / 1000) * T$10 * $BA$4, T$11 * 0.876) - (T$11 * $N100)) * 0.25,
    0
)</f>
        <v/>
      </c>
      <c r="U100" s="115">
        <f t="array" ref="U100">IF(
    AND($H100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($H100 / 1000) * U$10 * $BA$4 * 0.25
    ),
    0
)
+
IF(
    $N100 &lt; 0.875,
    MAX(0, MIN(($H100 / 1000) * U$10 * $BA$4, U$11 * 0.876) - (U$11 * $N100)) * 0.25,
    0
)</f>
        <v/>
      </c>
      <c r="V100" s="115">
        <f t="array" ref="V100">IF(
    AND($H100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($H100 / 1000) * V$10 * $BA$4 * 0.25
    ),
    0
)
+
IF(
    $N100 &lt; 0.875,
    MAX(0, MIN(($H100 / 1000) * V$10 * $BA$4, V$11 * 0.876) - (V$11 * $N100)) * 0.25,
    0
)</f>
        <v/>
      </c>
      <c r="W100" s="115">
        <f t="array" ref="W100">IF(
    AND($H100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($H100 / 1000) * W$10 * $BA$4 * 0.25
    ),
    0
)
+
IF(
    $N100 &lt; 0.875,
    MAX(0, MIN(($H100 / 1000) * W$10 * $BA$4, W$11 * 0.876) - (W$11 * $N100)) * 0.25,
    0
)</f>
        <v/>
      </c>
      <c r="X100" s="115">
        <f t="array" ref="X100">IF(
    AND($H100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($H100 / 1000) * X$10 * $BA$4 * 0.25
    ),
    0
)
+
IF(
    $N100 &lt; 0.875,
    MAX(0, MIN(($H100 / 1000) * X$10 * $BA$4, X$11 * 0.876) - (X$11 * $N100)) * 0.25,
    0
)</f>
        <v/>
      </c>
      <c r="Y100" s="115">
        <f t="array" ref="Y100">IF(
    AND($H100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($H100 / 1000) * Y$10 * $BA$4 * 0.25
    ),
    0
)
+
IF(
    $N100 &lt; 0.875,
    MAX(0, MIN(($H100 / 1000) * Y$10 * $BA$4, Y$11 * 0.876) - (Y$11 * $N100)) * 0.25,
    0
)</f>
        <v/>
      </c>
      <c r="Z100" s="115">
        <f t="array" ref="Z100">IF(
    AND($H100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($H100 / 1000) * Z$10 * $BA$4 * 0.25
    ),
    0
)
+
IF(
    $N100 &lt; 0.875,
    MAX(0, MIN(($H100 / 1000) * Z$10 * $BA$4, Z$11 * 0.876) - (Z$11 * $N100)) * 0.25,
    0
)</f>
        <v/>
      </c>
      <c r="AA100" s="116">
        <f>SUM(TabellaMar2026[[#This Row],[Colonna24]:[Colonna20]])</f>
        <v/>
      </c>
      <c r="AB100" s="117">
        <f>IF(
    AND($H100 &gt; $BA$7, Tabella01MarzoInverter[[#This Row],[Active power TX2-INV-1]] &lt;= 0, Tabella01MarzoInverter[[#This Row],[TX2 - Average Power]] &lt;= 0),
    MIN(($H100 / 1000) * AB$10 * $BA$4, AB$11 * 0.876) * 0.25,
    IF(
        AND($H100 &gt; $BA$7, Tabella01MarzoInverter[[#This Row],[Active power TX2-INV-1]] &lt;= 0),
        Tabella01MarzoInverter[[#This Row],[TX2 - Average Power]] * 0.25,
        0
    )
    +
    IF(
        $N100 &lt; 0.875,
        MAX(0, MIN(($H100 / 1000) * AB$10 * $BA$4, AB$11 * 0.876) - (AB$11 * $N100)) * 0.25,
        0
    )
)</f>
        <v/>
      </c>
      <c r="AC100" s="117">
        <f>IF(
    AND($H100 &gt; $BA$7, Tabella01MarzoInverter[[#This Row],[Active power TX2-INV-2]] &lt;= 0, Tabella01MarzoInverter[[#This Row],[TX2 - Max Power]] &lt;= 0),
    MIN(($H100 / 1000) * AC$10 * $BA$4, AC$11 * 0.876) * 0.25,
    IF(
        AND($H100 &gt; $BA$7, Tabella01MarzoInverter[[#This Row],[Active power TX2-INV-2]] &lt;= 0),
        Tabella01MarzoInverter[[#This Row],[TX2 - Max Power]] * 0.25,
        0
    )
    +
    IF(
        $N100 &lt; 0.875,
        MAX(0, MIN(($H100 / 1000) * AC$10 * $BA$4, AC$11 * 0.876) - (AC$11 * $N100)) * 0.25,
        0
    )
)</f>
        <v/>
      </c>
      <c r="AD100" s="117">
        <f>IF(
    AND($H100 &gt; $BA$7, Tabella01MarzoInverter[[#This Row],[Active power TX2-INV-3]] &lt;= 0, Tabella01MarzoInverter[[#This Row],[TX2 - Min Power]] &lt;= 0),
    MIN(($H100 / 1000) * AD$10 * $BA$4, AD$11 * 0.876) * 0.25,
    IF(
        AND($H100 &gt; $BA$7, Tabella01MarzoInverter[[#This Row],[Active power TX2-INV-3]] &lt;= 0),
        Tabella01MarzoInverter[[#This Row],[TX2 - Min Power]] * 0.25,
        0
    )
    +
    IF(
        $N100 &lt; 0.875,
        MAX(0, MIN(($H100 / 1000) * AD$10 * $BA$4, AD$11 * 0.876) - (AD$11 * $N100)) * 0.25,
        0
    )
)</f>
        <v/>
      </c>
      <c r="AE100" s="117">
        <f>IF(
    AND($H100 &gt; $BA$7, Tabella01MarzoInverter[[#This Row],[Active power TX2-INV-4]] &lt;= 0, Tabella01MarzoInverter[[#This Row],[Active power TX3-INV-1]] &lt;= 0),
    MIN(($H100 / 1000) * AE$10 * $BA$4, AE$11 * 0.876) * 0.25,
    IF(
        AND($H100 &gt; $BA$7, Tabella01MarzoInverter[[#This Row],[Active power TX2-INV-4]] &lt;= 0),
        Tabella01MarzoInverter[[#This Row],[Active power TX3-INV-1]] * 0.25,
        0
    )
    +
    IF(
        $N100 &lt; 0.875,
        MAX(0, MIN(($H100 / 1000) * AE$10 * $BA$4, AE$11 * 0.876) - (AE$11 * $N100)) * 0.25,
        0
    )
)</f>
        <v/>
      </c>
      <c r="AF100" s="117">
        <f>IF(
    AND($H100 &gt; $BA$7, Tabella01MarzoInverter[[#This Row],[Active power TX2-INV-5]] &lt;= 0, Tabella01MarzoInverter[[#This Row],[Active power TX3-INV-2]] &lt;= 0),
    MIN(($H100 / 1000) * AF$10 * $BA$4, AF$11 * 0.876) * 0.25,
    IF(
        AND($H100 &gt; $BA$7, Tabella01MarzoInverter[[#This Row],[Active power TX2-INV-5]] &lt;= 0),
        Tabella01MarzoInverter[[#This Row],[Active power TX3-INV-2]] * 0.25,
        0
    )
    +
    IF(
        $N100 &lt; 0.875,
        MAX(0, MIN(($H100 / 1000) * AF$10 * $BA$4, AF$11 * 0.876) - (AF$11 * $N100)) * 0.25,
        0
    )
)</f>
        <v/>
      </c>
      <c r="AG100" s="117">
        <f>IF(
    AND($H100 &gt; $BA$7, Tabella01MarzoInverter[[#This Row],[Active power TX2-INV-6]] &lt;= 0, Tabella01MarzoInverter[[#This Row],[Active power TX3-INV-3]] &lt;= 0),
    MIN(($H100 / 1000) * AG$10 * $BA$4, AG$11 * 0.876) * 0.25,
    IF(
        AND($H100 &gt; $BA$7, Tabella01MarzoInverter[[#This Row],[Active power TX2-INV-6]] &lt;= 0),
        Tabella01MarzoInverter[[#This Row],[Active power TX3-INV-3]] * 0.25,
        0
    )
    +
    IF(
        $N100 &lt; 0.875,
        MAX(0, MIN(($H100 / 1000) * AG$10 * $BA$4, AG$11 * 0.876) - (AG$11 * $N100)) * 0.25,
        0
    )
)</f>
        <v/>
      </c>
      <c r="AH100" s="117">
        <f>IF(
    AND($H100 &gt; $BA$7, Tabella01MarzoInverter[[#This Row],[Active power TX2-INV-7]] &lt;= 0, Tabella01MarzoInverter[[#This Row],[Active power TX3-INV-4]] &lt;= 0),
    MIN(($H100 / 1000) * AH$10 * $BA$4, AH$11 * 0.876) * 0.25,
    IF(
        AND($H100 &gt; $BA$7, Tabella01MarzoInverter[[#This Row],[Active power TX2-INV-7]] &lt;= 0),
        Tabella01MarzoInverter[[#This Row],[Active power TX3-INV-4]] * 0.25,
        0
    )
    +
    IF(
        $N100 &lt; 0.875,
        MAX(0, MIN(($H100 / 1000) * AH$10 * $BA$4, AH$11 * 0.876) - (AH$11 * $N100)) * 0.25,
        0
    )
)</f>
        <v/>
      </c>
      <c r="AI100" s="117">
        <f>IF(
    AND($H100 &gt; $BA$7, Tabella01MarzoInverter[[#This Row],[Active power TX2-INV-8]] &lt;= 0, Tabella01MarzoInverter[[#This Row],[Active power TX3-INV-5]] &lt;= 0),
    MIN(($H100 / 1000) * AI$10 * $BA$4, AI$11 * 0.876) * 0.25,
    IF(
        AND($H100 &gt; $BA$7, Tabella01MarzoInverter[[#This Row],[Active power TX2-INV-8]] &lt;= 0),
        Tabella01MarzoInverter[[#This Row],[Active power TX3-INV-5]] * 0.25,
        0
    )
    +
    IF(
        $N100 &lt; 0.875,
        MAX(0, MIN(($H100 / 1000) * AI$10 * $BA$4, AI$11 * 0.876) - (AI$11 * $N100)) * 0.25,
        0
    )
)</f>
        <v/>
      </c>
      <c r="AJ100" s="117">
        <f>IF(
    AND($H100 &gt; $BA$7, Tabella01MarzoInverter[[#This Row],[Active power TX2-INV-9]] &lt;= 0, Tabella01MarzoInverter[[#This Row],[Active power TX3-INV-6]] &lt;= 0),
    MIN(($H100 / 1000) * AJ$10 * $BA$4, AJ$11 * 0.876) * 0.25,
    IF(
        AND($H100 &gt; $BA$7, Tabella01MarzoInverter[[#This Row],[Active power TX2-INV-9]] &lt;= 0),
        Tabella01MarzoInverter[[#This Row],[Active power TX3-INV-6]] * 0.25,
        0
    )
    +
    IF(
        $N100 &lt; 0.875,
        MAX(0, MIN(($H100 / 1000) * AJ$10 * $BA$4, AJ$11 * 0.876) - (AJ$11 * $N100)) * 0.25,
        0
    )
)</f>
        <v/>
      </c>
      <c r="AK100" s="117">
        <f>IF(
    AND($H100 &gt; $BA$7, Tabella01MarzoInverter[[#This Row],[Active power TX2-INV-10]] &lt;= 0, Tabella01MarzoInverter[[#This Row],[Active power TX3-INV-7]] &lt;= 0),
    MIN(($H100 / 1000) * AK$10 * $BA$4, AK$11 * 0.876) * 0.25,
    IF(
        AND($H100 &gt; $BA$7, Tabella01MarzoInverter[[#This Row],[Active power TX2-INV-10]] &lt;= 0),
        Tabella01MarzoInverter[[#This Row],[Active power TX3-INV-7]] * 0.25,
        0
    )
    +
    IF(
        $N100 &lt; 0.875,
        MAX(0, MIN(($H100 / 1000) * AK$10 * $BA$4, AK$11 * 0.876) - (AK$11 * $N100)) * 0.25,
        0
    )
)</f>
        <v/>
      </c>
      <c r="AL100" s="117">
        <f>IF(
    AND($H100 &gt; $BA$7, Tabella01MarzoInverter[[#This Row],[Active power TX2-INV-11]] &lt;= 0, Tabella01MarzoInverter[[#This Row],[Active power TX3-INV-8]] &lt;= 0),
    MIN(($H100 / 1000) * AL$10 * $BA$4, AL$11 * 0.876) * 0.25,
    IF(
        AND($H100 &gt; $BA$7, Tabella01MarzoInverter[[#This Row],[Active power TX2-INV-11]] &lt;= 0),
        Tabella01MarzoInverter[[#This Row],[Active power TX3-INV-8]] * 0.25,
        0
    )
    +
    IF(
        $N100 &lt; 0.875,
        MAX(0, MIN(($H100 / 1000) * AL$10 * $BA$4, AL$11 * 0.876) - (AL$11 * $N100)) * 0.25,
        0
    )
)</f>
        <v/>
      </c>
      <c r="AM100" s="117">
        <f>IF(
    AND($H100 &gt; $BA$7, Tabella01MarzoInverter[[#This Row],[Active power TX2-INV-12]] &lt;= 0, Tabella01MarzoInverter[[#This Row],[Active power TX3-INV-9]] &lt;= 0),
    MIN(($H100 / 1000) * AM$10 * $BA$4, AM$11 * 0.876) * 0.25,
    IF(
        AND($H100 &gt; $BA$7, Tabella01MarzoInverter[[#This Row],[Active power TX2-INV-12]] &lt;= 0),
        Tabella01MarzoInverter[[#This Row],[Active power TX3-INV-9]] * 0.25,
        0
    )
    +
    IF(
        $N100 &lt; 0.875,
        MAX(0, MIN(($H100 / 1000) * AM$10 * $BA$4, AM$11 * 0.876) - (AM$11 * $N100)) * 0.25,
        0
    )
)</f>
        <v/>
      </c>
      <c r="AN100" s="118">
        <f>SUM(TabellaMar2026[[#This Row],[Colonna39]:[Colonna6]])</f>
        <v/>
      </c>
      <c r="AO100" s="117">
        <f t="array" ref="AO100">IF(
    AND($H100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($H100 / 1000) * AO$10 * $BA$4 * 0.25
    ),
    0
)
+
IF(
    $N100 &lt; 0.875,
    MAX(0, MIN(($H100 / 1000) * AO$10 * $BA$4, AO$11 * 0.876) - (AO$11 * $N100)) * 0.25,
    0
)</f>
        <v/>
      </c>
      <c r="AP100" s="117">
        <f t="array" ref="AP100">IF(
    AND($H100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($H100 / 1000) * AP$10 * $BA$4 * 0.25
    ),
    0
)
+
IF(
    $N100 &lt; 0.875,
    MAX(0, MIN(($H100 / 1000) * AP$10 * $BA$4, AP$11 * 0.876) - (AP$11 * $N100)) * 0.25,
    0
)</f>
        <v/>
      </c>
      <c r="AQ100" s="117">
        <f t="array" ref="AQ100">IF(
    AND($H100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($H100 / 1000) * AQ$10 * $BA$4 * 0.25
    ),
    0
)
+
IF(
    $N100 &lt; 0.875,
    MAX(0, MIN(($H100 / 1000) * AQ$10 * $BA$4, AQ$11 * 0.876) - (AQ$11 * $N100)) * 0.25,
    0
)</f>
        <v/>
      </c>
      <c r="AR100" s="117">
        <f t="array" ref="AR100">IF(
    AND($H100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($H100 / 1000) * AR$10 * $BA$4 * 0.25
    ),
    0
)
+
IF(
    $N100 &lt; 0.875,
    MAX(0, MIN(($H100 / 1000) * AR$10 * $BA$4, AR$11 * 0.876) - (AR$11 * $N100)) * 0.25,
    0
)</f>
        <v/>
      </c>
      <c r="AS100" s="117">
        <f t="array" ref="AS100">IF(
    AND($H100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($H100 / 1000) * AS$10 * $BA$4 * 0.25
    ),
    0
)
+
IF(
    $N100 &lt; 0.875,
    MAX(0, MIN(($H100 / 1000) * AS$10 * $BA$4, AS$11 * 0.876) - (AS$11 * $N100)) * 0.25,
    0
)</f>
        <v/>
      </c>
      <c r="AT100" s="117">
        <f t="array" ref="AT100">IF(
    AND($H100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($H100 / 1000) * AT$10 * $BA$4 * 0.25
    ),
    0
)
+
IF(
    $N100 &lt; 0.875,
    MAX(0, MIN(($H100 / 1000) * AT$10 * $BA$4, AT$11 * 0.876) - (AT$11 * $N100)) * 0.25,
    0
)</f>
        <v/>
      </c>
      <c r="AU100" s="117">
        <f t="array" ref="AU100">IF(
    AND($H100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($H100 / 1000) * AU$10 * $BA$4 * 0.25
    ),
    0
)
+
IF(
    $N100 &lt; 0.875,
    MAX(0, MIN(($H100 / 1000) * AU$10 * $BA$4, AU$11 * 0.876) - (AU$11 * $N100)) * 0.25,
    0
)</f>
        <v/>
      </c>
      <c r="AV100" s="117">
        <f t="array" ref="AV100">IF(
    AND($H100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($H100 / 1000) * AV$10 * $BA$4 * 0.25
    ),
    0
)
+
IF(
    $N100 &lt; 0.875,
    MAX(0, MIN(($H100 / 1000) * AV$10 * $BA$4, AV$11 * 0.876) - (AV$11 * $N100)) * 0.25,
    0
)</f>
        <v/>
      </c>
      <c r="AW100" s="117">
        <f t="array" ref="AW100">IF(
    AND($H100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($H100 / 1000) * AW$10 * $BA$4 * 0.25
    ),
    0
)
+
IF(
    $N100 &lt; 0.875,
    MAX(0, MIN(($H100 / 1000) * AW$10 * $BA$4, AW$11 * 0.876) - (AW$11 * $N100)) * 0.25,
    0
)</f>
        <v/>
      </c>
      <c r="AX100" s="117">
        <f t="array" ref="AX100">IF(
    AND($H100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($H100 / 1000) * AX$10 * $BA$4 * 0.25
    ),
    0
)
+
IF(
    $N100 &lt; 0.875,
    MAX(0, MIN(($H100 / 1000) * AX$10 * $BA$4, AX$11 * 0.876) - (AX$11 * $N100)) * 0.25,
    0
)</f>
        <v/>
      </c>
      <c r="AY100" s="117">
        <f t="array" ref="AY100">IF(
    AND($H100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($H100 / 1000) * AY$10 * $BA$4 * 0.25
    ),
    0
)
+
IF(
    $N100 &lt; 0.875,
    MAX(0, MIN(($H100 / 1000) * AY$10 * $BA$4, AY$11 * 0.876) - (AY$11 * $N100)) * 0.25,
    0
)</f>
        <v/>
      </c>
      <c r="AZ100" s="117">
        <f t="array" ref="AZ100">IF(
    AND($H100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($H100 / 1000) * AZ$10 * $BA$4 * 0.25
    ),
    0
)
+
IF(
    $N100 &lt; 0.875,
    MAX(0, MIN(($H100 / 1000) * AZ$10 * $BA$4, AZ$11 * 0.876) - (AZ$11 * $N100)) * 0.25,
    0
)</f>
        <v/>
      </c>
      <c r="BA100" s="119">
        <f>SUM(TabellaMar2026[[#This Row],[Colonna54]:[Colonna53]])</f>
        <v/>
      </c>
    </row>
    <row r="101">
      <c r="A101" s="112" t="n">
        <v>46143</v>
      </c>
      <c r="B101" t="inlineStr">
        <is>
          <t>21:30:00.000</t>
        </is>
      </c>
      <c r="C101" s="2" t="n">
        <v>-2</v>
      </c>
      <c r="D101" s="113" t="n">
        <v>-0.0005</v>
      </c>
      <c r="E101" s="113" t="n">
        <v>-1.4</v>
      </c>
      <c r="F101" s="113" t="n">
        <v>-0.00035</v>
      </c>
      <c r="G101" s="113">
        <f>IFERROR((D101+F101)/2, 0)</f>
        <v/>
      </c>
      <c r="H101" s="114">
        <f>IFERROR(IF(AVERAGE(C101,E101)&gt;$BA$7,AVERAGE(C101,E101),0), 0)</f>
        <v/>
      </c>
      <c r="I101" s="114">
        <f>IFERROR(IF(AND(D101=0,F101=0),0,IF(H101&gt;$BA$6,MAX(D101,F101),G101)), 0)</f>
        <v/>
      </c>
      <c r="J101" s="113">
        <f>IFERROR(IF(AND(D101&gt;0,F101&gt;0),ABS(D101-F101)/AVERAGE(D101,F101),0), 0)</f>
        <v/>
      </c>
      <c r="K101" s="113" t="n">
        <v>30141.3</v>
      </c>
      <c r="L101" s="113" t="n">
        <v>30141.3</v>
      </c>
      <c r="M101" s="115">
        <f>IFERROR((L101-K101)*1000, 0)</f>
        <v/>
      </c>
      <c r="N101" s="113" t="n">
        <v>0.8759999999999999</v>
      </c>
      <c r="O101" s="115">
        <f t="array" ref="O101">IF(
    AND($H101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($H101 / 1000) * O$10 * $BA$4 * 0.25
    ),
    0
)
+
IF(
    $N101 &lt; 0.875,
    MAX(0, MIN(($H101 / 1000) * O$10 * $BA$4, O$11 * 0.876) - (O$11 * $N101)) * 0.25,
    0
)</f>
        <v/>
      </c>
      <c r="P101" s="115">
        <f t="array" ref="P101">IF(
    AND($H101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($H101 / 1000) * P$10 * $BA$4 * 0.25
    ),
    0
)
+
IF(
    $N101 &lt; 0.875,
    MAX(0, MIN(($H101 / 1000) * P$10 * $BA$4, P$11 * 0.876) - (P$11 * $N101)) * 0.25,
    0
)</f>
        <v/>
      </c>
      <c r="Q101" s="115">
        <f t="array" ref="Q101">IF(
    AND($H101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($H101 / 1000) * Q$10 * $BA$4 * 0.25
    ),
    0
)
+
IF(
    $N101 &lt; 0.875,
    MAX(0, MIN(($H101 / 1000) * Q$10 * $BA$4, Q$11 * 0.876) - (Q$11 * $N101)) * 0.25,
    0
)</f>
        <v/>
      </c>
      <c r="R101" s="115">
        <f t="array" ref="R101">IF(
    AND($H101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($H101 / 1000) * R$10 * $BA$4 * 0.25
    ),
    0
)
+
IF(
    $N101 &lt; 0.875,
    MAX(0, MIN(($H101 / 1000) * R$10 * $BA$4, R$11 * 0.876) - (R$11 * $N101)) * 0.25,
    0
)</f>
        <v/>
      </c>
      <c r="S101" s="115">
        <f t="array" ref="S101">IF(
    AND($H101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($H101 / 1000) * S$10 * $BA$4 * 0.25
    ),
    0
)
+
IF(
    $N101 &lt; 0.875,
    MAX(0, MIN(($H101 / 1000) * S$10 * $BA$4, S$11 * 0.876) - (S$11 * $N101)) * 0.25,
    0
)</f>
        <v/>
      </c>
      <c r="T101" s="115">
        <f t="array" ref="T101">IF(
    AND($H101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($H101 / 1000) * T$10 * $BA$4 * 0.25
    ),
    0
)
+
IF(
    $N101 &lt; 0.875,
    MAX(0, MIN(($H101 / 1000) * T$10 * $BA$4, T$11 * 0.876) - (T$11 * $N101)) * 0.25,
    0
)</f>
        <v/>
      </c>
      <c r="U101" s="115">
        <f t="array" ref="U101">IF(
    AND($H101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($H101 / 1000) * U$10 * $BA$4 * 0.25
    ),
    0
)
+
IF(
    $N101 &lt; 0.875,
    MAX(0, MIN(($H101 / 1000) * U$10 * $BA$4, U$11 * 0.876) - (U$11 * $N101)) * 0.25,
    0
)</f>
        <v/>
      </c>
      <c r="V101" s="115">
        <f t="array" ref="V101">IF(
    AND($H101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($H101 / 1000) * V$10 * $BA$4 * 0.25
    ),
    0
)
+
IF(
    $N101 &lt; 0.875,
    MAX(0, MIN(($H101 / 1000) * V$10 * $BA$4, V$11 * 0.876) - (V$11 * $N101)) * 0.25,
    0
)</f>
        <v/>
      </c>
      <c r="W101" s="115">
        <f t="array" ref="W101">IF(
    AND($H101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($H101 / 1000) * W$10 * $BA$4 * 0.25
    ),
    0
)
+
IF(
    $N101 &lt; 0.875,
    MAX(0, MIN(($H101 / 1000) * W$10 * $BA$4, W$11 * 0.876) - (W$11 * $N101)) * 0.25,
    0
)</f>
        <v/>
      </c>
      <c r="X101" s="115">
        <f t="array" ref="X101">IF(
    AND($H101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($H101 / 1000) * X$10 * $BA$4 * 0.25
    ),
    0
)
+
IF(
    $N101 &lt; 0.875,
    MAX(0, MIN(($H101 / 1000) * X$10 * $BA$4, X$11 * 0.876) - (X$11 * $N101)) * 0.25,
    0
)</f>
        <v/>
      </c>
      <c r="Y101" s="115">
        <f t="array" ref="Y101">IF(
    AND($H101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($H101 / 1000) * Y$10 * $BA$4 * 0.25
    ),
    0
)
+
IF(
    $N101 &lt; 0.875,
    MAX(0, MIN(($H101 / 1000) * Y$10 * $BA$4, Y$11 * 0.876) - (Y$11 * $N101)) * 0.25,
    0
)</f>
        <v/>
      </c>
      <c r="Z101" s="115">
        <f t="array" ref="Z101">IF(
    AND($H101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($H101 / 1000) * Z$10 * $BA$4 * 0.25
    ),
    0
)
+
IF(
    $N101 &lt; 0.875,
    MAX(0, MIN(($H101 / 1000) * Z$10 * $BA$4, Z$11 * 0.876) - (Z$11 * $N101)) * 0.25,
    0
)</f>
        <v/>
      </c>
      <c r="AA101" s="116">
        <f>SUM(TabellaMar2026[[#This Row],[Colonna24]:[Colonna20]])</f>
        <v/>
      </c>
      <c r="AB101" s="117">
        <f>IF(
    AND($H101 &gt; $BA$7, Tabella01MarzoInverter[[#This Row],[Active power TX2-INV-1]] &lt;= 0, Tabella01MarzoInverter[[#This Row],[TX2 - Average Power]] &lt;= 0),
    MIN(($H101 / 1000) * AB$10 * $BA$4, AB$11 * 0.876) * 0.25,
    IF(
        AND($H101 &gt; $BA$7, Tabella01MarzoInverter[[#This Row],[Active power TX2-INV-1]] &lt;= 0),
        Tabella01MarzoInverter[[#This Row],[TX2 - Average Power]] * 0.25,
        0
    )
    +
    IF(
        $N101 &lt; 0.875,
        MAX(0, MIN(($H101 / 1000) * AB$10 * $BA$4, AB$11 * 0.876) - (AB$11 * $N101)) * 0.25,
        0
    )
)</f>
        <v/>
      </c>
      <c r="AC101" s="117">
        <f>IF(
    AND($H101 &gt; $BA$7, Tabella01MarzoInverter[[#This Row],[Active power TX2-INV-2]] &lt;= 0, Tabella01MarzoInverter[[#This Row],[TX2 - Max Power]] &lt;= 0),
    MIN(($H101 / 1000) * AC$10 * $BA$4, AC$11 * 0.876) * 0.25,
    IF(
        AND($H101 &gt; $BA$7, Tabella01MarzoInverter[[#This Row],[Active power TX2-INV-2]] &lt;= 0),
        Tabella01MarzoInverter[[#This Row],[TX2 - Max Power]] * 0.25,
        0
    )
    +
    IF(
        $N101 &lt; 0.875,
        MAX(0, MIN(($H101 / 1000) * AC$10 * $BA$4, AC$11 * 0.876) - (AC$11 * $N101)) * 0.25,
        0
    )
)</f>
        <v/>
      </c>
      <c r="AD101" s="117">
        <f>IF(
    AND($H101 &gt; $BA$7, Tabella01MarzoInverter[[#This Row],[Active power TX2-INV-3]] &lt;= 0, Tabella01MarzoInverter[[#This Row],[TX2 - Min Power]] &lt;= 0),
    MIN(($H101 / 1000) * AD$10 * $BA$4, AD$11 * 0.876) * 0.25,
    IF(
        AND($H101 &gt; $BA$7, Tabella01MarzoInverter[[#This Row],[Active power TX2-INV-3]] &lt;= 0),
        Tabella01MarzoInverter[[#This Row],[TX2 - Min Power]] * 0.25,
        0
    )
    +
    IF(
        $N101 &lt; 0.875,
        MAX(0, MIN(($H101 / 1000) * AD$10 * $BA$4, AD$11 * 0.876) - (AD$11 * $N101)) * 0.25,
        0
    )
)</f>
        <v/>
      </c>
      <c r="AE101" s="117">
        <f>IF(
    AND($H101 &gt; $BA$7, Tabella01MarzoInverter[[#This Row],[Active power TX2-INV-4]] &lt;= 0, Tabella01MarzoInverter[[#This Row],[Active power TX3-INV-1]] &lt;= 0),
    MIN(($H101 / 1000) * AE$10 * $BA$4, AE$11 * 0.876) * 0.25,
    IF(
        AND($H101 &gt; $BA$7, Tabella01MarzoInverter[[#This Row],[Active power TX2-INV-4]] &lt;= 0),
        Tabella01MarzoInverter[[#This Row],[Active power TX3-INV-1]] * 0.25,
        0
    )
    +
    IF(
        $N101 &lt; 0.875,
        MAX(0, MIN(($H101 / 1000) * AE$10 * $BA$4, AE$11 * 0.876) - (AE$11 * $N101)) * 0.25,
        0
    )
)</f>
        <v/>
      </c>
      <c r="AF101" s="117">
        <f>IF(
    AND($H101 &gt; $BA$7, Tabella01MarzoInverter[[#This Row],[Active power TX2-INV-5]] &lt;= 0, Tabella01MarzoInverter[[#This Row],[Active power TX3-INV-2]] &lt;= 0),
    MIN(($H101 / 1000) * AF$10 * $BA$4, AF$11 * 0.876) * 0.25,
    IF(
        AND($H101 &gt; $BA$7, Tabella01MarzoInverter[[#This Row],[Active power TX2-INV-5]] &lt;= 0),
        Tabella01MarzoInverter[[#This Row],[Active power TX3-INV-2]] * 0.25,
        0
    )
    +
    IF(
        $N101 &lt; 0.875,
        MAX(0, MIN(($H101 / 1000) * AF$10 * $BA$4, AF$11 * 0.876) - (AF$11 * $N101)) * 0.25,
        0
    )
)</f>
        <v/>
      </c>
      <c r="AG101" s="117">
        <f>IF(
    AND($H101 &gt; $BA$7, Tabella01MarzoInverter[[#This Row],[Active power TX2-INV-6]] &lt;= 0, Tabella01MarzoInverter[[#This Row],[Active power TX3-INV-3]] &lt;= 0),
    MIN(($H101 / 1000) * AG$10 * $BA$4, AG$11 * 0.876) * 0.25,
    IF(
        AND($H101 &gt; $BA$7, Tabella01MarzoInverter[[#This Row],[Active power TX2-INV-6]] &lt;= 0),
        Tabella01MarzoInverter[[#This Row],[Active power TX3-INV-3]] * 0.25,
        0
    )
    +
    IF(
        $N101 &lt; 0.875,
        MAX(0, MIN(($H101 / 1000) * AG$10 * $BA$4, AG$11 * 0.876) - (AG$11 * $N101)) * 0.25,
        0
    )
)</f>
        <v/>
      </c>
      <c r="AH101" s="117">
        <f>IF(
    AND($H101 &gt; $BA$7, Tabella01MarzoInverter[[#This Row],[Active power TX2-INV-7]] &lt;= 0, Tabella01MarzoInverter[[#This Row],[Active power TX3-INV-4]] &lt;= 0),
    MIN(($H101 / 1000) * AH$10 * $BA$4, AH$11 * 0.876) * 0.25,
    IF(
        AND($H101 &gt; $BA$7, Tabella01MarzoInverter[[#This Row],[Active power TX2-INV-7]] &lt;= 0),
        Tabella01MarzoInverter[[#This Row],[Active power TX3-INV-4]] * 0.25,
        0
    )
    +
    IF(
        $N101 &lt; 0.875,
        MAX(0, MIN(($H101 / 1000) * AH$10 * $BA$4, AH$11 * 0.876) - (AH$11 * $N101)) * 0.25,
        0
    )
)</f>
        <v/>
      </c>
      <c r="AI101" s="117">
        <f>IF(
    AND($H101 &gt; $BA$7, Tabella01MarzoInverter[[#This Row],[Active power TX2-INV-8]] &lt;= 0, Tabella01MarzoInverter[[#This Row],[Active power TX3-INV-5]] &lt;= 0),
    MIN(($H101 / 1000) * AI$10 * $BA$4, AI$11 * 0.876) * 0.25,
    IF(
        AND($H101 &gt; $BA$7, Tabella01MarzoInverter[[#This Row],[Active power TX2-INV-8]] &lt;= 0),
        Tabella01MarzoInverter[[#This Row],[Active power TX3-INV-5]] * 0.25,
        0
    )
    +
    IF(
        $N101 &lt; 0.875,
        MAX(0, MIN(($H101 / 1000) * AI$10 * $BA$4, AI$11 * 0.876) - (AI$11 * $N101)) * 0.25,
        0
    )
)</f>
        <v/>
      </c>
      <c r="AJ101" s="117">
        <f>IF(
    AND($H101 &gt; $BA$7, Tabella01MarzoInverter[[#This Row],[Active power TX2-INV-9]] &lt;= 0, Tabella01MarzoInverter[[#This Row],[Active power TX3-INV-6]] &lt;= 0),
    MIN(($H101 / 1000) * AJ$10 * $BA$4, AJ$11 * 0.876) * 0.25,
    IF(
        AND($H101 &gt; $BA$7, Tabella01MarzoInverter[[#This Row],[Active power TX2-INV-9]] &lt;= 0),
        Tabella01MarzoInverter[[#This Row],[Active power TX3-INV-6]] * 0.25,
        0
    )
    +
    IF(
        $N101 &lt; 0.875,
        MAX(0, MIN(($H101 / 1000) * AJ$10 * $BA$4, AJ$11 * 0.876) - (AJ$11 * $N101)) * 0.25,
        0
    )
)</f>
        <v/>
      </c>
      <c r="AK101" s="117">
        <f>IF(
    AND($H101 &gt; $BA$7, Tabella01MarzoInverter[[#This Row],[Active power TX2-INV-10]] &lt;= 0, Tabella01MarzoInverter[[#This Row],[Active power TX3-INV-7]] &lt;= 0),
    MIN(($H101 / 1000) * AK$10 * $BA$4, AK$11 * 0.876) * 0.25,
    IF(
        AND($H101 &gt; $BA$7, Tabella01MarzoInverter[[#This Row],[Active power TX2-INV-10]] &lt;= 0),
        Tabella01MarzoInverter[[#This Row],[Active power TX3-INV-7]] * 0.25,
        0
    )
    +
    IF(
        $N101 &lt; 0.875,
        MAX(0, MIN(($H101 / 1000) * AK$10 * $BA$4, AK$11 * 0.876) - (AK$11 * $N101)) * 0.25,
        0
    )
)</f>
        <v/>
      </c>
      <c r="AL101" s="117">
        <f>IF(
    AND($H101 &gt; $BA$7, Tabella01MarzoInverter[[#This Row],[Active power TX2-INV-11]] &lt;= 0, Tabella01MarzoInverter[[#This Row],[Active power TX3-INV-8]] &lt;= 0),
    MIN(($H101 / 1000) * AL$10 * $BA$4, AL$11 * 0.876) * 0.25,
    IF(
        AND($H101 &gt; $BA$7, Tabella01MarzoInverter[[#This Row],[Active power TX2-INV-11]] &lt;= 0),
        Tabella01MarzoInverter[[#This Row],[Active power TX3-INV-8]] * 0.25,
        0
    )
    +
    IF(
        $N101 &lt; 0.875,
        MAX(0, MIN(($H101 / 1000) * AL$10 * $BA$4, AL$11 * 0.876) - (AL$11 * $N101)) * 0.25,
        0
    )
)</f>
        <v/>
      </c>
      <c r="AM101" s="117">
        <f>IF(
    AND($H101 &gt; $BA$7, Tabella01MarzoInverter[[#This Row],[Active power TX2-INV-12]] &lt;= 0, Tabella01MarzoInverter[[#This Row],[Active power TX3-INV-9]] &lt;= 0),
    MIN(($H101 / 1000) * AM$10 * $BA$4, AM$11 * 0.876) * 0.25,
    IF(
        AND($H101 &gt; $BA$7, Tabella01MarzoInverter[[#This Row],[Active power TX2-INV-12]] &lt;= 0),
        Tabella01MarzoInverter[[#This Row],[Active power TX3-INV-9]] * 0.25,
        0
    )
    +
    IF(
        $N101 &lt; 0.875,
        MAX(0, MIN(($H101 / 1000) * AM$10 * $BA$4, AM$11 * 0.876) - (AM$11 * $N101)) * 0.25,
        0
    )
)</f>
        <v/>
      </c>
      <c r="AN101" s="118">
        <f>SUM(TabellaMar2026[[#This Row],[Colonna39]:[Colonna6]])</f>
        <v/>
      </c>
      <c r="AO101" s="117">
        <f t="array" ref="AO101">IF(
    AND($H101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($H101 / 1000) * AO$10 * $BA$4 * 0.25
    ),
    0
)
+
IF(
    $N101 &lt; 0.875,
    MAX(0, MIN(($H101 / 1000) * AO$10 * $BA$4, AO$11 * 0.876) - (AO$11 * $N101)) * 0.25,
    0
)</f>
        <v/>
      </c>
      <c r="AP101" s="117">
        <f t="array" ref="AP101">IF(
    AND($H101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($H101 / 1000) * AP$10 * $BA$4 * 0.25
    ),
    0
)
+
IF(
    $N101 &lt; 0.875,
    MAX(0, MIN(($H101 / 1000) * AP$10 * $BA$4, AP$11 * 0.876) - (AP$11 * $N101)) * 0.25,
    0
)</f>
        <v/>
      </c>
      <c r="AQ101" s="117">
        <f t="array" ref="AQ101">IF(
    AND($H101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($H101 / 1000) * AQ$10 * $BA$4 * 0.25
    ),
    0
)
+
IF(
    $N101 &lt; 0.875,
    MAX(0, MIN(($H101 / 1000) * AQ$10 * $BA$4, AQ$11 * 0.876) - (AQ$11 * $N101)) * 0.25,
    0
)</f>
        <v/>
      </c>
      <c r="AR101" s="117">
        <f t="array" ref="AR101">IF(
    AND($H101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($H101 / 1000) * AR$10 * $BA$4 * 0.25
    ),
    0
)
+
IF(
    $N101 &lt; 0.875,
    MAX(0, MIN(($H101 / 1000) * AR$10 * $BA$4, AR$11 * 0.876) - (AR$11 * $N101)) * 0.25,
    0
)</f>
        <v/>
      </c>
      <c r="AS101" s="117">
        <f t="array" ref="AS101">IF(
    AND($H101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($H101 / 1000) * AS$10 * $BA$4 * 0.25
    ),
    0
)
+
IF(
    $N101 &lt; 0.875,
    MAX(0, MIN(($H101 / 1000) * AS$10 * $BA$4, AS$11 * 0.876) - (AS$11 * $N101)) * 0.25,
    0
)</f>
        <v/>
      </c>
      <c r="AT101" s="117">
        <f t="array" ref="AT101">IF(
    AND($H101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($H101 / 1000) * AT$10 * $BA$4 * 0.25
    ),
    0
)
+
IF(
    $N101 &lt; 0.875,
    MAX(0, MIN(($H101 / 1000) * AT$10 * $BA$4, AT$11 * 0.876) - (AT$11 * $N101)) * 0.25,
    0
)</f>
        <v/>
      </c>
      <c r="AU101" s="117">
        <f t="array" ref="AU101">IF(
    AND($H101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($H101 / 1000) * AU$10 * $BA$4 * 0.25
    ),
    0
)
+
IF(
    $N101 &lt; 0.875,
    MAX(0, MIN(($H101 / 1000) * AU$10 * $BA$4, AU$11 * 0.876) - (AU$11 * $N101)) * 0.25,
    0
)</f>
        <v/>
      </c>
      <c r="AV101" s="117">
        <f t="array" ref="AV101">IF(
    AND($H101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($H101 / 1000) * AV$10 * $BA$4 * 0.25
    ),
    0
)
+
IF(
    $N101 &lt; 0.875,
    MAX(0, MIN(($H101 / 1000) * AV$10 * $BA$4, AV$11 * 0.876) - (AV$11 * $N101)) * 0.25,
    0
)</f>
        <v/>
      </c>
      <c r="AW101" s="117">
        <f t="array" ref="AW101">IF(
    AND($H101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($H101 / 1000) * AW$10 * $BA$4 * 0.25
    ),
    0
)
+
IF(
    $N101 &lt; 0.875,
    MAX(0, MIN(($H101 / 1000) * AW$10 * $BA$4, AW$11 * 0.876) - (AW$11 * $N101)) * 0.25,
    0
)</f>
        <v/>
      </c>
      <c r="AX101" s="117">
        <f t="array" ref="AX101">IF(
    AND($H101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($H101 / 1000) * AX$10 * $BA$4 * 0.25
    ),
    0
)
+
IF(
    $N101 &lt; 0.875,
    MAX(0, MIN(($H101 / 1000) * AX$10 * $BA$4, AX$11 * 0.876) - (AX$11 * $N101)) * 0.25,
    0
)</f>
        <v/>
      </c>
      <c r="AY101" s="117">
        <f t="array" ref="AY101">IF(
    AND($H101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($H101 / 1000) * AY$10 * $BA$4 * 0.25
    ),
    0
)
+
IF(
    $N101 &lt; 0.875,
    MAX(0, MIN(($H101 / 1000) * AY$10 * $BA$4, AY$11 * 0.876) - (AY$11 * $N101)) * 0.25,
    0
)</f>
        <v/>
      </c>
      <c r="AZ101" s="117">
        <f t="array" ref="AZ101">IF(
    AND($H101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($H101 / 1000) * AZ$10 * $BA$4 * 0.25
    ),
    0
)
+
IF(
    $N101 &lt; 0.875,
    MAX(0, MIN(($H101 / 1000) * AZ$10 * $BA$4, AZ$11 * 0.876) - (AZ$11 * $N101)) * 0.25,
    0
)</f>
        <v/>
      </c>
      <c r="BA101" s="119">
        <f>SUM(TabellaMar2026[[#This Row],[Colonna54]:[Colonna53]])</f>
        <v/>
      </c>
    </row>
    <row r="102">
      <c r="A102" s="112" t="n">
        <v>46143</v>
      </c>
      <c r="B102" t="inlineStr">
        <is>
          <t>21:45:00.000</t>
        </is>
      </c>
      <c r="C102" s="2" t="n">
        <v>-2</v>
      </c>
      <c r="D102" s="113" t="n">
        <v>-0.0005</v>
      </c>
      <c r="E102" s="113" t="n">
        <v>-1.5</v>
      </c>
      <c r="F102" s="113" t="n">
        <v>-0.000375</v>
      </c>
      <c r="G102" s="113">
        <f>IFERROR((D102+F102)/2, 0)</f>
        <v/>
      </c>
      <c r="H102" s="114">
        <f>IFERROR(IF(AVERAGE(C102,E102)&gt;$BA$7,AVERAGE(C102,E102),0), 0)</f>
        <v/>
      </c>
      <c r="I102" s="114">
        <f>IFERROR(IF(AND(D102=0,F102=0),0,IF(H102&gt;$BA$6,MAX(D102,F102),G102)), 0)</f>
        <v/>
      </c>
      <c r="J102" s="113">
        <f>IFERROR(IF(AND(D102&gt;0,F102&gt;0),ABS(D102-F102)/AVERAGE(D102,F102),0), 0)</f>
        <v/>
      </c>
      <c r="K102" s="113" t="n">
        <v>30141.3</v>
      </c>
      <c r="L102" s="113" t="n">
        <v>30141.3</v>
      </c>
      <c r="M102" s="115">
        <f>IFERROR((L102-K102)*1000, 0)</f>
        <v/>
      </c>
      <c r="N102" s="113" t="n">
        <v>0.8759999999999999</v>
      </c>
      <c r="O102" s="115">
        <f t="array" ref="O102">IF(
    AND($H102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($H102 / 1000) * O$10 * $BA$4 * 0.25
    ),
    0
)
+
IF(
    $N102 &lt; 0.875,
    MAX(0, MIN(($H102 / 1000) * O$10 * $BA$4, O$11 * 0.876) - (O$11 * $N102)) * 0.25,
    0
)</f>
        <v/>
      </c>
      <c r="P102" s="115">
        <f t="array" ref="P102">IF(
    AND($H102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($H102 / 1000) * P$10 * $BA$4 * 0.25
    ),
    0
)
+
IF(
    $N102 &lt; 0.875,
    MAX(0, MIN(($H102 / 1000) * P$10 * $BA$4, P$11 * 0.876) - (P$11 * $N102)) * 0.25,
    0
)</f>
        <v/>
      </c>
      <c r="Q102" s="115">
        <f t="array" ref="Q102">IF(
    AND($H102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($H102 / 1000) * Q$10 * $BA$4 * 0.25
    ),
    0
)
+
IF(
    $N102 &lt; 0.875,
    MAX(0, MIN(($H102 / 1000) * Q$10 * $BA$4, Q$11 * 0.876) - (Q$11 * $N102)) * 0.25,
    0
)</f>
        <v/>
      </c>
      <c r="R102" s="115">
        <f t="array" ref="R102">IF(
    AND($H102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($H102 / 1000) * R$10 * $BA$4 * 0.25
    ),
    0
)
+
IF(
    $N102 &lt; 0.875,
    MAX(0, MIN(($H102 / 1000) * R$10 * $BA$4, R$11 * 0.876) - (R$11 * $N102)) * 0.25,
    0
)</f>
        <v/>
      </c>
      <c r="S102" s="115">
        <f t="array" ref="S102">IF(
    AND($H102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($H102 / 1000) * S$10 * $BA$4 * 0.25
    ),
    0
)
+
IF(
    $N102 &lt; 0.875,
    MAX(0, MIN(($H102 / 1000) * S$10 * $BA$4, S$11 * 0.876) - (S$11 * $N102)) * 0.25,
    0
)</f>
        <v/>
      </c>
      <c r="T102" s="115">
        <f t="array" ref="T102">IF(
    AND($H102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($H102 / 1000) * T$10 * $BA$4 * 0.25
    ),
    0
)
+
IF(
    $N102 &lt; 0.875,
    MAX(0, MIN(($H102 / 1000) * T$10 * $BA$4, T$11 * 0.876) - (T$11 * $N102)) * 0.25,
    0
)</f>
        <v/>
      </c>
      <c r="U102" s="115">
        <f t="array" ref="U102">IF(
    AND($H102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($H102 / 1000) * U$10 * $BA$4 * 0.25
    ),
    0
)
+
IF(
    $N102 &lt; 0.875,
    MAX(0, MIN(($H102 / 1000) * U$10 * $BA$4, U$11 * 0.876) - (U$11 * $N102)) * 0.25,
    0
)</f>
        <v/>
      </c>
      <c r="V102" s="115">
        <f t="array" ref="V102">IF(
    AND($H102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($H102 / 1000) * V$10 * $BA$4 * 0.25
    ),
    0
)
+
IF(
    $N102 &lt; 0.875,
    MAX(0, MIN(($H102 / 1000) * V$10 * $BA$4, V$11 * 0.876) - (V$11 * $N102)) * 0.25,
    0
)</f>
        <v/>
      </c>
      <c r="W102" s="115">
        <f t="array" ref="W102">IF(
    AND($H102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($H102 / 1000) * W$10 * $BA$4 * 0.25
    ),
    0
)
+
IF(
    $N102 &lt; 0.875,
    MAX(0, MIN(($H102 / 1000) * W$10 * $BA$4, W$11 * 0.876) - (W$11 * $N102)) * 0.25,
    0
)</f>
        <v/>
      </c>
      <c r="X102" s="115">
        <f t="array" ref="X102">IF(
    AND($H102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($H102 / 1000) * X$10 * $BA$4 * 0.25
    ),
    0
)
+
IF(
    $N102 &lt; 0.875,
    MAX(0, MIN(($H102 / 1000) * X$10 * $BA$4, X$11 * 0.876) - (X$11 * $N102)) * 0.25,
    0
)</f>
        <v/>
      </c>
      <c r="Y102" s="115">
        <f t="array" ref="Y102">IF(
    AND($H102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($H102 / 1000) * Y$10 * $BA$4 * 0.25
    ),
    0
)
+
IF(
    $N102 &lt; 0.875,
    MAX(0, MIN(($H102 / 1000) * Y$10 * $BA$4, Y$11 * 0.876) - (Y$11 * $N102)) * 0.25,
    0
)</f>
        <v/>
      </c>
      <c r="Z102" s="115">
        <f t="array" ref="Z102">IF(
    AND($H102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($H102 / 1000) * Z$10 * $BA$4 * 0.25
    ),
    0
)
+
IF(
    $N102 &lt; 0.875,
    MAX(0, MIN(($H102 / 1000) * Z$10 * $BA$4, Z$11 * 0.876) - (Z$11 * $N102)) * 0.25,
    0
)</f>
        <v/>
      </c>
      <c r="AA102" s="116">
        <f>SUM(TabellaMar2026[[#This Row],[Colonna24]:[Colonna20]])</f>
        <v/>
      </c>
      <c r="AB102" s="117">
        <f>IF(
    AND($H102 &gt; $BA$7, Tabella01MarzoInverter[[#This Row],[Active power TX2-INV-1]] &lt;= 0, Tabella01MarzoInverter[[#This Row],[TX2 - Average Power]] &lt;= 0),
    MIN(($H102 / 1000) * AB$10 * $BA$4, AB$11 * 0.876) * 0.25,
    IF(
        AND($H102 &gt; $BA$7, Tabella01MarzoInverter[[#This Row],[Active power TX2-INV-1]] &lt;= 0),
        Tabella01MarzoInverter[[#This Row],[TX2 - Average Power]] * 0.25,
        0
    )
    +
    IF(
        $N102 &lt; 0.875,
        MAX(0, MIN(($H102 / 1000) * AB$10 * $BA$4, AB$11 * 0.876) - (AB$11 * $N102)) * 0.25,
        0
    )
)</f>
        <v/>
      </c>
      <c r="AC102" s="117">
        <f>IF(
    AND($H102 &gt; $BA$7, Tabella01MarzoInverter[[#This Row],[Active power TX2-INV-2]] &lt;= 0, Tabella01MarzoInverter[[#This Row],[TX2 - Max Power]] &lt;= 0),
    MIN(($H102 / 1000) * AC$10 * $BA$4, AC$11 * 0.876) * 0.25,
    IF(
        AND($H102 &gt; $BA$7, Tabella01MarzoInverter[[#This Row],[Active power TX2-INV-2]] &lt;= 0),
        Tabella01MarzoInverter[[#This Row],[TX2 - Max Power]] * 0.25,
        0
    )
    +
    IF(
        $N102 &lt; 0.875,
        MAX(0, MIN(($H102 / 1000) * AC$10 * $BA$4, AC$11 * 0.876) - (AC$11 * $N102)) * 0.25,
        0
    )
)</f>
        <v/>
      </c>
      <c r="AD102" s="117">
        <f>IF(
    AND($H102 &gt; $BA$7, Tabella01MarzoInverter[[#This Row],[Active power TX2-INV-3]] &lt;= 0, Tabella01MarzoInverter[[#This Row],[TX2 - Min Power]] &lt;= 0),
    MIN(($H102 / 1000) * AD$10 * $BA$4, AD$11 * 0.876) * 0.25,
    IF(
        AND($H102 &gt; $BA$7, Tabella01MarzoInverter[[#This Row],[Active power TX2-INV-3]] &lt;= 0),
        Tabella01MarzoInverter[[#This Row],[TX2 - Min Power]] * 0.25,
        0
    )
    +
    IF(
        $N102 &lt; 0.875,
        MAX(0, MIN(($H102 / 1000) * AD$10 * $BA$4, AD$11 * 0.876) - (AD$11 * $N102)) * 0.25,
        0
    )
)</f>
        <v/>
      </c>
      <c r="AE102" s="117">
        <f>IF(
    AND($H102 &gt; $BA$7, Tabella01MarzoInverter[[#This Row],[Active power TX2-INV-4]] &lt;= 0, Tabella01MarzoInverter[[#This Row],[Active power TX3-INV-1]] &lt;= 0),
    MIN(($H102 / 1000) * AE$10 * $BA$4, AE$11 * 0.876) * 0.25,
    IF(
        AND($H102 &gt; $BA$7, Tabella01MarzoInverter[[#This Row],[Active power TX2-INV-4]] &lt;= 0),
        Tabella01MarzoInverter[[#This Row],[Active power TX3-INV-1]] * 0.25,
        0
    )
    +
    IF(
        $N102 &lt; 0.875,
        MAX(0, MIN(($H102 / 1000) * AE$10 * $BA$4, AE$11 * 0.876) - (AE$11 * $N102)) * 0.25,
        0
    )
)</f>
        <v/>
      </c>
      <c r="AF102" s="117">
        <f>IF(
    AND($H102 &gt; $BA$7, Tabella01MarzoInverter[[#This Row],[Active power TX2-INV-5]] &lt;= 0, Tabella01MarzoInverter[[#This Row],[Active power TX3-INV-2]] &lt;= 0),
    MIN(($H102 / 1000) * AF$10 * $BA$4, AF$11 * 0.876) * 0.25,
    IF(
        AND($H102 &gt; $BA$7, Tabella01MarzoInverter[[#This Row],[Active power TX2-INV-5]] &lt;= 0),
        Tabella01MarzoInverter[[#This Row],[Active power TX3-INV-2]] * 0.25,
        0
    )
    +
    IF(
        $N102 &lt; 0.875,
        MAX(0, MIN(($H102 / 1000) * AF$10 * $BA$4, AF$11 * 0.876) - (AF$11 * $N102)) * 0.25,
        0
    )
)</f>
        <v/>
      </c>
      <c r="AG102" s="117">
        <f>IF(
    AND($H102 &gt; $BA$7, Tabella01MarzoInverter[[#This Row],[Active power TX2-INV-6]] &lt;= 0, Tabella01MarzoInverter[[#This Row],[Active power TX3-INV-3]] &lt;= 0),
    MIN(($H102 / 1000) * AG$10 * $BA$4, AG$11 * 0.876) * 0.25,
    IF(
        AND($H102 &gt; $BA$7, Tabella01MarzoInverter[[#This Row],[Active power TX2-INV-6]] &lt;= 0),
        Tabella01MarzoInverter[[#This Row],[Active power TX3-INV-3]] * 0.25,
        0
    )
    +
    IF(
        $N102 &lt; 0.875,
        MAX(0, MIN(($H102 / 1000) * AG$10 * $BA$4, AG$11 * 0.876) - (AG$11 * $N102)) * 0.25,
        0
    )
)</f>
        <v/>
      </c>
      <c r="AH102" s="117">
        <f>IF(
    AND($H102 &gt; $BA$7, Tabella01MarzoInverter[[#This Row],[Active power TX2-INV-7]] &lt;= 0, Tabella01MarzoInverter[[#This Row],[Active power TX3-INV-4]] &lt;= 0),
    MIN(($H102 / 1000) * AH$10 * $BA$4, AH$11 * 0.876) * 0.25,
    IF(
        AND($H102 &gt; $BA$7, Tabella01MarzoInverter[[#This Row],[Active power TX2-INV-7]] &lt;= 0),
        Tabella01MarzoInverter[[#This Row],[Active power TX3-INV-4]] * 0.25,
        0
    )
    +
    IF(
        $N102 &lt; 0.875,
        MAX(0, MIN(($H102 / 1000) * AH$10 * $BA$4, AH$11 * 0.876) - (AH$11 * $N102)) * 0.25,
        0
    )
)</f>
        <v/>
      </c>
      <c r="AI102" s="117">
        <f>IF(
    AND($H102 &gt; $BA$7, Tabella01MarzoInverter[[#This Row],[Active power TX2-INV-8]] &lt;= 0, Tabella01MarzoInverter[[#This Row],[Active power TX3-INV-5]] &lt;= 0),
    MIN(($H102 / 1000) * AI$10 * $BA$4, AI$11 * 0.876) * 0.25,
    IF(
        AND($H102 &gt; $BA$7, Tabella01MarzoInverter[[#This Row],[Active power TX2-INV-8]] &lt;= 0),
        Tabella01MarzoInverter[[#This Row],[Active power TX3-INV-5]] * 0.25,
        0
    )
    +
    IF(
        $N102 &lt; 0.875,
        MAX(0, MIN(($H102 / 1000) * AI$10 * $BA$4, AI$11 * 0.876) - (AI$11 * $N102)) * 0.25,
        0
    )
)</f>
        <v/>
      </c>
      <c r="AJ102" s="117">
        <f>IF(
    AND($H102 &gt; $BA$7, Tabella01MarzoInverter[[#This Row],[Active power TX2-INV-9]] &lt;= 0, Tabella01MarzoInverter[[#This Row],[Active power TX3-INV-6]] &lt;= 0),
    MIN(($H102 / 1000) * AJ$10 * $BA$4, AJ$11 * 0.876) * 0.25,
    IF(
        AND($H102 &gt; $BA$7, Tabella01MarzoInverter[[#This Row],[Active power TX2-INV-9]] &lt;= 0),
        Tabella01MarzoInverter[[#This Row],[Active power TX3-INV-6]] * 0.25,
        0
    )
    +
    IF(
        $N102 &lt; 0.875,
        MAX(0, MIN(($H102 / 1000) * AJ$10 * $BA$4, AJ$11 * 0.876) - (AJ$11 * $N102)) * 0.25,
        0
    )
)</f>
        <v/>
      </c>
      <c r="AK102" s="117">
        <f>IF(
    AND($H102 &gt; $BA$7, Tabella01MarzoInverter[[#This Row],[Active power TX2-INV-10]] &lt;= 0, Tabella01MarzoInverter[[#This Row],[Active power TX3-INV-7]] &lt;= 0),
    MIN(($H102 / 1000) * AK$10 * $BA$4, AK$11 * 0.876) * 0.25,
    IF(
        AND($H102 &gt; $BA$7, Tabella01MarzoInverter[[#This Row],[Active power TX2-INV-10]] &lt;= 0),
        Tabella01MarzoInverter[[#This Row],[Active power TX3-INV-7]] * 0.25,
        0
    )
    +
    IF(
        $N102 &lt; 0.875,
        MAX(0, MIN(($H102 / 1000) * AK$10 * $BA$4, AK$11 * 0.876) - (AK$11 * $N102)) * 0.25,
        0
    )
)</f>
        <v/>
      </c>
      <c r="AL102" s="117">
        <f>IF(
    AND($H102 &gt; $BA$7, Tabella01MarzoInverter[[#This Row],[Active power TX2-INV-11]] &lt;= 0, Tabella01MarzoInverter[[#This Row],[Active power TX3-INV-8]] &lt;= 0),
    MIN(($H102 / 1000) * AL$10 * $BA$4, AL$11 * 0.876) * 0.25,
    IF(
        AND($H102 &gt; $BA$7, Tabella01MarzoInverter[[#This Row],[Active power TX2-INV-11]] &lt;= 0),
        Tabella01MarzoInverter[[#This Row],[Active power TX3-INV-8]] * 0.25,
        0
    )
    +
    IF(
        $N102 &lt; 0.875,
        MAX(0, MIN(($H102 / 1000) * AL$10 * $BA$4, AL$11 * 0.876) - (AL$11 * $N102)) * 0.25,
        0
    )
)</f>
        <v/>
      </c>
      <c r="AM102" s="117">
        <f>IF(
    AND($H102 &gt; $BA$7, Tabella01MarzoInverter[[#This Row],[Active power TX2-INV-12]] &lt;= 0, Tabella01MarzoInverter[[#This Row],[Active power TX3-INV-9]] &lt;= 0),
    MIN(($H102 / 1000) * AM$10 * $BA$4, AM$11 * 0.876) * 0.25,
    IF(
        AND($H102 &gt; $BA$7, Tabella01MarzoInverter[[#This Row],[Active power TX2-INV-12]] &lt;= 0),
        Tabella01MarzoInverter[[#This Row],[Active power TX3-INV-9]] * 0.25,
        0
    )
    +
    IF(
        $N102 &lt; 0.875,
        MAX(0, MIN(($H102 / 1000) * AM$10 * $BA$4, AM$11 * 0.876) - (AM$11 * $N102)) * 0.25,
        0
    )
)</f>
        <v/>
      </c>
      <c r="AN102" s="118">
        <f>SUM(TabellaMar2026[[#This Row],[Colonna39]:[Colonna6]])</f>
        <v/>
      </c>
      <c r="AO102" s="117">
        <f t="array" ref="AO102">IF(
    AND($H102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($H102 / 1000) * AO$10 * $BA$4 * 0.25
    ),
    0
)
+
IF(
    $N102 &lt; 0.875,
    MAX(0, MIN(($H102 / 1000) * AO$10 * $BA$4, AO$11 * 0.876) - (AO$11 * $N102)) * 0.25,
    0
)</f>
        <v/>
      </c>
      <c r="AP102" s="117">
        <f t="array" ref="AP102">IF(
    AND($H102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($H102 / 1000) * AP$10 * $BA$4 * 0.25
    ),
    0
)
+
IF(
    $N102 &lt; 0.875,
    MAX(0, MIN(($H102 / 1000) * AP$10 * $BA$4, AP$11 * 0.876) - (AP$11 * $N102)) * 0.25,
    0
)</f>
        <v/>
      </c>
      <c r="AQ102" s="117">
        <f t="array" ref="AQ102">IF(
    AND($H102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($H102 / 1000) * AQ$10 * $BA$4 * 0.25
    ),
    0
)
+
IF(
    $N102 &lt; 0.875,
    MAX(0, MIN(($H102 / 1000) * AQ$10 * $BA$4, AQ$11 * 0.876) - (AQ$11 * $N102)) * 0.25,
    0
)</f>
        <v/>
      </c>
      <c r="AR102" s="117">
        <f t="array" ref="AR102">IF(
    AND($H102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($H102 / 1000) * AR$10 * $BA$4 * 0.25
    ),
    0
)
+
IF(
    $N102 &lt; 0.875,
    MAX(0, MIN(($H102 / 1000) * AR$10 * $BA$4, AR$11 * 0.876) - (AR$11 * $N102)) * 0.25,
    0
)</f>
        <v/>
      </c>
      <c r="AS102" s="117">
        <f t="array" ref="AS102">IF(
    AND($H102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($H102 / 1000) * AS$10 * $BA$4 * 0.25
    ),
    0
)
+
IF(
    $N102 &lt; 0.875,
    MAX(0, MIN(($H102 / 1000) * AS$10 * $BA$4, AS$11 * 0.876) - (AS$11 * $N102)) * 0.25,
    0
)</f>
        <v/>
      </c>
      <c r="AT102" s="117">
        <f t="array" ref="AT102">IF(
    AND($H102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($H102 / 1000) * AT$10 * $BA$4 * 0.25
    ),
    0
)
+
IF(
    $N102 &lt; 0.875,
    MAX(0, MIN(($H102 / 1000) * AT$10 * $BA$4, AT$11 * 0.876) - (AT$11 * $N102)) * 0.25,
    0
)</f>
        <v/>
      </c>
      <c r="AU102" s="117">
        <f t="array" ref="AU102">IF(
    AND($H102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($H102 / 1000) * AU$10 * $BA$4 * 0.25
    ),
    0
)
+
IF(
    $N102 &lt; 0.875,
    MAX(0, MIN(($H102 / 1000) * AU$10 * $BA$4, AU$11 * 0.876) - (AU$11 * $N102)) * 0.25,
    0
)</f>
        <v/>
      </c>
      <c r="AV102" s="117">
        <f t="array" ref="AV102">IF(
    AND($H102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($H102 / 1000) * AV$10 * $BA$4 * 0.25
    ),
    0
)
+
IF(
    $N102 &lt; 0.875,
    MAX(0, MIN(($H102 / 1000) * AV$10 * $BA$4, AV$11 * 0.876) - (AV$11 * $N102)) * 0.25,
    0
)</f>
        <v/>
      </c>
      <c r="AW102" s="117">
        <f t="array" ref="AW102">IF(
    AND($H102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($H102 / 1000) * AW$10 * $BA$4 * 0.25
    ),
    0
)
+
IF(
    $N102 &lt; 0.875,
    MAX(0, MIN(($H102 / 1000) * AW$10 * $BA$4, AW$11 * 0.876) - (AW$11 * $N102)) * 0.25,
    0
)</f>
        <v/>
      </c>
      <c r="AX102" s="117">
        <f t="array" ref="AX102">IF(
    AND($H102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($H102 / 1000) * AX$10 * $BA$4 * 0.25
    ),
    0
)
+
IF(
    $N102 &lt; 0.875,
    MAX(0, MIN(($H102 / 1000) * AX$10 * $BA$4, AX$11 * 0.876) - (AX$11 * $N102)) * 0.25,
    0
)</f>
        <v/>
      </c>
      <c r="AY102" s="117">
        <f t="array" ref="AY102">IF(
    AND($H102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($H102 / 1000) * AY$10 * $BA$4 * 0.25
    ),
    0
)
+
IF(
    $N102 &lt; 0.875,
    MAX(0, MIN(($H102 / 1000) * AY$10 * $BA$4, AY$11 * 0.876) - (AY$11 * $N102)) * 0.25,
    0
)</f>
        <v/>
      </c>
      <c r="AZ102" s="117">
        <f t="array" ref="AZ102">IF(
    AND($H102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($H102 / 1000) * AZ$10 * $BA$4 * 0.25
    ),
    0
)
+
IF(
    $N102 &lt; 0.875,
    MAX(0, MIN(($H102 / 1000) * AZ$10 * $BA$4, AZ$11 * 0.876) - (AZ$11 * $N102)) * 0.25,
    0
)</f>
        <v/>
      </c>
      <c r="BA102" s="119">
        <f>SUM(TabellaMar2026[[#This Row],[Colonna54]:[Colonna53]])</f>
        <v/>
      </c>
    </row>
    <row r="103">
      <c r="A103" s="112" t="n">
        <v>46143</v>
      </c>
      <c r="B103" t="inlineStr">
        <is>
          <t>22:00:00.000</t>
        </is>
      </c>
      <c r="C103" s="2" t="n">
        <v>-2.4</v>
      </c>
      <c r="D103" s="113" t="n">
        <v>-0.0005999999999999999</v>
      </c>
      <c r="E103" s="113" t="n">
        <v>-2.4</v>
      </c>
      <c r="F103" s="113" t="n">
        <v>-0.0005999999999999999</v>
      </c>
      <c r="G103" s="113">
        <f>IFERROR((D103+F103)/2, 0)</f>
        <v/>
      </c>
      <c r="H103" s="114">
        <f>IFERROR(IF(AVERAGE(C103,E103)&gt;$BA$7,AVERAGE(C103,E103),0), 0)</f>
        <v/>
      </c>
      <c r="I103" s="114">
        <f>IFERROR(IF(AND(D103=0,F103=0),0,IF(H103&gt;$BA$6,MAX(D103,F103),G103)), 0)</f>
        <v/>
      </c>
      <c r="J103" s="113">
        <f>IFERROR(IF(AND(D103&gt;0,F103&gt;0),ABS(D103-F103)/AVERAGE(D103,F103),0), 0)</f>
        <v/>
      </c>
      <c r="K103" s="113" t="n">
        <v>30141.3</v>
      </c>
      <c r="L103" s="113" t="n">
        <v>30141.3</v>
      </c>
      <c r="M103" s="115">
        <f>IFERROR((L103-K103)*1000, 0)</f>
        <v/>
      </c>
      <c r="N103" s="113" t="n">
        <v>0.8759999999999999</v>
      </c>
      <c r="O103" s="115">
        <f t="array" ref="O103">IF(
    AND($H103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($H103 / 1000) * O$10 * $BA$4 * 0.25
    ),
    0
)
+
IF(
    $N103 &lt; 0.875,
    MAX(0, MIN(($H103 / 1000) * O$10 * $BA$4, O$11 * 0.876) - (O$11 * $N103)) * 0.25,
    0
)</f>
        <v/>
      </c>
      <c r="P103" s="115">
        <f t="array" ref="P103">IF(
    AND($H103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($H103 / 1000) * P$10 * $BA$4 * 0.25
    ),
    0
)
+
IF(
    $N103 &lt; 0.875,
    MAX(0, MIN(($H103 / 1000) * P$10 * $BA$4, P$11 * 0.876) - (P$11 * $N103)) * 0.25,
    0
)</f>
        <v/>
      </c>
      <c r="Q103" s="115">
        <f t="array" ref="Q103">IF(
    AND($H103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($H103 / 1000) * Q$10 * $BA$4 * 0.25
    ),
    0
)
+
IF(
    $N103 &lt; 0.875,
    MAX(0, MIN(($H103 / 1000) * Q$10 * $BA$4, Q$11 * 0.876) - (Q$11 * $N103)) * 0.25,
    0
)</f>
        <v/>
      </c>
      <c r="R103" s="115">
        <f t="array" ref="R103">IF(
    AND($H103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($H103 / 1000) * R$10 * $BA$4 * 0.25
    ),
    0
)
+
IF(
    $N103 &lt; 0.875,
    MAX(0, MIN(($H103 / 1000) * R$10 * $BA$4, R$11 * 0.876) - (R$11 * $N103)) * 0.25,
    0
)</f>
        <v/>
      </c>
      <c r="S103" s="115">
        <f t="array" ref="S103">IF(
    AND($H103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($H103 / 1000) * S$10 * $BA$4 * 0.25
    ),
    0
)
+
IF(
    $N103 &lt; 0.875,
    MAX(0, MIN(($H103 / 1000) * S$10 * $BA$4, S$11 * 0.876) - (S$11 * $N103)) * 0.25,
    0
)</f>
        <v/>
      </c>
      <c r="T103" s="115">
        <f t="array" ref="T103">IF(
    AND($H103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($H103 / 1000) * T$10 * $BA$4 * 0.25
    ),
    0
)
+
IF(
    $N103 &lt; 0.875,
    MAX(0, MIN(($H103 / 1000) * T$10 * $BA$4, T$11 * 0.876) - (T$11 * $N103)) * 0.25,
    0
)</f>
        <v/>
      </c>
      <c r="U103" s="115">
        <f t="array" ref="U103">IF(
    AND($H103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($H103 / 1000) * U$10 * $BA$4 * 0.25
    ),
    0
)
+
IF(
    $N103 &lt; 0.875,
    MAX(0, MIN(($H103 / 1000) * U$10 * $BA$4, U$11 * 0.876) - (U$11 * $N103)) * 0.25,
    0
)</f>
        <v/>
      </c>
      <c r="V103" s="115">
        <f t="array" ref="V103">IF(
    AND($H103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($H103 / 1000) * V$10 * $BA$4 * 0.25
    ),
    0
)
+
IF(
    $N103 &lt; 0.875,
    MAX(0, MIN(($H103 / 1000) * V$10 * $BA$4, V$11 * 0.876) - (V$11 * $N103)) * 0.25,
    0
)</f>
        <v/>
      </c>
      <c r="W103" s="115">
        <f t="array" ref="W103">IF(
    AND($H103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($H103 / 1000) * W$10 * $BA$4 * 0.25
    ),
    0
)
+
IF(
    $N103 &lt; 0.875,
    MAX(0, MIN(($H103 / 1000) * W$10 * $BA$4, W$11 * 0.876) - (W$11 * $N103)) * 0.25,
    0
)</f>
        <v/>
      </c>
      <c r="X103" s="115">
        <f t="array" ref="X103">IF(
    AND($H103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($H103 / 1000) * X$10 * $BA$4 * 0.25
    ),
    0
)
+
IF(
    $N103 &lt; 0.875,
    MAX(0, MIN(($H103 / 1000) * X$10 * $BA$4, X$11 * 0.876) - (X$11 * $N103)) * 0.25,
    0
)</f>
        <v/>
      </c>
      <c r="Y103" s="115">
        <f t="array" ref="Y103">IF(
    AND($H103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($H103 / 1000) * Y$10 * $BA$4 * 0.25
    ),
    0
)
+
IF(
    $N103 &lt; 0.875,
    MAX(0, MIN(($H103 / 1000) * Y$10 * $BA$4, Y$11 * 0.876) - (Y$11 * $N103)) * 0.25,
    0
)</f>
        <v/>
      </c>
      <c r="Z103" s="115">
        <f t="array" ref="Z103">IF(
    AND($H103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($H103 / 1000) * Z$10 * $BA$4 * 0.25
    ),
    0
)
+
IF(
    $N103 &lt; 0.875,
    MAX(0, MIN(($H103 / 1000) * Z$10 * $BA$4, Z$11 * 0.876) - (Z$11 * $N103)) * 0.25,
    0
)</f>
        <v/>
      </c>
      <c r="AA103" s="116">
        <f>SUM(TabellaMar2026[[#This Row],[Colonna24]:[Colonna20]])</f>
        <v/>
      </c>
      <c r="AB103" s="117">
        <f>IF(
    AND($H103 &gt; $BA$7, Tabella01MarzoInverter[[#This Row],[Active power TX2-INV-1]] &lt;= 0, Tabella01MarzoInverter[[#This Row],[TX2 - Average Power]] &lt;= 0),
    MIN(($H103 / 1000) * AB$10 * $BA$4, AB$11 * 0.876) * 0.25,
    IF(
        AND($H103 &gt; $BA$7, Tabella01MarzoInverter[[#This Row],[Active power TX2-INV-1]] &lt;= 0),
        Tabella01MarzoInverter[[#This Row],[TX2 - Average Power]] * 0.25,
        0
    )
    +
    IF(
        $N103 &lt; 0.875,
        MAX(0, MIN(($H103 / 1000) * AB$10 * $BA$4, AB$11 * 0.876) - (AB$11 * $N103)) * 0.25,
        0
    )
)</f>
        <v/>
      </c>
      <c r="AC103" s="117">
        <f>IF(
    AND($H103 &gt; $BA$7, Tabella01MarzoInverter[[#This Row],[Active power TX2-INV-2]] &lt;= 0, Tabella01MarzoInverter[[#This Row],[TX2 - Max Power]] &lt;= 0),
    MIN(($H103 / 1000) * AC$10 * $BA$4, AC$11 * 0.876) * 0.25,
    IF(
        AND($H103 &gt; $BA$7, Tabella01MarzoInverter[[#This Row],[Active power TX2-INV-2]] &lt;= 0),
        Tabella01MarzoInverter[[#This Row],[TX2 - Max Power]] * 0.25,
        0
    )
    +
    IF(
        $N103 &lt; 0.875,
        MAX(0, MIN(($H103 / 1000) * AC$10 * $BA$4, AC$11 * 0.876) - (AC$11 * $N103)) * 0.25,
        0
    )
)</f>
        <v/>
      </c>
      <c r="AD103" s="117">
        <f>IF(
    AND($H103 &gt; $BA$7, Tabella01MarzoInverter[[#This Row],[Active power TX2-INV-3]] &lt;= 0, Tabella01MarzoInverter[[#This Row],[TX2 - Min Power]] &lt;= 0),
    MIN(($H103 / 1000) * AD$10 * $BA$4, AD$11 * 0.876) * 0.25,
    IF(
        AND($H103 &gt; $BA$7, Tabella01MarzoInverter[[#This Row],[Active power TX2-INV-3]] &lt;= 0),
        Tabella01MarzoInverter[[#This Row],[TX2 - Min Power]] * 0.25,
        0
    )
    +
    IF(
        $N103 &lt; 0.875,
        MAX(0, MIN(($H103 / 1000) * AD$10 * $BA$4, AD$11 * 0.876) - (AD$11 * $N103)) * 0.25,
        0
    )
)</f>
        <v/>
      </c>
      <c r="AE103" s="117">
        <f>IF(
    AND($H103 &gt; $BA$7, Tabella01MarzoInverter[[#This Row],[Active power TX2-INV-4]] &lt;= 0, Tabella01MarzoInverter[[#This Row],[Active power TX3-INV-1]] &lt;= 0),
    MIN(($H103 / 1000) * AE$10 * $BA$4, AE$11 * 0.876) * 0.25,
    IF(
        AND($H103 &gt; $BA$7, Tabella01MarzoInverter[[#This Row],[Active power TX2-INV-4]] &lt;= 0),
        Tabella01MarzoInverter[[#This Row],[Active power TX3-INV-1]] * 0.25,
        0
    )
    +
    IF(
        $N103 &lt; 0.875,
        MAX(0, MIN(($H103 / 1000) * AE$10 * $BA$4, AE$11 * 0.876) - (AE$11 * $N103)) * 0.25,
        0
    )
)</f>
        <v/>
      </c>
      <c r="AF103" s="117">
        <f>IF(
    AND($H103 &gt; $BA$7, Tabella01MarzoInverter[[#This Row],[Active power TX2-INV-5]] &lt;= 0, Tabella01MarzoInverter[[#This Row],[Active power TX3-INV-2]] &lt;= 0),
    MIN(($H103 / 1000) * AF$10 * $BA$4, AF$11 * 0.876) * 0.25,
    IF(
        AND($H103 &gt; $BA$7, Tabella01MarzoInverter[[#This Row],[Active power TX2-INV-5]] &lt;= 0),
        Tabella01MarzoInverter[[#This Row],[Active power TX3-INV-2]] * 0.25,
        0
    )
    +
    IF(
        $N103 &lt; 0.875,
        MAX(0, MIN(($H103 / 1000) * AF$10 * $BA$4, AF$11 * 0.876) - (AF$11 * $N103)) * 0.25,
        0
    )
)</f>
        <v/>
      </c>
      <c r="AG103" s="117">
        <f>IF(
    AND($H103 &gt; $BA$7, Tabella01MarzoInverter[[#This Row],[Active power TX2-INV-6]] &lt;= 0, Tabella01MarzoInverter[[#This Row],[Active power TX3-INV-3]] &lt;= 0),
    MIN(($H103 / 1000) * AG$10 * $BA$4, AG$11 * 0.876) * 0.25,
    IF(
        AND($H103 &gt; $BA$7, Tabella01MarzoInverter[[#This Row],[Active power TX2-INV-6]] &lt;= 0),
        Tabella01MarzoInverter[[#This Row],[Active power TX3-INV-3]] * 0.25,
        0
    )
    +
    IF(
        $N103 &lt; 0.875,
        MAX(0, MIN(($H103 / 1000) * AG$10 * $BA$4, AG$11 * 0.876) - (AG$11 * $N103)) * 0.25,
        0
    )
)</f>
        <v/>
      </c>
      <c r="AH103" s="117">
        <f>IF(
    AND($H103 &gt; $BA$7, Tabella01MarzoInverter[[#This Row],[Active power TX2-INV-7]] &lt;= 0, Tabella01MarzoInverter[[#This Row],[Active power TX3-INV-4]] &lt;= 0),
    MIN(($H103 / 1000) * AH$10 * $BA$4, AH$11 * 0.876) * 0.25,
    IF(
        AND($H103 &gt; $BA$7, Tabella01MarzoInverter[[#This Row],[Active power TX2-INV-7]] &lt;= 0),
        Tabella01MarzoInverter[[#This Row],[Active power TX3-INV-4]] * 0.25,
        0
    )
    +
    IF(
        $N103 &lt; 0.875,
        MAX(0, MIN(($H103 / 1000) * AH$10 * $BA$4, AH$11 * 0.876) - (AH$11 * $N103)) * 0.25,
        0
    )
)</f>
        <v/>
      </c>
      <c r="AI103" s="117">
        <f>IF(
    AND($H103 &gt; $BA$7, Tabella01MarzoInverter[[#This Row],[Active power TX2-INV-8]] &lt;= 0, Tabella01MarzoInverter[[#This Row],[Active power TX3-INV-5]] &lt;= 0),
    MIN(($H103 / 1000) * AI$10 * $BA$4, AI$11 * 0.876) * 0.25,
    IF(
        AND($H103 &gt; $BA$7, Tabella01MarzoInverter[[#This Row],[Active power TX2-INV-8]] &lt;= 0),
        Tabella01MarzoInverter[[#This Row],[Active power TX3-INV-5]] * 0.25,
        0
    )
    +
    IF(
        $N103 &lt; 0.875,
        MAX(0, MIN(($H103 / 1000) * AI$10 * $BA$4, AI$11 * 0.876) - (AI$11 * $N103)) * 0.25,
        0
    )
)</f>
        <v/>
      </c>
      <c r="AJ103" s="117">
        <f>IF(
    AND($H103 &gt; $BA$7, Tabella01MarzoInverter[[#This Row],[Active power TX2-INV-9]] &lt;= 0, Tabella01MarzoInverter[[#This Row],[Active power TX3-INV-6]] &lt;= 0),
    MIN(($H103 / 1000) * AJ$10 * $BA$4, AJ$11 * 0.876) * 0.25,
    IF(
        AND($H103 &gt; $BA$7, Tabella01MarzoInverter[[#This Row],[Active power TX2-INV-9]] &lt;= 0),
        Tabella01MarzoInverter[[#This Row],[Active power TX3-INV-6]] * 0.25,
        0
    )
    +
    IF(
        $N103 &lt; 0.875,
        MAX(0, MIN(($H103 / 1000) * AJ$10 * $BA$4, AJ$11 * 0.876) - (AJ$11 * $N103)) * 0.25,
        0
    )
)</f>
        <v/>
      </c>
      <c r="AK103" s="117">
        <f>IF(
    AND($H103 &gt; $BA$7, Tabella01MarzoInverter[[#This Row],[Active power TX2-INV-10]] &lt;= 0, Tabella01MarzoInverter[[#This Row],[Active power TX3-INV-7]] &lt;= 0),
    MIN(($H103 / 1000) * AK$10 * $BA$4, AK$11 * 0.876) * 0.25,
    IF(
        AND($H103 &gt; $BA$7, Tabella01MarzoInverter[[#This Row],[Active power TX2-INV-10]] &lt;= 0),
        Tabella01MarzoInverter[[#This Row],[Active power TX3-INV-7]] * 0.25,
        0
    )
    +
    IF(
        $N103 &lt; 0.875,
        MAX(0, MIN(($H103 / 1000) * AK$10 * $BA$4, AK$11 * 0.876) - (AK$11 * $N103)) * 0.25,
        0
    )
)</f>
        <v/>
      </c>
      <c r="AL103" s="117">
        <f>IF(
    AND($H103 &gt; $BA$7, Tabella01MarzoInverter[[#This Row],[Active power TX2-INV-11]] &lt;= 0, Tabella01MarzoInverter[[#This Row],[Active power TX3-INV-8]] &lt;= 0),
    MIN(($H103 / 1000) * AL$10 * $BA$4, AL$11 * 0.876) * 0.25,
    IF(
        AND($H103 &gt; $BA$7, Tabella01MarzoInverter[[#This Row],[Active power TX2-INV-11]] &lt;= 0),
        Tabella01MarzoInverter[[#This Row],[Active power TX3-INV-8]] * 0.25,
        0
    )
    +
    IF(
        $N103 &lt; 0.875,
        MAX(0, MIN(($H103 / 1000) * AL$10 * $BA$4, AL$11 * 0.876) - (AL$11 * $N103)) * 0.25,
        0
    )
)</f>
        <v/>
      </c>
      <c r="AM103" s="117">
        <f>IF(
    AND($H103 &gt; $BA$7, Tabella01MarzoInverter[[#This Row],[Active power TX2-INV-12]] &lt;= 0, Tabella01MarzoInverter[[#This Row],[Active power TX3-INV-9]] &lt;= 0),
    MIN(($H103 / 1000) * AM$10 * $BA$4, AM$11 * 0.876) * 0.25,
    IF(
        AND($H103 &gt; $BA$7, Tabella01MarzoInverter[[#This Row],[Active power TX2-INV-12]] &lt;= 0),
        Tabella01MarzoInverter[[#This Row],[Active power TX3-INV-9]] * 0.25,
        0
    )
    +
    IF(
        $N103 &lt; 0.875,
        MAX(0, MIN(($H103 / 1000) * AM$10 * $BA$4, AM$11 * 0.876) - (AM$11 * $N103)) * 0.25,
        0
    )
)</f>
        <v/>
      </c>
      <c r="AN103" s="118">
        <f>SUM(TabellaMar2026[[#This Row],[Colonna39]:[Colonna6]])</f>
        <v/>
      </c>
      <c r="AO103" s="117">
        <f t="array" ref="AO103">IF(
    AND($H103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($H103 / 1000) * AO$10 * $BA$4 * 0.25
    ),
    0
)
+
IF(
    $N103 &lt; 0.875,
    MAX(0, MIN(($H103 / 1000) * AO$10 * $BA$4, AO$11 * 0.876) - (AO$11 * $N103)) * 0.25,
    0
)</f>
        <v/>
      </c>
      <c r="AP103" s="117">
        <f t="array" ref="AP103">IF(
    AND($H103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($H103 / 1000) * AP$10 * $BA$4 * 0.25
    ),
    0
)
+
IF(
    $N103 &lt; 0.875,
    MAX(0, MIN(($H103 / 1000) * AP$10 * $BA$4, AP$11 * 0.876) - (AP$11 * $N103)) * 0.25,
    0
)</f>
        <v/>
      </c>
      <c r="AQ103" s="117">
        <f t="array" ref="AQ103">IF(
    AND($H103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($H103 / 1000) * AQ$10 * $BA$4 * 0.25
    ),
    0
)
+
IF(
    $N103 &lt; 0.875,
    MAX(0, MIN(($H103 / 1000) * AQ$10 * $BA$4, AQ$11 * 0.876) - (AQ$11 * $N103)) * 0.25,
    0
)</f>
        <v/>
      </c>
      <c r="AR103" s="117">
        <f t="array" ref="AR103">IF(
    AND($H103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($H103 / 1000) * AR$10 * $BA$4 * 0.25
    ),
    0
)
+
IF(
    $N103 &lt; 0.875,
    MAX(0, MIN(($H103 / 1000) * AR$10 * $BA$4, AR$11 * 0.876) - (AR$11 * $N103)) * 0.25,
    0
)</f>
        <v/>
      </c>
      <c r="AS103" s="117">
        <f t="array" ref="AS103">IF(
    AND($H103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($H103 / 1000) * AS$10 * $BA$4 * 0.25
    ),
    0
)
+
IF(
    $N103 &lt; 0.875,
    MAX(0, MIN(($H103 / 1000) * AS$10 * $BA$4, AS$11 * 0.876) - (AS$11 * $N103)) * 0.25,
    0
)</f>
        <v/>
      </c>
      <c r="AT103" s="117">
        <f t="array" ref="AT103">IF(
    AND($H103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($H103 / 1000) * AT$10 * $BA$4 * 0.25
    ),
    0
)
+
IF(
    $N103 &lt; 0.875,
    MAX(0, MIN(($H103 / 1000) * AT$10 * $BA$4, AT$11 * 0.876) - (AT$11 * $N103)) * 0.25,
    0
)</f>
        <v/>
      </c>
      <c r="AU103" s="117">
        <f t="array" ref="AU103">IF(
    AND($H103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($H103 / 1000) * AU$10 * $BA$4 * 0.25
    ),
    0
)
+
IF(
    $N103 &lt; 0.875,
    MAX(0, MIN(($H103 / 1000) * AU$10 * $BA$4, AU$11 * 0.876) - (AU$11 * $N103)) * 0.25,
    0
)</f>
        <v/>
      </c>
      <c r="AV103" s="117">
        <f t="array" ref="AV103">IF(
    AND($H103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($H103 / 1000) * AV$10 * $BA$4 * 0.25
    ),
    0
)
+
IF(
    $N103 &lt; 0.875,
    MAX(0, MIN(($H103 / 1000) * AV$10 * $BA$4, AV$11 * 0.876) - (AV$11 * $N103)) * 0.25,
    0
)</f>
        <v/>
      </c>
      <c r="AW103" s="117">
        <f t="array" ref="AW103">IF(
    AND($H103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($H103 / 1000) * AW$10 * $BA$4 * 0.25
    ),
    0
)
+
IF(
    $N103 &lt; 0.875,
    MAX(0, MIN(($H103 / 1000) * AW$10 * $BA$4, AW$11 * 0.876) - (AW$11 * $N103)) * 0.25,
    0
)</f>
        <v/>
      </c>
      <c r="AX103" s="117">
        <f t="array" ref="AX103">IF(
    AND($H103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($H103 / 1000) * AX$10 * $BA$4 * 0.25
    ),
    0
)
+
IF(
    $N103 &lt; 0.875,
    MAX(0, MIN(($H103 / 1000) * AX$10 * $BA$4, AX$11 * 0.876) - (AX$11 * $N103)) * 0.25,
    0
)</f>
        <v/>
      </c>
      <c r="AY103" s="117">
        <f t="array" ref="AY103">IF(
    AND($H103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($H103 / 1000) * AY$10 * $BA$4 * 0.25
    ),
    0
)
+
IF(
    $N103 &lt; 0.875,
    MAX(0, MIN(($H103 / 1000) * AY$10 * $BA$4, AY$11 * 0.876) - (AY$11 * $N103)) * 0.25,
    0
)</f>
        <v/>
      </c>
      <c r="AZ103" s="117">
        <f t="array" ref="AZ103">IF(
    AND($H103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($H103 / 1000) * AZ$10 * $BA$4 * 0.25
    ),
    0
)
+
IF(
    $N103 &lt; 0.875,
    MAX(0, MIN(($H103 / 1000) * AZ$10 * $BA$4, AZ$11 * 0.876) - (AZ$11 * $N103)) * 0.25,
    0
)</f>
        <v/>
      </c>
      <c r="BA103" s="119">
        <f>SUM(TabellaMar2026[[#This Row],[Colonna54]:[Colonna53]])</f>
        <v/>
      </c>
    </row>
    <row r="104">
      <c r="A104" s="112" t="n">
        <v>46143</v>
      </c>
      <c r="B104" t="inlineStr">
        <is>
          <t>22:15:00.000</t>
        </is>
      </c>
      <c r="C104" s="2" t="n">
        <v>-1.8</v>
      </c>
      <c r="D104" s="113" t="n">
        <v>-0.00045</v>
      </c>
      <c r="E104" s="113" t="n">
        <v>-1.2</v>
      </c>
      <c r="F104" s="113" t="n">
        <v>-0.0003</v>
      </c>
      <c r="G104" s="113">
        <f>IFERROR((D104+F104)/2, 0)</f>
        <v/>
      </c>
      <c r="H104" s="114">
        <f>IFERROR(IF(AVERAGE(C104,E104)&gt;$BA$7,AVERAGE(C104,E104),0), 0)</f>
        <v/>
      </c>
      <c r="I104" s="114">
        <f>IFERROR(IF(AND(D104=0,F104=0),0,IF(H104&gt;$BA$6,MAX(D104,F104),G104)), 0)</f>
        <v/>
      </c>
      <c r="J104" s="113">
        <f>IFERROR(IF(AND(D104&gt;0,F104&gt;0),ABS(D104-F104)/AVERAGE(D104,F104),0), 0)</f>
        <v/>
      </c>
      <c r="K104" s="113" t="n">
        <v>30141.3</v>
      </c>
      <c r="L104" s="113" t="n">
        <v>30141.3</v>
      </c>
      <c r="M104" s="115">
        <f>IFERROR((L104-K104)*1000, 0)</f>
        <v/>
      </c>
      <c r="N104" s="113" t="n">
        <v>0.8759999999999999</v>
      </c>
      <c r="O104" s="115">
        <f t="array" ref="O104">IF(
    AND($H104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($H104 / 1000) * O$10 * $BA$4 * 0.25
    ),
    0
)
+
IF(
    $N104 &lt; 0.875,
    MAX(0, MIN(($H104 / 1000) * O$10 * $BA$4, O$11 * 0.876) - (O$11 * $N104)) * 0.25,
    0
)</f>
        <v/>
      </c>
      <c r="P104" s="115">
        <f t="array" ref="P104">IF(
    AND($H104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($H104 / 1000) * P$10 * $BA$4 * 0.25
    ),
    0
)
+
IF(
    $N104 &lt; 0.875,
    MAX(0, MIN(($H104 / 1000) * P$10 * $BA$4, P$11 * 0.876) - (P$11 * $N104)) * 0.25,
    0
)</f>
        <v/>
      </c>
      <c r="Q104" s="115">
        <f t="array" ref="Q104">IF(
    AND($H104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($H104 / 1000) * Q$10 * $BA$4 * 0.25
    ),
    0
)
+
IF(
    $N104 &lt; 0.875,
    MAX(0, MIN(($H104 / 1000) * Q$10 * $BA$4, Q$11 * 0.876) - (Q$11 * $N104)) * 0.25,
    0
)</f>
        <v/>
      </c>
      <c r="R104" s="115">
        <f t="array" ref="R104">IF(
    AND($H104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($H104 / 1000) * R$10 * $BA$4 * 0.25
    ),
    0
)
+
IF(
    $N104 &lt; 0.875,
    MAX(0, MIN(($H104 / 1000) * R$10 * $BA$4, R$11 * 0.876) - (R$11 * $N104)) * 0.25,
    0
)</f>
        <v/>
      </c>
      <c r="S104" s="115">
        <f t="array" ref="S104">IF(
    AND($H104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($H104 / 1000) * S$10 * $BA$4 * 0.25
    ),
    0
)
+
IF(
    $N104 &lt; 0.875,
    MAX(0, MIN(($H104 / 1000) * S$10 * $BA$4, S$11 * 0.876) - (S$11 * $N104)) * 0.25,
    0
)</f>
        <v/>
      </c>
      <c r="T104" s="115">
        <f t="array" ref="T104">IF(
    AND($H104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($H104 / 1000) * T$10 * $BA$4 * 0.25
    ),
    0
)
+
IF(
    $N104 &lt; 0.875,
    MAX(0, MIN(($H104 / 1000) * T$10 * $BA$4, T$11 * 0.876) - (T$11 * $N104)) * 0.25,
    0
)</f>
        <v/>
      </c>
      <c r="U104" s="115">
        <f t="array" ref="U104">IF(
    AND($H104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($H104 / 1000) * U$10 * $BA$4 * 0.25
    ),
    0
)
+
IF(
    $N104 &lt; 0.875,
    MAX(0, MIN(($H104 / 1000) * U$10 * $BA$4, U$11 * 0.876) - (U$11 * $N104)) * 0.25,
    0
)</f>
        <v/>
      </c>
      <c r="V104" s="115">
        <f t="array" ref="V104">IF(
    AND($H104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($H104 / 1000) * V$10 * $BA$4 * 0.25
    ),
    0
)
+
IF(
    $N104 &lt; 0.875,
    MAX(0, MIN(($H104 / 1000) * V$10 * $BA$4, V$11 * 0.876) - (V$11 * $N104)) * 0.25,
    0
)</f>
        <v/>
      </c>
      <c r="W104" s="115">
        <f t="array" ref="W104">IF(
    AND($H104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($H104 / 1000) * W$10 * $BA$4 * 0.25
    ),
    0
)
+
IF(
    $N104 &lt; 0.875,
    MAX(0, MIN(($H104 / 1000) * W$10 * $BA$4, W$11 * 0.876) - (W$11 * $N104)) * 0.25,
    0
)</f>
        <v/>
      </c>
      <c r="X104" s="115">
        <f t="array" ref="X104">IF(
    AND($H104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($H104 / 1000) * X$10 * $BA$4 * 0.25
    ),
    0
)
+
IF(
    $N104 &lt; 0.875,
    MAX(0, MIN(($H104 / 1000) * X$10 * $BA$4, X$11 * 0.876) - (X$11 * $N104)) * 0.25,
    0
)</f>
        <v/>
      </c>
      <c r="Y104" s="115">
        <f t="array" ref="Y104">IF(
    AND($H104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($H104 / 1000) * Y$10 * $BA$4 * 0.25
    ),
    0
)
+
IF(
    $N104 &lt; 0.875,
    MAX(0, MIN(($H104 / 1000) * Y$10 * $BA$4, Y$11 * 0.876) - (Y$11 * $N104)) * 0.25,
    0
)</f>
        <v/>
      </c>
      <c r="Z104" s="115">
        <f t="array" ref="Z104">IF(
    AND($H104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($H104 / 1000) * Z$10 * $BA$4 * 0.25
    ),
    0
)
+
IF(
    $N104 &lt; 0.875,
    MAX(0, MIN(($H104 / 1000) * Z$10 * $BA$4, Z$11 * 0.876) - (Z$11 * $N104)) * 0.25,
    0
)</f>
        <v/>
      </c>
      <c r="AA104" s="116">
        <f>SUM(TabellaMar2026[[#This Row],[Colonna24]:[Colonna20]])</f>
        <v/>
      </c>
      <c r="AB104" s="117">
        <f>IF(
    AND($H104 &gt; $BA$7, Tabella01MarzoInverter[[#This Row],[Active power TX2-INV-1]] &lt;= 0, Tabella01MarzoInverter[[#This Row],[TX2 - Average Power]] &lt;= 0),
    MIN(($H104 / 1000) * AB$10 * $BA$4, AB$11 * 0.876) * 0.25,
    IF(
        AND($H104 &gt; $BA$7, Tabella01MarzoInverter[[#This Row],[Active power TX2-INV-1]] &lt;= 0),
        Tabella01MarzoInverter[[#This Row],[TX2 - Average Power]] * 0.25,
        0
    )
    +
    IF(
        $N104 &lt; 0.875,
        MAX(0, MIN(($H104 / 1000) * AB$10 * $BA$4, AB$11 * 0.876) - (AB$11 * $N104)) * 0.25,
        0
    )
)</f>
        <v/>
      </c>
      <c r="AC104" s="117">
        <f>IF(
    AND($H104 &gt; $BA$7, Tabella01MarzoInverter[[#This Row],[Active power TX2-INV-2]] &lt;= 0, Tabella01MarzoInverter[[#This Row],[TX2 - Max Power]] &lt;= 0),
    MIN(($H104 / 1000) * AC$10 * $BA$4, AC$11 * 0.876) * 0.25,
    IF(
        AND($H104 &gt; $BA$7, Tabella01MarzoInverter[[#This Row],[Active power TX2-INV-2]] &lt;= 0),
        Tabella01MarzoInverter[[#This Row],[TX2 - Max Power]] * 0.25,
        0
    )
    +
    IF(
        $N104 &lt; 0.875,
        MAX(0, MIN(($H104 / 1000) * AC$10 * $BA$4, AC$11 * 0.876) - (AC$11 * $N104)) * 0.25,
        0
    )
)</f>
        <v/>
      </c>
      <c r="AD104" s="117">
        <f>IF(
    AND($H104 &gt; $BA$7, Tabella01MarzoInverter[[#This Row],[Active power TX2-INV-3]] &lt;= 0, Tabella01MarzoInverter[[#This Row],[TX2 - Min Power]] &lt;= 0),
    MIN(($H104 / 1000) * AD$10 * $BA$4, AD$11 * 0.876) * 0.25,
    IF(
        AND($H104 &gt; $BA$7, Tabella01MarzoInverter[[#This Row],[Active power TX2-INV-3]] &lt;= 0),
        Tabella01MarzoInverter[[#This Row],[TX2 - Min Power]] * 0.25,
        0
    )
    +
    IF(
        $N104 &lt; 0.875,
        MAX(0, MIN(($H104 / 1000) * AD$10 * $BA$4, AD$11 * 0.876) - (AD$11 * $N104)) * 0.25,
        0
    )
)</f>
        <v/>
      </c>
      <c r="AE104" s="117">
        <f>IF(
    AND($H104 &gt; $BA$7, Tabella01MarzoInverter[[#This Row],[Active power TX2-INV-4]] &lt;= 0, Tabella01MarzoInverter[[#This Row],[Active power TX3-INV-1]] &lt;= 0),
    MIN(($H104 / 1000) * AE$10 * $BA$4, AE$11 * 0.876) * 0.25,
    IF(
        AND($H104 &gt; $BA$7, Tabella01MarzoInverter[[#This Row],[Active power TX2-INV-4]] &lt;= 0),
        Tabella01MarzoInverter[[#This Row],[Active power TX3-INV-1]] * 0.25,
        0
    )
    +
    IF(
        $N104 &lt; 0.875,
        MAX(0, MIN(($H104 / 1000) * AE$10 * $BA$4, AE$11 * 0.876) - (AE$11 * $N104)) * 0.25,
        0
    )
)</f>
        <v/>
      </c>
      <c r="AF104" s="117">
        <f>IF(
    AND($H104 &gt; $BA$7, Tabella01MarzoInverter[[#This Row],[Active power TX2-INV-5]] &lt;= 0, Tabella01MarzoInverter[[#This Row],[Active power TX3-INV-2]] &lt;= 0),
    MIN(($H104 / 1000) * AF$10 * $BA$4, AF$11 * 0.876) * 0.25,
    IF(
        AND($H104 &gt; $BA$7, Tabella01MarzoInverter[[#This Row],[Active power TX2-INV-5]] &lt;= 0),
        Tabella01MarzoInverter[[#This Row],[Active power TX3-INV-2]] * 0.25,
        0
    )
    +
    IF(
        $N104 &lt; 0.875,
        MAX(0, MIN(($H104 / 1000) * AF$10 * $BA$4, AF$11 * 0.876) - (AF$11 * $N104)) * 0.25,
        0
    )
)</f>
        <v/>
      </c>
      <c r="AG104" s="117">
        <f>IF(
    AND($H104 &gt; $BA$7, Tabella01MarzoInverter[[#This Row],[Active power TX2-INV-6]] &lt;= 0, Tabella01MarzoInverter[[#This Row],[Active power TX3-INV-3]] &lt;= 0),
    MIN(($H104 / 1000) * AG$10 * $BA$4, AG$11 * 0.876) * 0.25,
    IF(
        AND($H104 &gt; $BA$7, Tabella01MarzoInverter[[#This Row],[Active power TX2-INV-6]] &lt;= 0),
        Tabella01MarzoInverter[[#This Row],[Active power TX3-INV-3]] * 0.25,
        0
    )
    +
    IF(
        $N104 &lt; 0.875,
        MAX(0, MIN(($H104 / 1000) * AG$10 * $BA$4, AG$11 * 0.876) - (AG$11 * $N104)) * 0.25,
        0
    )
)</f>
        <v/>
      </c>
      <c r="AH104" s="117">
        <f>IF(
    AND($H104 &gt; $BA$7, Tabella01MarzoInverter[[#This Row],[Active power TX2-INV-7]] &lt;= 0, Tabella01MarzoInverter[[#This Row],[Active power TX3-INV-4]] &lt;= 0),
    MIN(($H104 / 1000) * AH$10 * $BA$4, AH$11 * 0.876) * 0.25,
    IF(
        AND($H104 &gt; $BA$7, Tabella01MarzoInverter[[#This Row],[Active power TX2-INV-7]] &lt;= 0),
        Tabella01MarzoInverter[[#This Row],[Active power TX3-INV-4]] * 0.25,
        0
    )
    +
    IF(
        $N104 &lt; 0.875,
        MAX(0, MIN(($H104 / 1000) * AH$10 * $BA$4, AH$11 * 0.876) - (AH$11 * $N104)) * 0.25,
        0
    )
)</f>
        <v/>
      </c>
      <c r="AI104" s="117">
        <f>IF(
    AND($H104 &gt; $BA$7, Tabella01MarzoInverter[[#This Row],[Active power TX2-INV-8]] &lt;= 0, Tabella01MarzoInverter[[#This Row],[Active power TX3-INV-5]] &lt;= 0),
    MIN(($H104 / 1000) * AI$10 * $BA$4, AI$11 * 0.876) * 0.25,
    IF(
        AND($H104 &gt; $BA$7, Tabella01MarzoInverter[[#This Row],[Active power TX2-INV-8]] &lt;= 0),
        Tabella01MarzoInverter[[#This Row],[Active power TX3-INV-5]] * 0.25,
        0
    )
    +
    IF(
        $N104 &lt; 0.875,
        MAX(0, MIN(($H104 / 1000) * AI$10 * $BA$4, AI$11 * 0.876) - (AI$11 * $N104)) * 0.25,
        0
    )
)</f>
        <v/>
      </c>
      <c r="AJ104" s="117">
        <f>IF(
    AND($H104 &gt; $BA$7, Tabella01MarzoInverter[[#This Row],[Active power TX2-INV-9]] &lt;= 0, Tabella01MarzoInverter[[#This Row],[Active power TX3-INV-6]] &lt;= 0),
    MIN(($H104 / 1000) * AJ$10 * $BA$4, AJ$11 * 0.876) * 0.25,
    IF(
        AND($H104 &gt; $BA$7, Tabella01MarzoInverter[[#This Row],[Active power TX2-INV-9]] &lt;= 0),
        Tabella01MarzoInverter[[#This Row],[Active power TX3-INV-6]] * 0.25,
        0
    )
    +
    IF(
        $N104 &lt; 0.875,
        MAX(0, MIN(($H104 / 1000) * AJ$10 * $BA$4, AJ$11 * 0.876) - (AJ$11 * $N104)) * 0.25,
        0
    )
)</f>
        <v/>
      </c>
      <c r="AK104" s="117">
        <f>IF(
    AND($H104 &gt; $BA$7, Tabella01MarzoInverter[[#This Row],[Active power TX2-INV-10]] &lt;= 0, Tabella01MarzoInverter[[#This Row],[Active power TX3-INV-7]] &lt;= 0),
    MIN(($H104 / 1000) * AK$10 * $BA$4, AK$11 * 0.876) * 0.25,
    IF(
        AND($H104 &gt; $BA$7, Tabella01MarzoInverter[[#This Row],[Active power TX2-INV-10]] &lt;= 0),
        Tabella01MarzoInverter[[#This Row],[Active power TX3-INV-7]] * 0.25,
        0
    )
    +
    IF(
        $N104 &lt; 0.875,
        MAX(0, MIN(($H104 / 1000) * AK$10 * $BA$4, AK$11 * 0.876) - (AK$11 * $N104)) * 0.25,
        0
    )
)</f>
        <v/>
      </c>
      <c r="AL104" s="117">
        <f>IF(
    AND($H104 &gt; $BA$7, Tabella01MarzoInverter[[#This Row],[Active power TX2-INV-11]] &lt;= 0, Tabella01MarzoInverter[[#This Row],[Active power TX3-INV-8]] &lt;= 0),
    MIN(($H104 / 1000) * AL$10 * $BA$4, AL$11 * 0.876) * 0.25,
    IF(
        AND($H104 &gt; $BA$7, Tabella01MarzoInverter[[#This Row],[Active power TX2-INV-11]] &lt;= 0),
        Tabella01MarzoInverter[[#This Row],[Active power TX3-INV-8]] * 0.25,
        0
    )
    +
    IF(
        $N104 &lt; 0.875,
        MAX(0, MIN(($H104 / 1000) * AL$10 * $BA$4, AL$11 * 0.876) - (AL$11 * $N104)) * 0.25,
        0
    )
)</f>
        <v/>
      </c>
      <c r="AM104" s="117">
        <f>IF(
    AND($H104 &gt; $BA$7, Tabella01MarzoInverter[[#This Row],[Active power TX2-INV-12]] &lt;= 0, Tabella01MarzoInverter[[#This Row],[Active power TX3-INV-9]] &lt;= 0),
    MIN(($H104 / 1000) * AM$10 * $BA$4, AM$11 * 0.876) * 0.25,
    IF(
        AND($H104 &gt; $BA$7, Tabella01MarzoInverter[[#This Row],[Active power TX2-INV-12]] &lt;= 0),
        Tabella01MarzoInverter[[#This Row],[Active power TX3-INV-9]] * 0.25,
        0
    )
    +
    IF(
        $N104 &lt; 0.875,
        MAX(0, MIN(($H104 / 1000) * AM$10 * $BA$4, AM$11 * 0.876) - (AM$11 * $N104)) * 0.25,
        0
    )
)</f>
        <v/>
      </c>
      <c r="AN104" s="118">
        <f>SUM(TabellaMar2026[[#This Row],[Colonna39]:[Colonna6]])</f>
        <v/>
      </c>
      <c r="AO104" s="117">
        <f t="array" ref="AO104">IF(
    AND($H104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($H104 / 1000) * AO$10 * $BA$4 * 0.25
    ),
    0
)
+
IF(
    $N104 &lt; 0.875,
    MAX(0, MIN(($H104 / 1000) * AO$10 * $BA$4, AO$11 * 0.876) - (AO$11 * $N104)) * 0.25,
    0
)</f>
        <v/>
      </c>
      <c r="AP104" s="117">
        <f t="array" ref="AP104">IF(
    AND($H104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($H104 / 1000) * AP$10 * $BA$4 * 0.25
    ),
    0
)
+
IF(
    $N104 &lt; 0.875,
    MAX(0, MIN(($H104 / 1000) * AP$10 * $BA$4, AP$11 * 0.876) - (AP$11 * $N104)) * 0.25,
    0
)</f>
        <v/>
      </c>
      <c r="AQ104" s="117">
        <f t="array" ref="AQ104">IF(
    AND($H104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($H104 / 1000) * AQ$10 * $BA$4 * 0.25
    ),
    0
)
+
IF(
    $N104 &lt; 0.875,
    MAX(0, MIN(($H104 / 1000) * AQ$10 * $BA$4, AQ$11 * 0.876) - (AQ$11 * $N104)) * 0.25,
    0
)</f>
        <v/>
      </c>
      <c r="AR104" s="117">
        <f t="array" ref="AR104">IF(
    AND($H104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($H104 / 1000) * AR$10 * $BA$4 * 0.25
    ),
    0
)
+
IF(
    $N104 &lt; 0.875,
    MAX(0, MIN(($H104 / 1000) * AR$10 * $BA$4, AR$11 * 0.876) - (AR$11 * $N104)) * 0.25,
    0
)</f>
        <v/>
      </c>
      <c r="AS104" s="117">
        <f t="array" ref="AS104">IF(
    AND($H104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($H104 / 1000) * AS$10 * $BA$4 * 0.25
    ),
    0
)
+
IF(
    $N104 &lt; 0.875,
    MAX(0, MIN(($H104 / 1000) * AS$10 * $BA$4, AS$11 * 0.876) - (AS$11 * $N104)) * 0.25,
    0
)</f>
        <v/>
      </c>
      <c r="AT104" s="117">
        <f t="array" ref="AT104">IF(
    AND($H104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($H104 / 1000) * AT$10 * $BA$4 * 0.25
    ),
    0
)
+
IF(
    $N104 &lt; 0.875,
    MAX(0, MIN(($H104 / 1000) * AT$10 * $BA$4, AT$11 * 0.876) - (AT$11 * $N104)) * 0.25,
    0
)</f>
        <v/>
      </c>
      <c r="AU104" s="117">
        <f t="array" ref="AU104">IF(
    AND($H104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($H104 / 1000) * AU$10 * $BA$4 * 0.25
    ),
    0
)
+
IF(
    $N104 &lt; 0.875,
    MAX(0, MIN(($H104 / 1000) * AU$10 * $BA$4, AU$11 * 0.876) - (AU$11 * $N104)) * 0.25,
    0
)</f>
        <v/>
      </c>
      <c r="AV104" s="117">
        <f t="array" ref="AV104">IF(
    AND($H104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($H104 / 1000) * AV$10 * $BA$4 * 0.25
    ),
    0
)
+
IF(
    $N104 &lt; 0.875,
    MAX(0, MIN(($H104 / 1000) * AV$10 * $BA$4, AV$11 * 0.876) - (AV$11 * $N104)) * 0.25,
    0
)</f>
        <v/>
      </c>
      <c r="AW104" s="117">
        <f t="array" ref="AW104">IF(
    AND($H104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($H104 / 1000) * AW$10 * $BA$4 * 0.25
    ),
    0
)
+
IF(
    $N104 &lt; 0.875,
    MAX(0, MIN(($H104 / 1000) * AW$10 * $BA$4, AW$11 * 0.876) - (AW$11 * $N104)) * 0.25,
    0
)</f>
        <v/>
      </c>
      <c r="AX104" s="117">
        <f t="array" ref="AX104">IF(
    AND($H104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($H104 / 1000) * AX$10 * $BA$4 * 0.25
    ),
    0
)
+
IF(
    $N104 &lt; 0.875,
    MAX(0, MIN(($H104 / 1000) * AX$10 * $BA$4, AX$11 * 0.876) - (AX$11 * $N104)) * 0.25,
    0
)</f>
        <v/>
      </c>
      <c r="AY104" s="117">
        <f t="array" ref="AY104">IF(
    AND($H104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($H104 / 1000) * AY$10 * $BA$4 * 0.25
    ),
    0
)
+
IF(
    $N104 &lt; 0.875,
    MAX(0, MIN(($H104 / 1000) * AY$10 * $BA$4, AY$11 * 0.876) - (AY$11 * $N104)) * 0.25,
    0
)</f>
        <v/>
      </c>
      <c r="AZ104" s="117">
        <f t="array" ref="AZ104">IF(
    AND($H104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($H104 / 1000) * AZ$10 * $BA$4 * 0.25
    ),
    0
)
+
IF(
    $N104 &lt; 0.875,
    MAX(0, MIN(($H104 / 1000) * AZ$10 * $BA$4, AZ$11 * 0.876) - (AZ$11 * $N104)) * 0.25,
    0
)</f>
        <v/>
      </c>
      <c r="BA104" s="119">
        <f>SUM(TabellaMar2026[[#This Row],[Colonna54]:[Colonna53]])</f>
        <v/>
      </c>
    </row>
    <row r="105">
      <c r="A105" s="112" t="n">
        <v>46143</v>
      </c>
      <c r="B105" t="inlineStr">
        <is>
          <t>22:30:00.000</t>
        </is>
      </c>
      <c r="C105" s="2" t="n">
        <v>-2</v>
      </c>
      <c r="D105" s="113" t="n">
        <v>-0.0005</v>
      </c>
      <c r="E105" s="113" t="n">
        <v>-1.6</v>
      </c>
      <c r="F105" s="113" t="n">
        <v>-0.0004</v>
      </c>
      <c r="G105" s="113">
        <f>IFERROR((D105+F105)/2, 0)</f>
        <v/>
      </c>
      <c r="H105" s="114">
        <f>IFERROR(IF(AVERAGE(C105,E105)&gt;$BA$7,AVERAGE(C105,E105),0), 0)</f>
        <v/>
      </c>
      <c r="I105" s="114">
        <f>IFERROR(IF(AND(D105=0,F105=0),0,IF(H105&gt;$BA$6,MAX(D105,F105),G105)), 0)</f>
        <v/>
      </c>
      <c r="J105" s="113">
        <f>IFERROR(IF(AND(D105&gt;0,F105&gt;0),ABS(D105-F105)/AVERAGE(D105,F105),0), 0)</f>
        <v/>
      </c>
      <c r="K105" s="113" t="n">
        <v>30141.3</v>
      </c>
      <c r="L105" s="113" t="n">
        <v>30141.3</v>
      </c>
      <c r="M105" s="115">
        <f>IFERROR((L105-K105)*1000, 0)</f>
        <v/>
      </c>
      <c r="N105" s="113" t="n">
        <v>0.8759999999999999</v>
      </c>
      <c r="O105" s="115">
        <f t="array" ref="O105">IF(
    AND($H105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($H105 / 1000) * O$10 * $BA$4 * 0.25
    ),
    0
)
+
IF(
    $N105 &lt; 0.875,
    MAX(0, MIN(($H105 / 1000) * O$10 * $BA$4, O$11 * 0.876) - (O$11 * $N105)) * 0.25,
    0
)</f>
        <v/>
      </c>
      <c r="P105" s="115">
        <f t="array" ref="P105">IF(
    AND($H105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($H105 / 1000) * P$10 * $BA$4 * 0.25
    ),
    0
)
+
IF(
    $N105 &lt; 0.875,
    MAX(0, MIN(($H105 / 1000) * P$10 * $BA$4, P$11 * 0.876) - (P$11 * $N105)) * 0.25,
    0
)</f>
        <v/>
      </c>
      <c r="Q105" s="115">
        <f t="array" ref="Q105">IF(
    AND($H105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($H105 / 1000) * Q$10 * $BA$4 * 0.25
    ),
    0
)
+
IF(
    $N105 &lt; 0.875,
    MAX(0, MIN(($H105 / 1000) * Q$10 * $BA$4, Q$11 * 0.876) - (Q$11 * $N105)) * 0.25,
    0
)</f>
        <v/>
      </c>
      <c r="R105" s="115">
        <f t="array" ref="R105">IF(
    AND($H105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($H105 / 1000) * R$10 * $BA$4 * 0.25
    ),
    0
)
+
IF(
    $N105 &lt; 0.875,
    MAX(0, MIN(($H105 / 1000) * R$10 * $BA$4, R$11 * 0.876) - (R$11 * $N105)) * 0.25,
    0
)</f>
        <v/>
      </c>
      <c r="S105" s="115">
        <f t="array" ref="S105">IF(
    AND($H105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($H105 / 1000) * S$10 * $BA$4 * 0.25
    ),
    0
)
+
IF(
    $N105 &lt; 0.875,
    MAX(0, MIN(($H105 / 1000) * S$10 * $BA$4, S$11 * 0.876) - (S$11 * $N105)) * 0.25,
    0
)</f>
        <v/>
      </c>
      <c r="T105" s="115">
        <f t="array" ref="T105">IF(
    AND($H105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($H105 / 1000) * T$10 * $BA$4 * 0.25
    ),
    0
)
+
IF(
    $N105 &lt; 0.875,
    MAX(0, MIN(($H105 / 1000) * T$10 * $BA$4, T$11 * 0.876) - (T$11 * $N105)) * 0.25,
    0
)</f>
        <v/>
      </c>
      <c r="U105" s="115">
        <f t="array" ref="U105">IF(
    AND($H105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($H105 / 1000) * U$10 * $BA$4 * 0.25
    ),
    0
)
+
IF(
    $N105 &lt; 0.875,
    MAX(0, MIN(($H105 / 1000) * U$10 * $BA$4, U$11 * 0.876) - (U$11 * $N105)) * 0.25,
    0
)</f>
        <v/>
      </c>
      <c r="V105" s="115">
        <f t="array" ref="V105">IF(
    AND($H105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($H105 / 1000) * V$10 * $BA$4 * 0.25
    ),
    0
)
+
IF(
    $N105 &lt; 0.875,
    MAX(0, MIN(($H105 / 1000) * V$10 * $BA$4, V$11 * 0.876) - (V$11 * $N105)) * 0.25,
    0
)</f>
        <v/>
      </c>
      <c r="W105" s="115">
        <f t="array" ref="W105">IF(
    AND($H105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($H105 / 1000) * W$10 * $BA$4 * 0.25
    ),
    0
)
+
IF(
    $N105 &lt; 0.875,
    MAX(0, MIN(($H105 / 1000) * W$10 * $BA$4, W$11 * 0.876) - (W$11 * $N105)) * 0.25,
    0
)</f>
        <v/>
      </c>
      <c r="X105" s="115">
        <f t="array" ref="X105">IF(
    AND($H105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($H105 / 1000) * X$10 * $BA$4 * 0.25
    ),
    0
)
+
IF(
    $N105 &lt; 0.875,
    MAX(0, MIN(($H105 / 1000) * X$10 * $BA$4, X$11 * 0.876) - (X$11 * $N105)) * 0.25,
    0
)</f>
        <v/>
      </c>
      <c r="Y105" s="115">
        <f t="array" ref="Y105">IF(
    AND($H105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($H105 / 1000) * Y$10 * $BA$4 * 0.25
    ),
    0
)
+
IF(
    $N105 &lt; 0.875,
    MAX(0, MIN(($H105 / 1000) * Y$10 * $BA$4, Y$11 * 0.876) - (Y$11 * $N105)) * 0.25,
    0
)</f>
        <v/>
      </c>
      <c r="Z105" s="115">
        <f t="array" ref="Z105">IF(
    AND($H105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($H105 / 1000) * Z$10 * $BA$4 * 0.25
    ),
    0
)
+
IF(
    $N105 &lt; 0.875,
    MAX(0, MIN(($H105 / 1000) * Z$10 * $BA$4, Z$11 * 0.876) - (Z$11 * $N105)) * 0.25,
    0
)</f>
        <v/>
      </c>
      <c r="AA105" s="116">
        <f>SUM(TabellaMar2026[[#This Row],[Colonna24]:[Colonna20]])</f>
        <v/>
      </c>
      <c r="AB105" s="117">
        <f>IF(
    AND($H105 &gt; $BA$7, Tabella01MarzoInverter[[#This Row],[Active power TX2-INV-1]] &lt;= 0, Tabella01MarzoInverter[[#This Row],[TX2 - Average Power]] &lt;= 0),
    MIN(($H105 / 1000) * AB$10 * $BA$4, AB$11 * 0.876) * 0.25,
    IF(
        AND($H105 &gt; $BA$7, Tabella01MarzoInverter[[#This Row],[Active power TX2-INV-1]] &lt;= 0),
        Tabella01MarzoInverter[[#This Row],[TX2 - Average Power]] * 0.25,
        0
    )
    +
    IF(
        $N105 &lt; 0.875,
        MAX(0, MIN(($H105 / 1000) * AB$10 * $BA$4, AB$11 * 0.876) - (AB$11 * $N105)) * 0.25,
        0
    )
)</f>
        <v/>
      </c>
      <c r="AC105" s="117">
        <f>IF(
    AND($H105 &gt; $BA$7, Tabella01MarzoInverter[[#This Row],[Active power TX2-INV-2]] &lt;= 0, Tabella01MarzoInverter[[#This Row],[TX2 - Max Power]] &lt;= 0),
    MIN(($H105 / 1000) * AC$10 * $BA$4, AC$11 * 0.876) * 0.25,
    IF(
        AND($H105 &gt; $BA$7, Tabella01MarzoInverter[[#This Row],[Active power TX2-INV-2]] &lt;= 0),
        Tabella01MarzoInverter[[#This Row],[TX2 - Max Power]] * 0.25,
        0
    )
    +
    IF(
        $N105 &lt; 0.875,
        MAX(0, MIN(($H105 / 1000) * AC$10 * $BA$4, AC$11 * 0.876) - (AC$11 * $N105)) * 0.25,
        0
    )
)</f>
        <v/>
      </c>
      <c r="AD105" s="117">
        <f>IF(
    AND($H105 &gt; $BA$7, Tabella01MarzoInverter[[#This Row],[Active power TX2-INV-3]] &lt;= 0, Tabella01MarzoInverter[[#This Row],[TX2 - Min Power]] &lt;= 0),
    MIN(($H105 / 1000) * AD$10 * $BA$4, AD$11 * 0.876) * 0.25,
    IF(
        AND($H105 &gt; $BA$7, Tabella01MarzoInverter[[#This Row],[Active power TX2-INV-3]] &lt;= 0),
        Tabella01MarzoInverter[[#This Row],[TX2 - Min Power]] * 0.25,
        0
    )
    +
    IF(
        $N105 &lt; 0.875,
        MAX(0, MIN(($H105 / 1000) * AD$10 * $BA$4, AD$11 * 0.876) - (AD$11 * $N105)) * 0.25,
        0
    )
)</f>
        <v/>
      </c>
      <c r="AE105" s="117">
        <f>IF(
    AND($H105 &gt; $BA$7, Tabella01MarzoInverter[[#This Row],[Active power TX2-INV-4]] &lt;= 0, Tabella01MarzoInverter[[#This Row],[Active power TX3-INV-1]] &lt;= 0),
    MIN(($H105 / 1000) * AE$10 * $BA$4, AE$11 * 0.876) * 0.25,
    IF(
        AND($H105 &gt; $BA$7, Tabella01MarzoInverter[[#This Row],[Active power TX2-INV-4]] &lt;= 0),
        Tabella01MarzoInverter[[#This Row],[Active power TX3-INV-1]] * 0.25,
        0
    )
    +
    IF(
        $N105 &lt; 0.875,
        MAX(0, MIN(($H105 / 1000) * AE$10 * $BA$4, AE$11 * 0.876) - (AE$11 * $N105)) * 0.25,
        0
    )
)</f>
        <v/>
      </c>
      <c r="AF105" s="117">
        <f>IF(
    AND($H105 &gt; $BA$7, Tabella01MarzoInverter[[#This Row],[Active power TX2-INV-5]] &lt;= 0, Tabella01MarzoInverter[[#This Row],[Active power TX3-INV-2]] &lt;= 0),
    MIN(($H105 / 1000) * AF$10 * $BA$4, AF$11 * 0.876) * 0.25,
    IF(
        AND($H105 &gt; $BA$7, Tabella01MarzoInverter[[#This Row],[Active power TX2-INV-5]] &lt;= 0),
        Tabella01MarzoInverter[[#This Row],[Active power TX3-INV-2]] * 0.25,
        0
    )
    +
    IF(
        $N105 &lt; 0.875,
        MAX(0, MIN(($H105 / 1000) * AF$10 * $BA$4, AF$11 * 0.876) - (AF$11 * $N105)) * 0.25,
        0
    )
)</f>
        <v/>
      </c>
      <c r="AG105" s="117">
        <f>IF(
    AND($H105 &gt; $BA$7, Tabella01MarzoInverter[[#This Row],[Active power TX2-INV-6]] &lt;= 0, Tabella01MarzoInverter[[#This Row],[Active power TX3-INV-3]] &lt;= 0),
    MIN(($H105 / 1000) * AG$10 * $BA$4, AG$11 * 0.876) * 0.25,
    IF(
        AND($H105 &gt; $BA$7, Tabella01MarzoInverter[[#This Row],[Active power TX2-INV-6]] &lt;= 0),
        Tabella01MarzoInverter[[#This Row],[Active power TX3-INV-3]] * 0.25,
        0
    )
    +
    IF(
        $N105 &lt; 0.875,
        MAX(0, MIN(($H105 / 1000) * AG$10 * $BA$4, AG$11 * 0.876) - (AG$11 * $N105)) * 0.25,
        0
    )
)</f>
        <v/>
      </c>
      <c r="AH105" s="117">
        <f>IF(
    AND($H105 &gt; $BA$7, Tabella01MarzoInverter[[#This Row],[Active power TX2-INV-7]] &lt;= 0, Tabella01MarzoInverter[[#This Row],[Active power TX3-INV-4]] &lt;= 0),
    MIN(($H105 / 1000) * AH$10 * $BA$4, AH$11 * 0.876) * 0.25,
    IF(
        AND($H105 &gt; $BA$7, Tabella01MarzoInverter[[#This Row],[Active power TX2-INV-7]] &lt;= 0),
        Tabella01MarzoInverter[[#This Row],[Active power TX3-INV-4]] * 0.25,
        0
    )
    +
    IF(
        $N105 &lt; 0.875,
        MAX(0, MIN(($H105 / 1000) * AH$10 * $BA$4, AH$11 * 0.876) - (AH$11 * $N105)) * 0.25,
        0
    )
)</f>
        <v/>
      </c>
      <c r="AI105" s="117">
        <f>IF(
    AND($H105 &gt; $BA$7, Tabella01MarzoInverter[[#This Row],[Active power TX2-INV-8]] &lt;= 0, Tabella01MarzoInverter[[#This Row],[Active power TX3-INV-5]] &lt;= 0),
    MIN(($H105 / 1000) * AI$10 * $BA$4, AI$11 * 0.876) * 0.25,
    IF(
        AND($H105 &gt; $BA$7, Tabella01MarzoInverter[[#This Row],[Active power TX2-INV-8]] &lt;= 0),
        Tabella01MarzoInverter[[#This Row],[Active power TX3-INV-5]] * 0.25,
        0
    )
    +
    IF(
        $N105 &lt; 0.875,
        MAX(0, MIN(($H105 / 1000) * AI$10 * $BA$4, AI$11 * 0.876) - (AI$11 * $N105)) * 0.25,
        0
    )
)</f>
        <v/>
      </c>
      <c r="AJ105" s="117">
        <f>IF(
    AND($H105 &gt; $BA$7, Tabella01MarzoInverter[[#This Row],[Active power TX2-INV-9]] &lt;= 0, Tabella01MarzoInverter[[#This Row],[Active power TX3-INV-6]] &lt;= 0),
    MIN(($H105 / 1000) * AJ$10 * $BA$4, AJ$11 * 0.876) * 0.25,
    IF(
        AND($H105 &gt; $BA$7, Tabella01MarzoInverter[[#This Row],[Active power TX2-INV-9]] &lt;= 0),
        Tabella01MarzoInverter[[#This Row],[Active power TX3-INV-6]] * 0.25,
        0
    )
    +
    IF(
        $N105 &lt; 0.875,
        MAX(0, MIN(($H105 / 1000) * AJ$10 * $BA$4, AJ$11 * 0.876) - (AJ$11 * $N105)) * 0.25,
        0
    )
)</f>
        <v/>
      </c>
      <c r="AK105" s="117">
        <f>IF(
    AND($H105 &gt; $BA$7, Tabella01MarzoInverter[[#This Row],[Active power TX2-INV-10]] &lt;= 0, Tabella01MarzoInverter[[#This Row],[Active power TX3-INV-7]] &lt;= 0),
    MIN(($H105 / 1000) * AK$10 * $BA$4, AK$11 * 0.876) * 0.25,
    IF(
        AND($H105 &gt; $BA$7, Tabella01MarzoInverter[[#This Row],[Active power TX2-INV-10]] &lt;= 0),
        Tabella01MarzoInverter[[#This Row],[Active power TX3-INV-7]] * 0.25,
        0
    )
    +
    IF(
        $N105 &lt; 0.875,
        MAX(0, MIN(($H105 / 1000) * AK$10 * $BA$4, AK$11 * 0.876) - (AK$11 * $N105)) * 0.25,
        0
    )
)</f>
        <v/>
      </c>
      <c r="AL105" s="117">
        <f>IF(
    AND($H105 &gt; $BA$7, Tabella01MarzoInverter[[#This Row],[Active power TX2-INV-11]] &lt;= 0, Tabella01MarzoInverter[[#This Row],[Active power TX3-INV-8]] &lt;= 0),
    MIN(($H105 / 1000) * AL$10 * $BA$4, AL$11 * 0.876) * 0.25,
    IF(
        AND($H105 &gt; $BA$7, Tabella01MarzoInverter[[#This Row],[Active power TX2-INV-11]] &lt;= 0),
        Tabella01MarzoInverter[[#This Row],[Active power TX3-INV-8]] * 0.25,
        0
    )
    +
    IF(
        $N105 &lt; 0.875,
        MAX(0, MIN(($H105 / 1000) * AL$10 * $BA$4, AL$11 * 0.876) - (AL$11 * $N105)) * 0.25,
        0
    )
)</f>
        <v/>
      </c>
      <c r="AM105" s="117">
        <f>IF(
    AND($H105 &gt; $BA$7, Tabella01MarzoInverter[[#This Row],[Active power TX2-INV-12]] &lt;= 0, Tabella01MarzoInverter[[#This Row],[Active power TX3-INV-9]] &lt;= 0),
    MIN(($H105 / 1000) * AM$10 * $BA$4, AM$11 * 0.876) * 0.25,
    IF(
        AND($H105 &gt; $BA$7, Tabella01MarzoInverter[[#This Row],[Active power TX2-INV-12]] &lt;= 0),
        Tabella01MarzoInverter[[#This Row],[Active power TX3-INV-9]] * 0.25,
        0
    )
    +
    IF(
        $N105 &lt; 0.875,
        MAX(0, MIN(($H105 / 1000) * AM$10 * $BA$4, AM$11 * 0.876) - (AM$11 * $N105)) * 0.25,
        0
    )
)</f>
        <v/>
      </c>
      <c r="AN105" s="118">
        <f>SUM(TabellaMar2026[[#This Row],[Colonna39]:[Colonna6]])</f>
        <v/>
      </c>
      <c r="AO105" s="117">
        <f t="array" ref="AO105">IF(
    AND($H105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($H105 / 1000) * AO$10 * $BA$4 * 0.25
    ),
    0
)
+
IF(
    $N105 &lt; 0.875,
    MAX(0, MIN(($H105 / 1000) * AO$10 * $BA$4, AO$11 * 0.876) - (AO$11 * $N105)) * 0.25,
    0
)</f>
        <v/>
      </c>
      <c r="AP105" s="117">
        <f t="array" ref="AP105">IF(
    AND($H105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($H105 / 1000) * AP$10 * $BA$4 * 0.25
    ),
    0
)
+
IF(
    $N105 &lt; 0.875,
    MAX(0, MIN(($H105 / 1000) * AP$10 * $BA$4, AP$11 * 0.876) - (AP$11 * $N105)) * 0.25,
    0
)</f>
        <v/>
      </c>
      <c r="AQ105" s="117">
        <f t="array" ref="AQ105">IF(
    AND($H105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($H105 / 1000) * AQ$10 * $BA$4 * 0.25
    ),
    0
)
+
IF(
    $N105 &lt; 0.875,
    MAX(0, MIN(($H105 / 1000) * AQ$10 * $BA$4, AQ$11 * 0.876) - (AQ$11 * $N105)) * 0.25,
    0
)</f>
        <v/>
      </c>
      <c r="AR105" s="117">
        <f t="array" ref="AR105">IF(
    AND($H105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($H105 / 1000) * AR$10 * $BA$4 * 0.25
    ),
    0
)
+
IF(
    $N105 &lt; 0.875,
    MAX(0, MIN(($H105 / 1000) * AR$10 * $BA$4, AR$11 * 0.876) - (AR$11 * $N105)) * 0.25,
    0
)</f>
        <v/>
      </c>
      <c r="AS105" s="117">
        <f t="array" ref="AS105">IF(
    AND($H105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($H105 / 1000) * AS$10 * $BA$4 * 0.25
    ),
    0
)
+
IF(
    $N105 &lt; 0.875,
    MAX(0, MIN(($H105 / 1000) * AS$10 * $BA$4, AS$11 * 0.876) - (AS$11 * $N105)) * 0.25,
    0
)</f>
        <v/>
      </c>
      <c r="AT105" s="117">
        <f t="array" ref="AT105">IF(
    AND($H105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($H105 / 1000) * AT$10 * $BA$4 * 0.25
    ),
    0
)
+
IF(
    $N105 &lt; 0.875,
    MAX(0, MIN(($H105 / 1000) * AT$10 * $BA$4, AT$11 * 0.876) - (AT$11 * $N105)) * 0.25,
    0
)</f>
        <v/>
      </c>
      <c r="AU105" s="117">
        <f t="array" ref="AU105">IF(
    AND($H105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($H105 / 1000) * AU$10 * $BA$4 * 0.25
    ),
    0
)
+
IF(
    $N105 &lt; 0.875,
    MAX(0, MIN(($H105 / 1000) * AU$10 * $BA$4, AU$11 * 0.876) - (AU$11 * $N105)) * 0.25,
    0
)</f>
        <v/>
      </c>
      <c r="AV105" s="117">
        <f t="array" ref="AV105">IF(
    AND($H105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($H105 / 1000) * AV$10 * $BA$4 * 0.25
    ),
    0
)
+
IF(
    $N105 &lt; 0.875,
    MAX(0, MIN(($H105 / 1000) * AV$10 * $BA$4, AV$11 * 0.876) - (AV$11 * $N105)) * 0.25,
    0
)</f>
        <v/>
      </c>
      <c r="AW105" s="117">
        <f t="array" ref="AW105">IF(
    AND($H105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($H105 / 1000) * AW$10 * $BA$4 * 0.25
    ),
    0
)
+
IF(
    $N105 &lt; 0.875,
    MAX(0, MIN(($H105 / 1000) * AW$10 * $BA$4, AW$11 * 0.876) - (AW$11 * $N105)) * 0.25,
    0
)</f>
        <v/>
      </c>
      <c r="AX105" s="117">
        <f t="array" ref="AX105">IF(
    AND($H105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($H105 / 1000) * AX$10 * $BA$4 * 0.25
    ),
    0
)
+
IF(
    $N105 &lt; 0.875,
    MAX(0, MIN(($H105 / 1000) * AX$10 * $BA$4, AX$11 * 0.876) - (AX$11 * $N105)) * 0.25,
    0
)</f>
        <v/>
      </c>
      <c r="AY105" s="117">
        <f t="array" ref="AY105">IF(
    AND($H105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($H105 / 1000) * AY$10 * $BA$4 * 0.25
    ),
    0
)
+
IF(
    $N105 &lt; 0.875,
    MAX(0, MIN(($H105 / 1000) * AY$10 * $BA$4, AY$11 * 0.876) - (AY$11 * $N105)) * 0.25,
    0
)</f>
        <v/>
      </c>
      <c r="AZ105" s="117">
        <f t="array" ref="AZ105">IF(
    AND($H105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($H105 / 1000) * AZ$10 * $BA$4 * 0.25
    ),
    0
)
+
IF(
    $N105 &lt; 0.875,
    MAX(0, MIN(($H105 / 1000) * AZ$10 * $BA$4, AZ$11 * 0.876) - (AZ$11 * $N105)) * 0.25,
    0
)</f>
        <v/>
      </c>
      <c r="BA105" s="119">
        <f>SUM(TabellaMar2026[[#This Row],[Colonna54]:[Colonna53]])</f>
        <v/>
      </c>
    </row>
    <row r="106">
      <c r="A106" s="112" t="n">
        <v>46143</v>
      </c>
      <c r="B106" t="inlineStr">
        <is>
          <t>22:45:00.000</t>
        </is>
      </c>
      <c r="C106" s="2" t="n">
        <v>-2</v>
      </c>
      <c r="D106" s="113" t="n">
        <v>-0.0005</v>
      </c>
      <c r="E106" s="113" t="n">
        <v>-2</v>
      </c>
      <c r="F106" s="113" t="n">
        <v>-0.0005</v>
      </c>
      <c r="G106" s="113">
        <f>IFERROR((D106+F106)/2, 0)</f>
        <v/>
      </c>
      <c r="H106" s="114">
        <f>IFERROR(IF(AVERAGE(C106,E106)&gt;$BA$7,AVERAGE(C106,E106),0), 0)</f>
        <v/>
      </c>
      <c r="I106" s="114">
        <f>IFERROR(IF(AND(D106=0,F106=0),0,IF(H106&gt;$BA$6,MAX(D106,F106),G106)), 0)</f>
        <v/>
      </c>
      <c r="J106" s="113">
        <f>IFERROR(IF(AND(D106&gt;0,F106&gt;0),ABS(D106-F106)/AVERAGE(D106,F106),0), 0)</f>
        <v/>
      </c>
      <c r="K106" s="113" t="n">
        <v>30141.3</v>
      </c>
      <c r="L106" s="113" t="n">
        <v>30141.3</v>
      </c>
      <c r="M106" s="115">
        <f>IFERROR((L106-K106)*1000, 0)</f>
        <v/>
      </c>
      <c r="N106" s="113" t="n">
        <v>0.8759999999999999</v>
      </c>
      <c r="O106" s="115">
        <f t="array" ref="O106">IF(
    AND($H106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($H106 / 1000) * O$10 * $BA$4 * 0.25
    ),
    0
)
+
IF(
    $N106 &lt; 0.875,
    MAX(0, MIN(($H106 / 1000) * O$10 * $BA$4, O$11 * 0.876) - (O$11 * $N106)) * 0.25,
    0
)</f>
        <v/>
      </c>
      <c r="P106" s="115">
        <f t="array" ref="P106">IF(
    AND($H106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($H106 / 1000) * P$10 * $BA$4 * 0.25
    ),
    0
)
+
IF(
    $N106 &lt; 0.875,
    MAX(0, MIN(($H106 / 1000) * P$10 * $BA$4, P$11 * 0.876) - (P$11 * $N106)) * 0.25,
    0
)</f>
        <v/>
      </c>
      <c r="Q106" s="115">
        <f t="array" ref="Q106">IF(
    AND($H106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($H106 / 1000) * Q$10 * $BA$4 * 0.25
    ),
    0
)
+
IF(
    $N106 &lt; 0.875,
    MAX(0, MIN(($H106 / 1000) * Q$10 * $BA$4, Q$11 * 0.876) - (Q$11 * $N106)) * 0.25,
    0
)</f>
        <v/>
      </c>
      <c r="R106" s="115">
        <f t="array" ref="R106">IF(
    AND($H106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($H106 / 1000) * R$10 * $BA$4 * 0.25
    ),
    0
)
+
IF(
    $N106 &lt; 0.875,
    MAX(0, MIN(($H106 / 1000) * R$10 * $BA$4, R$11 * 0.876) - (R$11 * $N106)) * 0.25,
    0
)</f>
        <v/>
      </c>
      <c r="S106" s="115">
        <f t="array" ref="S106">IF(
    AND($H106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($H106 / 1000) * S$10 * $BA$4 * 0.25
    ),
    0
)
+
IF(
    $N106 &lt; 0.875,
    MAX(0, MIN(($H106 / 1000) * S$10 * $BA$4, S$11 * 0.876) - (S$11 * $N106)) * 0.25,
    0
)</f>
        <v/>
      </c>
      <c r="T106" s="115">
        <f t="array" ref="T106">IF(
    AND($H106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($H106 / 1000) * T$10 * $BA$4 * 0.25
    ),
    0
)
+
IF(
    $N106 &lt; 0.875,
    MAX(0, MIN(($H106 / 1000) * T$10 * $BA$4, T$11 * 0.876) - (T$11 * $N106)) * 0.25,
    0
)</f>
        <v/>
      </c>
      <c r="U106" s="115">
        <f t="array" ref="U106">IF(
    AND($H106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($H106 / 1000) * U$10 * $BA$4 * 0.25
    ),
    0
)
+
IF(
    $N106 &lt; 0.875,
    MAX(0, MIN(($H106 / 1000) * U$10 * $BA$4, U$11 * 0.876) - (U$11 * $N106)) * 0.25,
    0
)</f>
        <v/>
      </c>
      <c r="V106" s="115">
        <f t="array" ref="V106">IF(
    AND($H106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($H106 / 1000) * V$10 * $BA$4 * 0.25
    ),
    0
)
+
IF(
    $N106 &lt; 0.875,
    MAX(0, MIN(($H106 / 1000) * V$10 * $BA$4, V$11 * 0.876) - (V$11 * $N106)) * 0.25,
    0
)</f>
        <v/>
      </c>
      <c r="W106" s="115">
        <f t="array" ref="W106">IF(
    AND($H106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($H106 / 1000) * W$10 * $BA$4 * 0.25
    ),
    0
)
+
IF(
    $N106 &lt; 0.875,
    MAX(0, MIN(($H106 / 1000) * W$10 * $BA$4, W$11 * 0.876) - (W$11 * $N106)) * 0.25,
    0
)</f>
        <v/>
      </c>
      <c r="X106" s="115">
        <f t="array" ref="X106">IF(
    AND($H106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($H106 / 1000) * X$10 * $BA$4 * 0.25
    ),
    0
)
+
IF(
    $N106 &lt; 0.875,
    MAX(0, MIN(($H106 / 1000) * X$10 * $BA$4, X$11 * 0.876) - (X$11 * $N106)) * 0.25,
    0
)</f>
        <v/>
      </c>
      <c r="Y106" s="115">
        <f t="array" ref="Y106">IF(
    AND($H106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($H106 / 1000) * Y$10 * $BA$4 * 0.25
    ),
    0
)
+
IF(
    $N106 &lt; 0.875,
    MAX(0, MIN(($H106 / 1000) * Y$10 * $BA$4, Y$11 * 0.876) - (Y$11 * $N106)) * 0.25,
    0
)</f>
        <v/>
      </c>
      <c r="Z106" s="115">
        <f t="array" ref="Z106">IF(
    AND($H106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($H106 / 1000) * Z$10 * $BA$4 * 0.25
    ),
    0
)
+
IF(
    $N106 &lt; 0.875,
    MAX(0, MIN(($H106 / 1000) * Z$10 * $BA$4, Z$11 * 0.876) - (Z$11 * $N106)) * 0.25,
    0
)</f>
        <v/>
      </c>
      <c r="AA106" s="116">
        <f>SUM(TabellaMar2026[[#This Row],[Colonna24]:[Colonna20]])</f>
        <v/>
      </c>
      <c r="AB106" s="117">
        <f>IF(
    AND($H106 &gt; $BA$7, Tabella01MarzoInverter[[#This Row],[Active power TX2-INV-1]] &lt;= 0, Tabella01MarzoInverter[[#This Row],[TX2 - Average Power]] &lt;= 0),
    MIN(($H106 / 1000) * AB$10 * $BA$4, AB$11 * 0.876) * 0.25,
    IF(
        AND($H106 &gt; $BA$7, Tabella01MarzoInverter[[#This Row],[Active power TX2-INV-1]] &lt;= 0),
        Tabella01MarzoInverter[[#This Row],[TX2 - Average Power]] * 0.25,
        0
    )
    +
    IF(
        $N106 &lt; 0.875,
        MAX(0, MIN(($H106 / 1000) * AB$10 * $BA$4, AB$11 * 0.876) - (AB$11 * $N106)) * 0.25,
        0
    )
)</f>
        <v/>
      </c>
      <c r="AC106" s="117">
        <f>IF(
    AND($H106 &gt; $BA$7, Tabella01MarzoInverter[[#This Row],[Active power TX2-INV-2]] &lt;= 0, Tabella01MarzoInverter[[#This Row],[TX2 - Max Power]] &lt;= 0),
    MIN(($H106 / 1000) * AC$10 * $BA$4, AC$11 * 0.876) * 0.25,
    IF(
        AND($H106 &gt; $BA$7, Tabella01MarzoInverter[[#This Row],[Active power TX2-INV-2]] &lt;= 0),
        Tabella01MarzoInverter[[#This Row],[TX2 - Max Power]] * 0.25,
        0
    )
    +
    IF(
        $N106 &lt; 0.875,
        MAX(0, MIN(($H106 / 1000) * AC$10 * $BA$4, AC$11 * 0.876) - (AC$11 * $N106)) * 0.25,
        0
    )
)</f>
        <v/>
      </c>
      <c r="AD106" s="117">
        <f>IF(
    AND($H106 &gt; $BA$7, Tabella01MarzoInverter[[#This Row],[Active power TX2-INV-3]] &lt;= 0, Tabella01MarzoInverter[[#This Row],[TX2 - Min Power]] &lt;= 0),
    MIN(($H106 / 1000) * AD$10 * $BA$4, AD$11 * 0.876) * 0.25,
    IF(
        AND($H106 &gt; $BA$7, Tabella01MarzoInverter[[#This Row],[Active power TX2-INV-3]] &lt;= 0),
        Tabella01MarzoInverter[[#This Row],[TX2 - Min Power]] * 0.25,
        0
    )
    +
    IF(
        $N106 &lt; 0.875,
        MAX(0, MIN(($H106 / 1000) * AD$10 * $BA$4, AD$11 * 0.876) - (AD$11 * $N106)) * 0.25,
        0
    )
)</f>
        <v/>
      </c>
      <c r="AE106" s="117">
        <f>IF(
    AND($H106 &gt; $BA$7, Tabella01MarzoInverter[[#This Row],[Active power TX2-INV-4]] &lt;= 0, Tabella01MarzoInverter[[#This Row],[Active power TX3-INV-1]] &lt;= 0),
    MIN(($H106 / 1000) * AE$10 * $BA$4, AE$11 * 0.876) * 0.25,
    IF(
        AND($H106 &gt; $BA$7, Tabella01MarzoInverter[[#This Row],[Active power TX2-INV-4]] &lt;= 0),
        Tabella01MarzoInverter[[#This Row],[Active power TX3-INV-1]] * 0.25,
        0
    )
    +
    IF(
        $N106 &lt; 0.875,
        MAX(0, MIN(($H106 / 1000) * AE$10 * $BA$4, AE$11 * 0.876) - (AE$11 * $N106)) * 0.25,
        0
    )
)</f>
        <v/>
      </c>
      <c r="AF106" s="117">
        <f>IF(
    AND($H106 &gt; $BA$7, Tabella01MarzoInverter[[#This Row],[Active power TX2-INV-5]] &lt;= 0, Tabella01MarzoInverter[[#This Row],[Active power TX3-INV-2]] &lt;= 0),
    MIN(($H106 / 1000) * AF$10 * $BA$4, AF$11 * 0.876) * 0.25,
    IF(
        AND($H106 &gt; $BA$7, Tabella01MarzoInverter[[#This Row],[Active power TX2-INV-5]] &lt;= 0),
        Tabella01MarzoInverter[[#This Row],[Active power TX3-INV-2]] * 0.25,
        0
    )
    +
    IF(
        $N106 &lt; 0.875,
        MAX(0, MIN(($H106 / 1000) * AF$10 * $BA$4, AF$11 * 0.876) - (AF$11 * $N106)) * 0.25,
        0
    )
)</f>
        <v/>
      </c>
      <c r="AG106" s="117">
        <f>IF(
    AND($H106 &gt; $BA$7, Tabella01MarzoInverter[[#This Row],[Active power TX2-INV-6]] &lt;= 0, Tabella01MarzoInverter[[#This Row],[Active power TX3-INV-3]] &lt;= 0),
    MIN(($H106 / 1000) * AG$10 * $BA$4, AG$11 * 0.876) * 0.25,
    IF(
        AND($H106 &gt; $BA$7, Tabella01MarzoInverter[[#This Row],[Active power TX2-INV-6]] &lt;= 0),
        Tabella01MarzoInverter[[#This Row],[Active power TX3-INV-3]] * 0.25,
        0
    )
    +
    IF(
        $N106 &lt; 0.875,
        MAX(0, MIN(($H106 / 1000) * AG$10 * $BA$4, AG$11 * 0.876) - (AG$11 * $N106)) * 0.25,
        0
    )
)</f>
        <v/>
      </c>
      <c r="AH106" s="117">
        <f>IF(
    AND($H106 &gt; $BA$7, Tabella01MarzoInverter[[#This Row],[Active power TX2-INV-7]] &lt;= 0, Tabella01MarzoInverter[[#This Row],[Active power TX3-INV-4]] &lt;= 0),
    MIN(($H106 / 1000) * AH$10 * $BA$4, AH$11 * 0.876) * 0.25,
    IF(
        AND($H106 &gt; $BA$7, Tabella01MarzoInverter[[#This Row],[Active power TX2-INV-7]] &lt;= 0),
        Tabella01MarzoInverter[[#This Row],[Active power TX3-INV-4]] * 0.25,
        0
    )
    +
    IF(
        $N106 &lt; 0.875,
        MAX(0, MIN(($H106 / 1000) * AH$10 * $BA$4, AH$11 * 0.876) - (AH$11 * $N106)) * 0.25,
        0
    )
)</f>
        <v/>
      </c>
      <c r="AI106" s="117">
        <f>IF(
    AND($H106 &gt; $BA$7, Tabella01MarzoInverter[[#This Row],[Active power TX2-INV-8]] &lt;= 0, Tabella01MarzoInverter[[#This Row],[Active power TX3-INV-5]] &lt;= 0),
    MIN(($H106 / 1000) * AI$10 * $BA$4, AI$11 * 0.876) * 0.25,
    IF(
        AND($H106 &gt; $BA$7, Tabella01MarzoInverter[[#This Row],[Active power TX2-INV-8]] &lt;= 0),
        Tabella01MarzoInverter[[#This Row],[Active power TX3-INV-5]] * 0.25,
        0
    )
    +
    IF(
        $N106 &lt; 0.875,
        MAX(0, MIN(($H106 / 1000) * AI$10 * $BA$4, AI$11 * 0.876) - (AI$11 * $N106)) * 0.25,
        0
    )
)</f>
        <v/>
      </c>
      <c r="AJ106" s="117">
        <f>IF(
    AND($H106 &gt; $BA$7, Tabella01MarzoInverter[[#This Row],[Active power TX2-INV-9]] &lt;= 0, Tabella01MarzoInverter[[#This Row],[Active power TX3-INV-6]] &lt;= 0),
    MIN(($H106 / 1000) * AJ$10 * $BA$4, AJ$11 * 0.876) * 0.25,
    IF(
        AND($H106 &gt; $BA$7, Tabella01MarzoInverter[[#This Row],[Active power TX2-INV-9]] &lt;= 0),
        Tabella01MarzoInverter[[#This Row],[Active power TX3-INV-6]] * 0.25,
        0
    )
    +
    IF(
        $N106 &lt; 0.875,
        MAX(0, MIN(($H106 / 1000) * AJ$10 * $BA$4, AJ$11 * 0.876) - (AJ$11 * $N106)) * 0.25,
        0
    )
)</f>
        <v/>
      </c>
      <c r="AK106" s="117">
        <f>IF(
    AND($H106 &gt; $BA$7, Tabella01MarzoInverter[[#This Row],[Active power TX2-INV-10]] &lt;= 0, Tabella01MarzoInverter[[#This Row],[Active power TX3-INV-7]] &lt;= 0),
    MIN(($H106 / 1000) * AK$10 * $BA$4, AK$11 * 0.876) * 0.25,
    IF(
        AND($H106 &gt; $BA$7, Tabella01MarzoInverter[[#This Row],[Active power TX2-INV-10]] &lt;= 0),
        Tabella01MarzoInverter[[#This Row],[Active power TX3-INV-7]] * 0.25,
        0
    )
    +
    IF(
        $N106 &lt; 0.875,
        MAX(0, MIN(($H106 / 1000) * AK$10 * $BA$4, AK$11 * 0.876) - (AK$11 * $N106)) * 0.25,
        0
    )
)</f>
        <v/>
      </c>
      <c r="AL106" s="117">
        <f>IF(
    AND($H106 &gt; $BA$7, Tabella01MarzoInverter[[#This Row],[Active power TX2-INV-11]] &lt;= 0, Tabella01MarzoInverter[[#This Row],[Active power TX3-INV-8]] &lt;= 0),
    MIN(($H106 / 1000) * AL$10 * $BA$4, AL$11 * 0.876) * 0.25,
    IF(
        AND($H106 &gt; $BA$7, Tabella01MarzoInverter[[#This Row],[Active power TX2-INV-11]] &lt;= 0),
        Tabella01MarzoInverter[[#This Row],[Active power TX3-INV-8]] * 0.25,
        0
    )
    +
    IF(
        $N106 &lt; 0.875,
        MAX(0, MIN(($H106 / 1000) * AL$10 * $BA$4, AL$11 * 0.876) - (AL$11 * $N106)) * 0.25,
        0
    )
)</f>
        <v/>
      </c>
      <c r="AM106" s="117">
        <f>IF(
    AND($H106 &gt; $BA$7, Tabella01MarzoInverter[[#This Row],[Active power TX2-INV-12]] &lt;= 0, Tabella01MarzoInverter[[#This Row],[Active power TX3-INV-9]] &lt;= 0),
    MIN(($H106 / 1000) * AM$10 * $BA$4, AM$11 * 0.876) * 0.25,
    IF(
        AND($H106 &gt; $BA$7, Tabella01MarzoInverter[[#This Row],[Active power TX2-INV-12]] &lt;= 0),
        Tabella01MarzoInverter[[#This Row],[Active power TX3-INV-9]] * 0.25,
        0
    )
    +
    IF(
        $N106 &lt; 0.875,
        MAX(0, MIN(($H106 / 1000) * AM$10 * $BA$4, AM$11 * 0.876) - (AM$11 * $N106)) * 0.25,
        0
    )
)</f>
        <v/>
      </c>
      <c r="AN106" s="118">
        <f>SUM(TabellaMar2026[[#This Row],[Colonna39]:[Colonna6]])</f>
        <v/>
      </c>
      <c r="AO106" s="117">
        <f t="array" ref="AO106">IF(
    AND($H106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($H106 / 1000) * AO$10 * $BA$4 * 0.25
    ),
    0
)
+
IF(
    $N106 &lt; 0.875,
    MAX(0, MIN(($H106 / 1000) * AO$10 * $BA$4, AO$11 * 0.876) - (AO$11 * $N106)) * 0.25,
    0
)</f>
        <v/>
      </c>
      <c r="AP106" s="117">
        <f t="array" ref="AP106">IF(
    AND($H106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($H106 / 1000) * AP$10 * $BA$4 * 0.25
    ),
    0
)
+
IF(
    $N106 &lt; 0.875,
    MAX(0, MIN(($H106 / 1000) * AP$10 * $BA$4, AP$11 * 0.876) - (AP$11 * $N106)) * 0.25,
    0
)</f>
        <v/>
      </c>
      <c r="AQ106" s="117">
        <f t="array" ref="AQ106">IF(
    AND($H106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($H106 / 1000) * AQ$10 * $BA$4 * 0.25
    ),
    0
)
+
IF(
    $N106 &lt; 0.875,
    MAX(0, MIN(($H106 / 1000) * AQ$10 * $BA$4, AQ$11 * 0.876) - (AQ$11 * $N106)) * 0.25,
    0
)</f>
        <v/>
      </c>
      <c r="AR106" s="117">
        <f t="array" ref="AR106">IF(
    AND($H106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($H106 / 1000) * AR$10 * $BA$4 * 0.25
    ),
    0
)
+
IF(
    $N106 &lt; 0.875,
    MAX(0, MIN(($H106 / 1000) * AR$10 * $BA$4, AR$11 * 0.876) - (AR$11 * $N106)) * 0.25,
    0
)</f>
        <v/>
      </c>
      <c r="AS106" s="117">
        <f t="array" ref="AS106">IF(
    AND($H106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($H106 / 1000) * AS$10 * $BA$4 * 0.25
    ),
    0
)
+
IF(
    $N106 &lt; 0.875,
    MAX(0, MIN(($H106 / 1000) * AS$10 * $BA$4, AS$11 * 0.876) - (AS$11 * $N106)) * 0.25,
    0
)</f>
        <v/>
      </c>
      <c r="AT106" s="117">
        <f t="array" ref="AT106">IF(
    AND($H106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($H106 / 1000) * AT$10 * $BA$4 * 0.25
    ),
    0
)
+
IF(
    $N106 &lt; 0.875,
    MAX(0, MIN(($H106 / 1000) * AT$10 * $BA$4, AT$11 * 0.876) - (AT$11 * $N106)) * 0.25,
    0
)</f>
        <v/>
      </c>
      <c r="AU106" s="117">
        <f t="array" ref="AU106">IF(
    AND($H106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($H106 / 1000) * AU$10 * $BA$4 * 0.25
    ),
    0
)
+
IF(
    $N106 &lt; 0.875,
    MAX(0, MIN(($H106 / 1000) * AU$10 * $BA$4, AU$11 * 0.876) - (AU$11 * $N106)) * 0.25,
    0
)</f>
        <v/>
      </c>
      <c r="AV106" s="117">
        <f t="array" ref="AV106">IF(
    AND($H106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($H106 / 1000) * AV$10 * $BA$4 * 0.25
    ),
    0
)
+
IF(
    $N106 &lt; 0.875,
    MAX(0, MIN(($H106 / 1000) * AV$10 * $BA$4, AV$11 * 0.876) - (AV$11 * $N106)) * 0.25,
    0
)</f>
        <v/>
      </c>
      <c r="AW106" s="117">
        <f t="array" ref="AW106">IF(
    AND($H106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($H106 / 1000) * AW$10 * $BA$4 * 0.25
    ),
    0
)
+
IF(
    $N106 &lt; 0.875,
    MAX(0, MIN(($H106 / 1000) * AW$10 * $BA$4, AW$11 * 0.876) - (AW$11 * $N106)) * 0.25,
    0
)</f>
        <v/>
      </c>
      <c r="AX106" s="117">
        <f t="array" ref="AX106">IF(
    AND($H106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($H106 / 1000) * AX$10 * $BA$4 * 0.25
    ),
    0
)
+
IF(
    $N106 &lt; 0.875,
    MAX(0, MIN(($H106 / 1000) * AX$10 * $BA$4, AX$11 * 0.876) - (AX$11 * $N106)) * 0.25,
    0
)</f>
        <v/>
      </c>
      <c r="AY106" s="117">
        <f t="array" ref="AY106">IF(
    AND($H106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($H106 / 1000) * AY$10 * $BA$4 * 0.25
    ),
    0
)
+
IF(
    $N106 &lt; 0.875,
    MAX(0, MIN(($H106 / 1000) * AY$10 * $BA$4, AY$11 * 0.876) - (AY$11 * $N106)) * 0.25,
    0
)</f>
        <v/>
      </c>
      <c r="AZ106" s="117">
        <f t="array" ref="AZ106">IF(
    AND($H106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($H106 / 1000) * AZ$10 * $BA$4 * 0.25
    ),
    0
)
+
IF(
    $N106 &lt; 0.875,
    MAX(0, MIN(($H106 / 1000) * AZ$10 * $BA$4, AZ$11 * 0.876) - (AZ$11 * $N106)) * 0.25,
    0
)</f>
        <v/>
      </c>
      <c r="BA106" s="119">
        <f>SUM(TabellaMar2026[[#This Row],[Colonna54]:[Colonna53]])</f>
        <v/>
      </c>
    </row>
    <row r="107">
      <c r="A107" s="112" t="n">
        <v>46143</v>
      </c>
      <c r="B107" t="inlineStr">
        <is>
          <t>23:00:00.000</t>
        </is>
      </c>
      <c r="C107" s="2" t="n">
        <v>-3</v>
      </c>
      <c r="D107" s="113" t="n">
        <v>-0.00075</v>
      </c>
      <c r="E107" s="113" t="n">
        <v>-2.4</v>
      </c>
      <c r="F107" s="113" t="n">
        <v>-0.0005999999999999999</v>
      </c>
      <c r="G107" s="113">
        <f>IFERROR((D107+F107)/2, 0)</f>
        <v/>
      </c>
      <c r="H107" s="114">
        <f>IFERROR(IF(AVERAGE(C107,E107)&gt;$BA$7,AVERAGE(C107,E107),0), 0)</f>
        <v/>
      </c>
      <c r="I107" s="114">
        <f>IFERROR(IF(AND(D107=0,F107=0),0,IF(H107&gt;$BA$6,MAX(D107,F107),G107)), 0)</f>
        <v/>
      </c>
      <c r="J107" s="113">
        <f>IFERROR(IF(AND(D107&gt;0,F107&gt;0),ABS(D107-F107)/AVERAGE(D107,F107),0), 0)</f>
        <v/>
      </c>
      <c r="K107" s="113" t="n">
        <v>30141.3</v>
      </c>
      <c r="L107" s="113" t="n">
        <v>30141.3</v>
      </c>
      <c r="M107" s="115">
        <f>IFERROR((L107-K107)*1000, 0)</f>
        <v/>
      </c>
      <c r="N107" s="113" t="n">
        <v>0.8759999999999999</v>
      </c>
      <c r="O107" s="115">
        <f t="array" ref="O107">IF(
    AND($H107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($H107 / 1000) * O$10 * $BA$4 * 0.25
    ),
    0
)
+
IF(
    $N107 &lt; 0.875,
    MAX(0, MIN(($H107 / 1000) * O$10 * $BA$4, O$11 * 0.876) - (O$11 * $N107)) * 0.25,
    0
)</f>
        <v/>
      </c>
      <c r="P107" s="115">
        <f t="array" ref="P107">IF(
    AND($H107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($H107 / 1000) * P$10 * $BA$4 * 0.25
    ),
    0
)
+
IF(
    $N107 &lt; 0.875,
    MAX(0, MIN(($H107 / 1000) * P$10 * $BA$4, P$11 * 0.876) - (P$11 * $N107)) * 0.25,
    0
)</f>
        <v/>
      </c>
      <c r="Q107" s="115">
        <f t="array" ref="Q107">IF(
    AND($H107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($H107 / 1000) * Q$10 * $BA$4 * 0.25
    ),
    0
)
+
IF(
    $N107 &lt; 0.875,
    MAX(0, MIN(($H107 / 1000) * Q$10 * $BA$4, Q$11 * 0.876) - (Q$11 * $N107)) * 0.25,
    0
)</f>
        <v/>
      </c>
      <c r="R107" s="115">
        <f t="array" ref="R107">IF(
    AND($H107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($H107 / 1000) * R$10 * $BA$4 * 0.25
    ),
    0
)
+
IF(
    $N107 &lt; 0.875,
    MAX(0, MIN(($H107 / 1000) * R$10 * $BA$4, R$11 * 0.876) - (R$11 * $N107)) * 0.25,
    0
)</f>
        <v/>
      </c>
      <c r="S107" s="115">
        <f t="array" ref="S107">IF(
    AND($H107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($H107 / 1000) * S$10 * $BA$4 * 0.25
    ),
    0
)
+
IF(
    $N107 &lt; 0.875,
    MAX(0, MIN(($H107 / 1000) * S$10 * $BA$4, S$11 * 0.876) - (S$11 * $N107)) * 0.25,
    0
)</f>
        <v/>
      </c>
      <c r="T107" s="115">
        <f t="array" ref="T107">IF(
    AND($H107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($H107 / 1000) * T$10 * $BA$4 * 0.25
    ),
    0
)
+
IF(
    $N107 &lt; 0.875,
    MAX(0, MIN(($H107 / 1000) * T$10 * $BA$4, T$11 * 0.876) - (T$11 * $N107)) * 0.25,
    0
)</f>
        <v/>
      </c>
      <c r="U107" s="115">
        <f t="array" ref="U107">IF(
    AND($H107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($H107 / 1000) * U$10 * $BA$4 * 0.25
    ),
    0
)
+
IF(
    $N107 &lt; 0.875,
    MAX(0, MIN(($H107 / 1000) * U$10 * $BA$4, U$11 * 0.876) - (U$11 * $N107)) * 0.25,
    0
)</f>
        <v/>
      </c>
      <c r="V107" s="115">
        <f t="array" ref="V107">IF(
    AND($H107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($H107 / 1000) * V$10 * $BA$4 * 0.25
    ),
    0
)
+
IF(
    $N107 &lt; 0.875,
    MAX(0, MIN(($H107 / 1000) * V$10 * $BA$4, V$11 * 0.876) - (V$11 * $N107)) * 0.25,
    0
)</f>
        <v/>
      </c>
      <c r="W107" s="115">
        <f t="array" ref="W107">IF(
    AND($H107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($H107 / 1000) * W$10 * $BA$4 * 0.25
    ),
    0
)
+
IF(
    $N107 &lt; 0.875,
    MAX(0, MIN(($H107 / 1000) * W$10 * $BA$4, W$11 * 0.876) - (W$11 * $N107)) * 0.25,
    0
)</f>
        <v/>
      </c>
      <c r="X107" s="115">
        <f t="array" ref="X107">IF(
    AND($H107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($H107 / 1000) * X$10 * $BA$4 * 0.25
    ),
    0
)
+
IF(
    $N107 &lt; 0.875,
    MAX(0, MIN(($H107 / 1000) * X$10 * $BA$4, X$11 * 0.876) - (X$11 * $N107)) * 0.25,
    0
)</f>
        <v/>
      </c>
      <c r="Y107" s="115">
        <f t="array" ref="Y107">IF(
    AND($H107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($H107 / 1000) * Y$10 * $BA$4 * 0.25
    ),
    0
)
+
IF(
    $N107 &lt; 0.875,
    MAX(0, MIN(($H107 / 1000) * Y$10 * $BA$4, Y$11 * 0.876) - (Y$11 * $N107)) * 0.25,
    0
)</f>
        <v/>
      </c>
      <c r="Z107" s="115">
        <f t="array" ref="Z107">IF(
    AND($H107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($H107 / 1000) * Z$10 * $BA$4 * 0.25
    ),
    0
)
+
IF(
    $N107 &lt; 0.875,
    MAX(0, MIN(($H107 / 1000) * Z$10 * $BA$4, Z$11 * 0.876) - (Z$11 * $N107)) * 0.25,
    0
)</f>
        <v/>
      </c>
      <c r="AA107" s="116">
        <f>SUM(TabellaMar2026[[#This Row],[Colonna24]:[Colonna20]])</f>
        <v/>
      </c>
      <c r="AB107" s="117">
        <f>IF(
    AND($H107 &gt; $BA$7, Tabella01MarzoInverter[[#This Row],[Active power TX2-INV-1]] &lt;= 0, Tabella01MarzoInverter[[#This Row],[TX2 - Average Power]] &lt;= 0),
    MIN(($H107 / 1000) * AB$10 * $BA$4, AB$11 * 0.876) * 0.25,
    IF(
        AND($H107 &gt; $BA$7, Tabella01MarzoInverter[[#This Row],[Active power TX2-INV-1]] &lt;= 0),
        Tabella01MarzoInverter[[#This Row],[TX2 - Average Power]] * 0.25,
        0
    )
    +
    IF(
        $N107 &lt; 0.875,
        MAX(0, MIN(($H107 / 1000) * AB$10 * $BA$4, AB$11 * 0.876) - (AB$11 * $N107)) * 0.25,
        0
    )
)</f>
        <v/>
      </c>
      <c r="AC107" s="117">
        <f>IF(
    AND($H107 &gt; $BA$7, Tabella01MarzoInverter[[#This Row],[Active power TX2-INV-2]] &lt;= 0, Tabella01MarzoInverter[[#This Row],[TX2 - Max Power]] &lt;= 0),
    MIN(($H107 / 1000) * AC$10 * $BA$4, AC$11 * 0.876) * 0.25,
    IF(
        AND($H107 &gt; $BA$7, Tabella01MarzoInverter[[#This Row],[Active power TX2-INV-2]] &lt;= 0),
        Tabella01MarzoInverter[[#This Row],[TX2 - Max Power]] * 0.25,
        0
    )
    +
    IF(
        $N107 &lt; 0.875,
        MAX(0, MIN(($H107 / 1000) * AC$10 * $BA$4, AC$11 * 0.876) - (AC$11 * $N107)) * 0.25,
        0
    )
)</f>
        <v/>
      </c>
      <c r="AD107" s="117">
        <f>IF(
    AND($H107 &gt; $BA$7, Tabella01MarzoInverter[[#This Row],[Active power TX2-INV-3]] &lt;= 0, Tabella01MarzoInverter[[#This Row],[TX2 - Min Power]] &lt;= 0),
    MIN(($H107 / 1000) * AD$10 * $BA$4, AD$11 * 0.876) * 0.25,
    IF(
        AND($H107 &gt; $BA$7, Tabella01MarzoInverter[[#This Row],[Active power TX2-INV-3]] &lt;= 0),
        Tabella01MarzoInverter[[#This Row],[TX2 - Min Power]] * 0.25,
        0
    )
    +
    IF(
        $N107 &lt; 0.875,
        MAX(0, MIN(($H107 / 1000) * AD$10 * $BA$4, AD$11 * 0.876) - (AD$11 * $N107)) * 0.25,
        0
    )
)</f>
        <v/>
      </c>
      <c r="AE107" s="117">
        <f>IF(
    AND($H107 &gt; $BA$7, Tabella01MarzoInverter[[#This Row],[Active power TX2-INV-4]] &lt;= 0, Tabella01MarzoInverter[[#This Row],[Active power TX3-INV-1]] &lt;= 0),
    MIN(($H107 / 1000) * AE$10 * $BA$4, AE$11 * 0.876) * 0.25,
    IF(
        AND($H107 &gt; $BA$7, Tabella01MarzoInverter[[#This Row],[Active power TX2-INV-4]] &lt;= 0),
        Tabella01MarzoInverter[[#This Row],[Active power TX3-INV-1]] * 0.25,
        0
    )
    +
    IF(
        $N107 &lt; 0.875,
        MAX(0, MIN(($H107 / 1000) * AE$10 * $BA$4, AE$11 * 0.876) - (AE$11 * $N107)) * 0.25,
        0
    )
)</f>
        <v/>
      </c>
      <c r="AF107" s="117">
        <f>IF(
    AND($H107 &gt; $BA$7, Tabella01MarzoInverter[[#This Row],[Active power TX2-INV-5]] &lt;= 0, Tabella01MarzoInverter[[#This Row],[Active power TX3-INV-2]] &lt;= 0),
    MIN(($H107 / 1000) * AF$10 * $BA$4, AF$11 * 0.876) * 0.25,
    IF(
        AND($H107 &gt; $BA$7, Tabella01MarzoInverter[[#This Row],[Active power TX2-INV-5]] &lt;= 0),
        Tabella01MarzoInverter[[#This Row],[Active power TX3-INV-2]] * 0.25,
        0
    )
    +
    IF(
        $N107 &lt; 0.875,
        MAX(0, MIN(($H107 / 1000) * AF$10 * $BA$4, AF$11 * 0.876) - (AF$11 * $N107)) * 0.25,
        0
    )
)</f>
        <v/>
      </c>
      <c r="AG107" s="117">
        <f>IF(
    AND($H107 &gt; $BA$7, Tabella01MarzoInverter[[#This Row],[Active power TX2-INV-6]] &lt;= 0, Tabella01MarzoInverter[[#This Row],[Active power TX3-INV-3]] &lt;= 0),
    MIN(($H107 / 1000) * AG$10 * $BA$4, AG$11 * 0.876) * 0.25,
    IF(
        AND($H107 &gt; $BA$7, Tabella01MarzoInverter[[#This Row],[Active power TX2-INV-6]] &lt;= 0),
        Tabella01MarzoInverter[[#This Row],[Active power TX3-INV-3]] * 0.25,
        0
    )
    +
    IF(
        $N107 &lt; 0.875,
        MAX(0, MIN(($H107 / 1000) * AG$10 * $BA$4, AG$11 * 0.876) - (AG$11 * $N107)) * 0.25,
        0
    )
)</f>
        <v/>
      </c>
      <c r="AH107" s="117">
        <f>IF(
    AND($H107 &gt; $BA$7, Tabella01MarzoInverter[[#This Row],[Active power TX2-INV-7]] &lt;= 0, Tabella01MarzoInverter[[#This Row],[Active power TX3-INV-4]] &lt;= 0),
    MIN(($H107 / 1000) * AH$10 * $BA$4, AH$11 * 0.876) * 0.25,
    IF(
        AND($H107 &gt; $BA$7, Tabella01MarzoInverter[[#This Row],[Active power TX2-INV-7]] &lt;= 0),
        Tabella01MarzoInverter[[#This Row],[Active power TX3-INV-4]] * 0.25,
        0
    )
    +
    IF(
        $N107 &lt; 0.875,
        MAX(0, MIN(($H107 / 1000) * AH$10 * $BA$4, AH$11 * 0.876) - (AH$11 * $N107)) * 0.25,
        0
    )
)</f>
        <v/>
      </c>
      <c r="AI107" s="117">
        <f>IF(
    AND($H107 &gt; $BA$7, Tabella01MarzoInverter[[#This Row],[Active power TX2-INV-8]] &lt;= 0, Tabella01MarzoInverter[[#This Row],[Active power TX3-INV-5]] &lt;= 0),
    MIN(($H107 / 1000) * AI$10 * $BA$4, AI$11 * 0.876) * 0.25,
    IF(
        AND($H107 &gt; $BA$7, Tabella01MarzoInverter[[#This Row],[Active power TX2-INV-8]] &lt;= 0),
        Tabella01MarzoInverter[[#This Row],[Active power TX3-INV-5]] * 0.25,
        0
    )
    +
    IF(
        $N107 &lt; 0.875,
        MAX(0, MIN(($H107 / 1000) * AI$10 * $BA$4, AI$11 * 0.876) - (AI$11 * $N107)) * 0.25,
        0
    )
)</f>
        <v/>
      </c>
      <c r="AJ107" s="117">
        <f>IF(
    AND($H107 &gt; $BA$7, Tabella01MarzoInverter[[#This Row],[Active power TX2-INV-9]] &lt;= 0, Tabella01MarzoInverter[[#This Row],[Active power TX3-INV-6]] &lt;= 0),
    MIN(($H107 / 1000) * AJ$10 * $BA$4, AJ$11 * 0.876) * 0.25,
    IF(
        AND($H107 &gt; $BA$7, Tabella01MarzoInverter[[#This Row],[Active power TX2-INV-9]] &lt;= 0),
        Tabella01MarzoInverter[[#This Row],[Active power TX3-INV-6]] * 0.25,
        0
    )
    +
    IF(
        $N107 &lt; 0.875,
        MAX(0, MIN(($H107 / 1000) * AJ$10 * $BA$4, AJ$11 * 0.876) - (AJ$11 * $N107)) * 0.25,
        0
    )
)</f>
        <v/>
      </c>
      <c r="AK107" s="117">
        <f>IF(
    AND($H107 &gt; $BA$7, Tabella01MarzoInverter[[#This Row],[Active power TX2-INV-10]] &lt;= 0, Tabella01MarzoInverter[[#This Row],[Active power TX3-INV-7]] &lt;= 0),
    MIN(($H107 / 1000) * AK$10 * $BA$4, AK$11 * 0.876) * 0.25,
    IF(
        AND($H107 &gt; $BA$7, Tabella01MarzoInverter[[#This Row],[Active power TX2-INV-10]] &lt;= 0),
        Tabella01MarzoInverter[[#This Row],[Active power TX3-INV-7]] * 0.25,
        0
    )
    +
    IF(
        $N107 &lt; 0.875,
        MAX(0, MIN(($H107 / 1000) * AK$10 * $BA$4, AK$11 * 0.876) - (AK$11 * $N107)) * 0.25,
        0
    )
)</f>
        <v/>
      </c>
      <c r="AL107" s="117">
        <f>IF(
    AND($H107 &gt; $BA$7, Tabella01MarzoInverter[[#This Row],[Active power TX2-INV-11]] &lt;= 0, Tabella01MarzoInverter[[#This Row],[Active power TX3-INV-8]] &lt;= 0),
    MIN(($H107 / 1000) * AL$10 * $BA$4, AL$11 * 0.876) * 0.25,
    IF(
        AND($H107 &gt; $BA$7, Tabella01MarzoInverter[[#This Row],[Active power TX2-INV-11]] &lt;= 0),
        Tabella01MarzoInverter[[#This Row],[Active power TX3-INV-8]] * 0.25,
        0
    )
    +
    IF(
        $N107 &lt; 0.875,
        MAX(0, MIN(($H107 / 1000) * AL$10 * $BA$4, AL$11 * 0.876) - (AL$11 * $N107)) * 0.25,
        0
    )
)</f>
        <v/>
      </c>
      <c r="AM107" s="117">
        <f>IF(
    AND($H107 &gt; $BA$7, Tabella01MarzoInverter[[#This Row],[Active power TX2-INV-12]] &lt;= 0, Tabella01MarzoInverter[[#This Row],[Active power TX3-INV-9]] &lt;= 0),
    MIN(($H107 / 1000) * AM$10 * $BA$4, AM$11 * 0.876) * 0.25,
    IF(
        AND($H107 &gt; $BA$7, Tabella01MarzoInverter[[#This Row],[Active power TX2-INV-12]] &lt;= 0),
        Tabella01MarzoInverter[[#This Row],[Active power TX3-INV-9]] * 0.25,
        0
    )
    +
    IF(
        $N107 &lt; 0.875,
        MAX(0, MIN(($H107 / 1000) * AM$10 * $BA$4, AM$11 * 0.876) - (AM$11 * $N107)) * 0.25,
        0
    )
)</f>
        <v/>
      </c>
      <c r="AN107" s="118">
        <f>SUM(TabellaMar2026[[#This Row],[Colonna39]:[Colonna6]])</f>
        <v/>
      </c>
      <c r="AO107" s="117">
        <f t="array" ref="AO107">IF(
    AND($H107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($H107 / 1000) * AO$10 * $BA$4 * 0.25
    ),
    0
)
+
IF(
    $N107 &lt; 0.875,
    MAX(0, MIN(($H107 / 1000) * AO$10 * $BA$4, AO$11 * 0.876) - (AO$11 * $N107)) * 0.25,
    0
)</f>
        <v/>
      </c>
      <c r="AP107" s="117">
        <f t="array" ref="AP107">IF(
    AND($H107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($H107 / 1000) * AP$10 * $BA$4 * 0.25
    ),
    0
)
+
IF(
    $N107 &lt; 0.875,
    MAX(0, MIN(($H107 / 1000) * AP$10 * $BA$4, AP$11 * 0.876) - (AP$11 * $N107)) * 0.25,
    0
)</f>
        <v/>
      </c>
      <c r="AQ107" s="117">
        <f t="array" ref="AQ107">IF(
    AND($H107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($H107 / 1000) * AQ$10 * $BA$4 * 0.25
    ),
    0
)
+
IF(
    $N107 &lt; 0.875,
    MAX(0, MIN(($H107 / 1000) * AQ$10 * $BA$4, AQ$11 * 0.876) - (AQ$11 * $N107)) * 0.25,
    0
)</f>
        <v/>
      </c>
      <c r="AR107" s="117">
        <f t="array" ref="AR107">IF(
    AND($H107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($H107 / 1000) * AR$10 * $BA$4 * 0.25
    ),
    0
)
+
IF(
    $N107 &lt; 0.875,
    MAX(0, MIN(($H107 / 1000) * AR$10 * $BA$4, AR$11 * 0.876) - (AR$11 * $N107)) * 0.25,
    0
)</f>
        <v/>
      </c>
      <c r="AS107" s="117">
        <f t="array" ref="AS107">IF(
    AND($H107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($H107 / 1000) * AS$10 * $BA$4 * 0.25
    ),
    0
)
+
IF(
    $N107 &lt; 0.875,
    MAX(0, MIN(($H107 / 1000) * AS$10 * $BA$4, AS$11 * 0.876) - (AS$11 * $N107)) * 0.25,
    0
)</f>
        <v/>
      </c>
      <c r="AT107" s="117">
        <f t="array" ref="AT107">IF(
    AND($H107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($H107 / 1000) * AT$10 * $BA$4 * 0.25
    ),
    0
)
+
IF(
    $N107 &lt; 0.875,
    MAX(0, MIN(($H107 / 1000) * AT$10 * $BA$4, AT$11 * 0.876) - (AT$11 * $N107)) * 0.25,
    0
)</f>
        <v/>
      </c>
      <c r="AU107" s="117">
        <f t="array" ref="AU107">IF(
    AND($H107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($H107 / 1000) * AU$10 * $BA$4 * 0.25
    ),
    0
)
+
IF(
    $N107 &lt; 0.875,
    MAX(0, MIN(($H107 / 1000) * AU$10 * $BA$4, AU$11 * 0.876) - (AU$11 * $N107)) * 0.25,
    0
)</f>
        <v/>
      </c>
      <c r="AV107" s="117">
        <f t="array" ref="AV107">IF(
    AND($H107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($H107 / 1000) * AV$10 * $BA$4 * 0.25
    ),
    0
)
+
IF(
    $N107 &lt; 0.875,
    MAX(0, MIN(($H107 / 1000) * AV$10 * $BA$4, AV$11 * 0.876) - (AV$11 * $N107)) * 0.25,
    0
)</f>
        <v/>
      </c>
      <c r="AW107" s="117">
        <f t="array" ref="AW107">IF(
    AND($H107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($H107 / 1000) * AW$10 * $BA$4 * 0.25
    ),
    0
)
+
IF(
    $N107 &lt; 0.875,
    MAX(0, MIN(($H107 / 1000) * AW$10 * $BA$4, AW$11 * 0.876) - (AW$11 * $N107)) * 0.25,
    0
)</f>
        <v/>
      </c>
      <c r="AX107" s="117">
        <f t="array" ref="AX107">IF(
    AND($H107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($H107 / 1000) * AX$10 * $BA$4 * 0.25
    ),
    0
)
+
IF(
    $N107 &lt; 0.875,
    MAX(0, MIN(($H107 / 1000) * AX$10 * $BA$4, AX$11 * 0.876) - (AX$11 * $N107)) * 0.25,
    0
)</f>
        <v/>
      </c>
      <c r="AY107" s="117">
        <f t="array" ref="AY107">IF(
    AND($H107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($H107 / 1000) * AY$10 * $BA$4 * 0.25
    ),
    0
)
+
IF(
    $N107 &lt; 0.875,
    MAX(0, MIN(($H107 / 1000) * AY$10 * $BA$4, AY$11 * 0.876) - (AY$11 * $N107)) * 0.25,
    0
)</f>
        <v/>
      </c>
      <c r="AZ107" s="117">
        <f t="array" ref="AZ107">IF(
    AND($H107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($H107 / 1000) * AZ$10 * $BA$4 * 0.25
    ),
    0
)
+
IF(
    $N107 &lt; 0.875,
    MAX(0, MIN(($H107 / 1000) * AZ$10 * $BA$4, AZ$11 * 0.876) - (AZ$11 * $N107)) * 0.25,
    0
)</f>
        <v/>
      </c>
      <c r="BA107" s="119">
        <f>SUM(TabellaMar2026[[#This Row],[Colonna54]:[Colonna53]])</f>
        <v/>
      </c>
    </row>
    <row r="108">
      <c r="A108" s="112" t="n">
        <v>46143</v>
      </c>
      <c r="B108" t="inlineStr">
        <is>
          <t>23:15:00.000</t>
        </is>
      </c>
      <c r="C108" s="2" t="n">
        <v>-3</v>
      </c>
      <c r="D108" s="113" t="n">
        <v>-0.00075</v>
      </c>
      <c r="E108" s="113" t="n">
        <v>-3</v>
      </c>
      <c r="F108" s="113" t="n">
        <v>-0.00075</v>
      </c>
      <c r="G108" s="113">
        <f>IFERROR((D108+F108)/2, 0)</f>
        <v/>
      </c>
      <c r="H108" s="114">
        <f>IFERROR(IF(AVERAGE(C108,E108)&gt;$BA$7,AVERAGE(C108,E108),0), 0)</f>
        <v/>
      </c>
      <c r="I108" s="114">
        <f>IFERROR(IF(AND(D108=0,F108=0),0,IF(H108&gt;$BA$6,MAX(D108,F108),G108)), 0)</f>
        <v/>
      </c>
      <c r="J108" s="113">
        <f>IFERROR(IF(AND(D108&gt;0,F108&gt;0),ABS(D108-F108)/AVERAGE(D108,F108),0), 0)</f>
        <v/>
      </c>
      <c r="K108" s="113" t="n">
        <v>30141.3</v>
      </c>
      <c r="L108" s="113" t="n">
        <v>30141.3</v>
      </c>
      <c r="M108" s="115">
        <f>IFERROR((L108-K108)*1000, 0)</f>
        <v/>
      </c>
      <c r="N108" s="113" t="n">
        <v>0.8759999999999999</v>
      </c>
      <c r="O108" s="115">
        <f t="array" ref="O108">IF(
    AND($H108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($H108 / 1000) * O$10 * $BA$4 * 0.25
    ),
    0
)
+
IF(
    $N108 &lt; 0.875,
    MAX(0, MIN(($H108 / 1000) * O$10 * $BA$4, O$11 * 0.876) - (O$11 * $N108)) * 0.25,
    0
)</f>
        <v/>
      </c>
      <c r="P108" s="115">
        <f t="array" ref="P108">IF(
    AND($H108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($H108 / 1000) * P$10 * $BA$4 * 0.25
    ),
    0
)
+
IF(
    $N108 &lt; 0.875,
    MAX(0, MIN(($H108 / 1000) * P$10 * $BA$4, P$11 * 0.876) - (P$11 * $N108)) * 0.25,
    0
)</f>
        <v/>
      </c>
      <c r="Q108" s="115">
        <f t="array" ref="Q108">IF(
    AND($H108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($H108 / 1000) * Q$10 * $BA$4 * 0.25
    ),
    0
)
+
IF(
    $N108 &lt; 0.875,
    MAX(0, MIN(($H108 / 1000) * Q$10 * $BA$4, Q$11 * 0.876) - (Q$11 * $N108)) * 0.25,
    0
)</f>
        <v/>
      </c>
      <c r="R108" s="115">
        <f t="array" ref="R108">IF(
    AND($H108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($H108 / 1000) * R$10 * $BA$4 * 0.25
    ),
    0
)
+
IF(
    $N108 &lt; 0.875,
    MAX(0, MIN(($H108 / 1000) * R$10 * $BA$4, R$11 * 0.876) - (R$11 * $N108)) * 0.25,
    0
)</f>
        <v/>
      </c>
      <c r="S108" s="115">
        <f t="array" ref="S108">IF(
    AND($H108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($H108 / 1000) * S$10 * $BA$4 * 0.25
    ),
    0
)
+
IF(
    $N108 &lt; 0.875,
    MAX(0, MIN(($H108 / 1000) * S$10 * $BA$4, S$11 * 0.876) - (S$11 * $N108)) * 0.25,
    0
)</f>
        <v/>
      </c>
      <c r="T108" s="115">
        <f t="array" ref="T108">IF(
    AND($H108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($H108 / 1000) * T$10 * $BA$4 * 0.25
    ),
    0
)
+
IF(
    $N108 &lt; 0.875,
    MAX(0, MIN(($H108 / 1000) * T$10 * $BA$4, T$11 * 0.876) - (T$11 * $N108)) * 0.25,
    0
)</f>
        <v/>
      </c>
      <c r="U108" s="115">
        <f t="array" ref="U108">IF(
    AND($H108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($H108 / 1000) * U$10 * $BA$4 * 0.25
    ),
    0
)
+
IF(
    $N108 &lt; 0.875,
    MAX(0, MIN(($H108 / 1000) * U$10 * $BA$4, U$11 * 0.876) - (U$11 * $N108)) * 0.25,
    0
)</f>
        <v/>
      </c>
      <c r="V108" s="115">
        <f t="array" ref="V108">IF(
    AND($H108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($H108 / 1000) * V$10 * $BA$4 * 0.25
    ),
    0
)
+
IF(
    $N108 &lt; 0.875,
    MAX(0, MIN(($H108 / 1000) * V$10 * $BA$4, V$11 * 0.876) - (V$11 * $N108)) * 0.25,
    0
)</f>
        <v/>
      </c>
      <c r="W108" s="115">
        <f t="array" ref="W108">IF(
    AND($H108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($H108 / 1000) * W$10 * $BA$4 * 0.25
    ),
    0
)
+
IF(
    $N108 &lt; 0.875,
    MAX(0, MIN(($H108 / 1000) * W$10 * $BA$4, W$11 * 0.876) - (W$11 * $N108)) * 0.25,
    0
)</f>
        <v/>
      </c>
      <c r="X108" s="115">
        <f t="array" ref="X108">IF(
    AND($H108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($H108 / 1000) * X$10 * $BA$4 * 0.25
    ),
    0
)
+
IF(
    $N108 &lt; 0.875,
    MAX(0, MIN(($H108 / 1000) * X$10 * $BA$4, X$11 * 0.876) - (X$11 * $N108)) * 0.25,
    0
)</f>
        <v/>
      </c>
      <c r="Y108" s="115">
        <f t="array" ref="Y108">IF(
    AND($H108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($H108 / 1000) * Y$10 * $BA$4 * 0.25
    ),
    0
)
+
IF(
    $N108 &lt; 0.875,
    MAX(0, MIN(($H108 / 1000) * Y$10 * $BA$4, Y$11 * 0.876) - (Y$11 * $N108)) * 0.25,
    0
)</f>
        <v/>
      </c>
      <c r="Z108" s="115">
        <f t="array" ref="Z108">IF(
    AND($H108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($H108 / 1000) * Z$10 * $BA$4 * 0.25
    ),
    0
)
+
IF(
    $N108 &lt; 0.875,
    MAX(0, MIN(($H108 / 1000) * Z$10 * $BA$4, Z$11 * 0.876) - (Z$11 * $N108)) * 0.25,
    0
)</f>
        <v/>
      </c>
      <c r="AA108" s="116">
        <f>SUM(TabellaMar2026[[#This Row],[Colonna24]:[Colonna20]])</f>
        <v/>
      </c>
      <c r="AB108" s="117">
        <f>IF(
    AND($H108 &gt; $BA$7, Tabella01MarzoInverter[[#This Row],[Active power TX2-INV-1]] &lt;= 0, Tabella01MarzoInverter[[#This Row],[TX2 - Average Power]] &lt;= 0),
    MIN(($H108 / 1000) * AB$10 * $BA$4, AB$11 * 0.876) * 0.25,
    IF(
        AND($H108 &gt; $BA$7, Tabella01MarzoInverter[[#This Row],[Active power TX2-INV-1]] &lt;= 0),
        Tabella01MarzoInverter[[#This Row],[TX2 - Average Power]] * 0.25,
        0
    )
    +
    IF(
        $N108 &lt; 0.875,
        MAX(0, MIN(($H108 / 1000) * AB$10 * $BA$4, AB$11 * 0.876) - (AB$11 * $N108)) * 0.25,
        0
    )
)</f>
        <v/>
      </c>
      <c r="AC108" s="117">
        <f>IF(
    AND($H108 &gt; $BA$7, Tabella01MarzoInverter[[#This Row],[Active power TX2-INV-2]] &lt;= 0, Tabella01MarzoInverter[[#This Row],[TX2 - Max Power]] &lt;= 0),
    MIN(($H108 / 1000) * AC$10 * $BA$4, AC$11 * 0.876) * 0.25,
    IF(
        AND($H108 &gt; $BA$7, Tabella01MarzoInverter[[#This Row],[Active power TX2-INV-2]] &lt;= 0),
        Tabella01MarzoInverter[[#This Row],[TX2 - Max Power]] * 0.25,
        0
    )
    +
    IF(
        $N108 &lt; 0.875,
        MAX(0, MIN(($H108 / 1000) * AC$10 * $BA$4, AC$11 * 0.876) - (AC$11 * $N108)) * 0.25,
        0
    )
)</f>
        <v/>
      </c>
      <c r="AD108" s="117">
        <f>IF(
    AND($H108 &gt; $BA$7, Tabella01MarzoInverter[[#This Row],[Active power TX2-INV-3]] &lt;= 0, Tabella01MarzoInverter[[#This Row],[TX2 - Min Power]] &lt;= 0),
    MIN(($H108 / 1000) * AD$10 * $BA$4, AD$11 * 0.876) * 0.25,
    IF(
        AND($H108 &gt; $BA$7, Tabella01MarzoInverter[[#This Row],[Active power TX2-INV-3]] &lt;= 0),
        Tabella01MarzoInverter[[#This Row],[TX2 - Min Power]] * 0.25,
        0
    )
    +
    IF(
        $N108 &lt; 0.875,
        MAX(0, MIN(($H108 / 1000) * AD$10 * $BA$4, AD$11 * 0.876) - (AD$11 * $N108)) * 0.25,
        0
    )
)</f>
        <v/>
      </c>
      <c r="AE108" s="117">
        <f>IF(
    AND($H108 &gt; $BA$7, Tabella01MarzoInverter[[#This Row],[Active power TX2-INV-4]] &lt;= 0, Tabella01MarzoInverter[[#This Row],[Active power TX3-INV-1]] &lt;= 0),
    MIN(($H108 / 1000) * AE$10 * $BA$4, AE$11 * 0.876) * 0.25,
    IF(
        AND($H108 &gt; $BA$7, Tabella01MarzoInverter[[#This Row],[Active power TX2-INV-4]] &lt;= 0),
        Tabella01MarzoInverter[[#This Row],[Active power TX3-INV-1]] * 0.25,
        0
    )
    +
    IF(
        $N108 &lt; 0.875,
        MAX(0, MIN(($H108 / 1000) * AE$10 * $BA$4, AE$11 * 0.876) - (AE$11 * $N108)) * 0.25,
        0
    )
)</f>
        <v/>
      </c>
      <c r="AF108" s="117">
        <f>IF(
    AND($H108 &gt; $BA$7, Tabella01MarzoInverter[[#This Row],[Active power TX2-INV-5]] &lt;= 0, Tabella01MarzoInverter[[#This Row],[Active power TX3-INV-2]] &lt;= 0),
    MIN(($H108 / 1000) * AF$10 * $BA$4, AF$11 * 0.876) * 0.25,
    IF(
        AND($H108 &gt; $BA$7, Tabella01MarzoInverter[[#This Row],[Active power TX2-INV-5]] &lt;= 0),
        Tabella01MarzoInverter[[#This Row],[Active power TX3-INV-2]] * 0.25,
        0
    )
    +
    IF(
        $N108 &lt; 0.875,
        MAX(0, MIN(($H108 / 1000) * AF$10 * $BA$4, AF$11 * 0.876) - (AF$11 * $N108)) * 0.25,
        0
    )
)</f>
        <v/>
      </c>
      <c r="AG108" s="117">
        <f>IF(
    AND($H108 &gt; $BA$7, Tabella01MarzoInverter[[#This Row],[Active power TX2-INV-6]] &lt;= 0, Tabella01MarzoInverter[[#This Row],[Active power TX3-INV-3]] &lt;= 0),
    MIN(($H108 / 1000) * AG$10 * $BA$4, AG$11 * 0.876) * 0.25,
    IF(
        AND($H108 &gt; $BA$7, Tabella01MarzoInverter[[#This Row],[Active power TX2-INV-6]] &lt;= 0),
        Tabella01MarzoInverter[[#This Row],[Active power TX3-INV-3]] * 0.25,
        0
    )
    +
    IF(
        $N108 &lt; 0.875,
        MAX(0, MIN(($H108 / 1000) * AG$10 * $BA$4, AG$11 * 0.876) - (AG$11 * $N108)) * 0.25,
        0
    )
)</f>
        <v/>
      </c>
      <c r="AH108" s="117">
        <f>IF(
    AND($H108 &gt; $BA$7, Tabella01MarzoInverter[[#This Row],[Active power TX2-INV-7]] &lt;= 0, Tabella01MarzoInverter[[#This Row],[Active power TX3-INV-4]] &lt;= 0),
    MIN(($H108 / 1000) * AH$10 * $BA$4, AH$11 * 0.876) * 0.25,
    IF(
        AND($H108 &gt; $BA$7, Tabella01MarzoInverter[[#This Row],[Active power TX2-INV-7]] &lt;= 0),
        Tabella01MarzoInverter[[#This Row],[Active power TX3-INV-4]] * 0.25,
        0
    )
    +
    IF(
        $N108 &lt; 0.875,
        MAX(0, MIN(($H108 / 1000) * AH$10 * $BA$4, AH$11 * 0.876) - (AH$11 * $N108)) * 0.25,
        0
    )
)</f>
        <v/>
      </c>
      <c r="AI108" s="117">
        <f>IF(
    AND($H108 &gt; $BA$7, Tabella01MarzoInverter[[#This Row],[Active power TX2-INV-8]] &lt;= 0, Tabella01MarzoInverter[[#This Row],[Active power TX3-INV-5]] &lt;= 0),
    MIN(($H108 / 1000) * AI$10 * $BA$4, AI$11 * 0.876) * 0.25,
    IF(
        AND($H108 &gt; $BA$7, Tabella01MarzoInverter[[#This Row],[Active power TX2-INV-8]] &lt;= 0),
        Tabella01MarzoInverter[[#This Row],[Active power TX3-INV-5]] * 0.25,
        0
    )
    +
    IF(
        $N108 &lt; 0.875,
        MAX(0, MIN(($H108 / 1000) * AI$10 * $BA$4, AI$11 * 0.876) - (AI$11 * $N108)) * 0.25,
        0
    )
)</f>
        <v/>
      </c>
      <c r="AJ108" s="117">
        <f>IF(
    AND($H108 &gt; $BA$7, Tabella01MarzoInverter[[#This Row],[Active power TX2-INV-9]] &lt;= 0, Tabella01MarzoInverter[[#This Row],[Active power TX3-INV-6]] &lt;= 0),
    MIN(($H108 / 1000) * AJ$10 * $BA$4, AJ$11 * 0.876) * 0.25,
    IF(
        AND($H108 &gt; $BA$7, Tabella01MarzoInverter[[#This Row],[Active power TX2-INV-9]] &lt;= 0),
        Tabella01MarzoInverter[[#This Row],[Active power TX3-INV-6]] * 0.25,
        0
    )
    +
    IF(
        $N108 &lt; 0.875,
        MAX(0, MIN(($H108 / 1000) * AJ$10 * $BA$4, AJ$11 * 0.876) - (AJ$11 * $N108)) * 0.25,
        0
    )
)</f>
        <v/>
      </c>
      <c r="AK108" s="117">
        <f>IF(
    AND($H108 &gt; $BA$7, Tabella01MarzoInverter[[#This Row],[Active power TX2-INV-10]] &lt;= 0, Tabella01MarzoInverter[[#This Row],[Active power TX3-INV-7]] &lt;= 0),
    MIN(($H108 / 1000) * AK$10 * $BA$4, AK$11 * 0.876) * 0.25,
    IF(
        AND($H108 &gt; $BA$7, Tabella01MarzoInverter[[#This Row],[Active power TX2-INV-10]] &lt;= 0),
        Tabella01MarzoInverter[[#This Row],[Active power TX3-INV-7]] * 0.25,
        0
    )
    +
    IF(
        $N108 &lt; 0.875,
        MAX(0, MIN(($H108 / 1000) * AK$10 * $BA$4, AK$11 * 0.876) - (AK$11 * $N108)) * 0.25,
        0
    )
)</f>
        <v/>
      </c>
      <c r="AL108" s="117">
        <f>IF(
    AND($H108 &gt; $BA$7, Tabella01MarzoInverter[[#This Row],[Active power TX2-INV-11]] &lt;= 0, Tabella01MarzoInverter[[#This Row],[Active power TX3-INV-8]] &lt;= 0),
    MIN(($H108 / 1000) * AL$10 * $BA$4, AL$11 * 0.876) * 0.25,
    IF(
        AND($H108 &gt; $BA$7, Tabella01MarzoInverter[[#This Row],[Active power TX2-INV-11]] &lt;= 0),
        Tabella01MarzoInverter[[#This Row],[Active power TX3-INV-8]] * 0.25,
        0
    )
    +
    IF(
        $N108 &lt; 0.875,
        MAX(0, MIN(($H108 / 1000) * AL$10 * $BA$4, AL$11 * 0.876) - (AL$11 * $N108)) * 0.25,
        0
    )
)</f>
        <v/>
      </c>
      <c r="AM108" s="117">
        <f>IF(
    AND($H108 &gt; $BA$7, Tabella01MarzoInverter[[#This Row],[Active power TX2-INV-12]] &lt;= 0, Tabella01MarzoInverter[[#This Row],[Active power TX3-INV-9]] &lt;= 0),
    MIN(($H108 / 1000) * AM$10 * $BA$4, AM$11 * 0.876) * 0.25,
    IF(
        AND($H108 &gt; $BA$7, Tabella01MarzoInverter[[#This Row],[Active power TX2-INV-12]] &lt;= 0),
        Tabella01MarzoInverter[[#This Row],[Active power TX3-INV-9]] * 0.25,
        0
    )
    +
    IF(
        $N108 &lt; 0.875,
        MAX(0, MIN(($H108 / 1000) * AM$10 * $BA$4, AM$11 * 0.876) - (AM$11 * $N108)) * 0.25,
        0
    )
)</f>
        <v/>
      </c>
      <c r="AN108" s="118">
        <f>SUM(TabellaMar2026[[#This Row],[Colonna39]:[Colonna6]])</f>
        <v/>
      </c>
      <c r="AO108" s="117">
        <f t="array" ref="AO108">IF(
    AND($H108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($H108 / 1000) * AO$10 * $BA$4 * 0.25
    ),
    0
)
+
IF(
    $N108 &lt; 0.875,
    MAX(0, MIN(($H108 / 1000) * AO$10 * $BA$4, AO$11 * 0.876) - (AO$11 * $N108)) * 0.25,
    0
)</f>
        <v/>
      </c>
      <c r="AP108" s="117">
        <f t="array" ref="AP108">IF(
    AND($H108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($H108 / 1000) * AP$10 * $BA$4 * 0.25
    ),
    0
)
+
IF(
    $N108 &lt; 0.875,
    MAX(0, MIN(($H108 / 1000) * AP$10 * $BA$4, AP$11 * 0.876) - (AP$11 * $N108)) * 0.25,
    0
)</f>
        <v/>
      </c>
      <c r="AQ108" s="117">
        <f t="array" ref="AQ108">IF(
    AND($H108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($H108 / 1000) * AQ$10 * $BA$4 * 0.25
    ),
    0
)
+
IF(
    $N108 &lt; 0.875,
    MAX(0, MIN(($H108 / 1000) * AQ$10 * $BA$4, AQ$11 * 0.876) - (AQ$11 * $N108)) * 0.25,
    0
)</f>
        <v/>
      </c>
      <c r="AR108" s="117">
        <f t="array" ref="AR108">IF(
    AND($H108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($H108 / 1000) * AR$10 * $BA$4 * 0.25
    ),
    0
)
+
IF(
    $N108 &lt; 0.875,
    MAX(0, MIN(($H108 / 1000) * AR$10 * $BA$4, AR$11 * 0.876) - (AR$11 * $N108)) * 0.25,
    0
)</f>
        <v/>
      </c>
      <c r="AS108" s="117">
        <f t="array" ref="AS108">IF(
    AND($H108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($H108 / 1000) * AS$10 * $BA$4 * 0.25
    ),
    0
)
+
IF(
    $N108 &lt; 0.875,
    MAX(0, MIN(($H108 / 1000) * AS$10 * $BA$4, AS$11 * 0.876) - (AS$11 * $N108)) * 0.25,
    0
)</f>
        <v/>
      </c>
      <c r="AT108" s="117">
        <f t="array" ref="AT108">IF(
    AND($H108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($H108 / 1000) * AT$10 * $BA$4 * 0.25
    ),
    0
)
+
IF(
    $N108 &lt; 0.875,
    MAX(0, MIN(($H108 / 1000) * AT$10 * $BA$4, AT$11 * 0.876) - (AT$11 * $N108)) * 0.25,
    0
)</f>
        <v/>
      </c>
      <c r="AU108" s="117">
        <f t="array" ref="AU108">IF(
    AND($H108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($H108 / 1000) * AU$10 * $BA$4 * 0.25
    ),
    0
)
+
IF(
    $N108 &lt; 0.875,
    MAX(0, MIN(($H108 / 1000) * AU$10 * $BA$4, AU$11 * 0.876) - (AU$11 * $N108)) * 0.25,
    0
)</f>
        <v/>
      </c>
      <c r="AV108" s="117">
        <f t="array" ref="AV108">IF(
    AND($H108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($H108 / 1000) * AV$10 * $BA$4 * 0.25
    ),
    0
)
+
IF(
    $N108 &lt; 0.875,
    MAX(0, MIN(($H108 / 1000) * AV$10 * $BA$4, AV$11 * 0.876) - (AV$11 * $N108)) * 0.25,
    0
)</f>
        <v/>
      </c>
      <c r="AW108" s="117">
        <f t="array" ref="AW108">IF(
    AND($H108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($H108 / 1000) * AW$10 * $BA$4 * 0.25
    ),
    0
)
+
IF(
    $N108 &lt; 0.875,
    MAX(0, MIN(($H108 / 1000) * AW$10 * $BA$4, AW$11 * 0.876) - (AW$11 * $N108)) * 0.25,
    0
)</f>
        <v/>
      </c>
      <c r="AX108" s="117">
        <f t="array" ref="AX108">IF(
    AND($H108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($H108 / 1000) * AX$10 * $BA$4 * 0.25
    ),
    0
)
+
IF(
    $N108 &lt; 0.875,
    MAX(0, MIN(($H108 / 1000) * AX$10 * $BA$4, AX$11 * 0.876) - (AX$11 * $N108)) * 0.25,
    0
)</f>
        <v/>
      </c>
      <c r="AY108" s="117">
        <f t="array" ref="AY108">IF(
    AND($H108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($H108 / 1000) * AY$10 * $BA$4 * 0.25
    ),
    0
)
+
IF(
    $N108 &lt; 0.875,
    MAX(0, MIN(($H108 / 1000) * AY$10 * $BA$4, AY$11 * 0.876) - (AY$11 * $N108)) * 0.25,
    0
)</f>
        <v/>
      </c>
      <c r="AZ108" s="117">
        <f t="array" ref="AZ108">IF(
    AND($H108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($H108 / 1000) * AZ$10 * $BA$4 * 0.25
    ),
    0
)
+
IF(
    $N108 &lt; 0.875,
    MAX(0, MIN(($H108 / 1000) * AZ$10 * $BA$4, AZ$11 * 0.876) - (AZ$11 * $N108)) * 0.25,
    0
)</f>
        <v/>
      </c>
      <c r="BA108" s="119">
        <f>SUM(TabellaMar2026[[#This Row],[Colonna54]:[Colonna53]])</f>
        <v/>
      </c>
    </row>
    <row r="109">
      <c r="A109" s="112" t="n">
        <v>46143</v>
      </c>
      <c r="B109" t="inlineStr">
        <is>
          <t>23:30:00.000</t>
        </is>
      </c>
      <c r="C109" s="2" t="n">
        <v>-2.9</v>
      </c>
      <c r="D109" s="113" t="n">
        <v>-0.000725</v>
      </c>
      <c r="E109" s="113" t="n">
        <v>-2.2</v>
      </c>
      <c r="F109" s="113" t="n">
        <v>-0.00055</v>
      </c>
      <c r="G109" s="113">
        <f>IFERROR((D109+F109)/2, 0)</f>
        <v/>
      </c>
      <c r="H109" s="114">
        <f>IFERROR(IF(AVERAGE(C109,E109)&gt;$BA$7,AVERAGE(C109,E109),0), 0)</f>
        <v/>
      </c>
      <c r="I109" s="114">
        <f>IFERROR(IF(AND(D109=0,F109=0),0,IF(H109&gt;$BA$6,MAX(D109,F109),G109)), 0)</f>
        <v/>
      </c>
      <c r="J109" s="113">
        <f>IFERROR(IF(AND(D109&gt;0,F109&gt;0),ABS(D109-F109)/AVERAGE(D109,F109),0), 0)</f>
        <v/>
      </c>
      <c r="K109" s="113" t="n">
        <v>30141.3</v>
      </c>
      <c r="L109" s="113" t="n">
        <v>30141.3</v>
      </c>
      <c r="M109" s="115">
        <f>IFERROR((L109-K109)*1000, 0)</f>
        <v/>
      </c>
      <c r="N109" s="113" t="n">
        <v>0.8759999999999999</v>
      </c>
      <c r="O109" s="115">
        <f t="array" ref="O109">IF(
    AND($H109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($H109 / 1000) * O$10 * $BA$4 * 0.25
    ),
    0
)
+
IF(
    $N109 &lt; 0.875,
    MAX(0, MIN(($H109 / 1000) * O$10 * $BA$4, O$11 * 0.876) - (O$11 * $N109)) * 0.25,
    0
)</f>
        <v/>
      </c>
      <c r="P109" s="115">
        <f t="array" ref="P109">IF(
    AND($H109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($H109 / 1000) * P$10 * $BA$4 * 0.25
    ),
    0
)
+
IF(
    $N109 &lt; 0.875,
    MAX(0, MIN(($H109 / 1000) * P$10 * $BA$4, P$11 * 0.876) - (P$11 * $N109)) * 0.25,
    0
)</f>
        <v/>
      </c>
      <c r="Q109" s="115">
        <f t="array" ref="Q109">IF(
    AND($H109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($H109 / 1000) * Q$10 * $BA$4 * 0.25
    ),
    0
)
+
IF(
    $N109 &lt; 0.875,
    MAX(0, MIN(($H109 / 1000) * Q$10 * $BA$4, Q$11 * 0.876) - (Q$11 * $N109)) * 0.25,
    0
)</f>
        <v/>
      </c>
      <c r="R109" s="115">
        <f t="array" ref="R109">IF(
    AND($H109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($H109 / 1000) * R$10 * $BA$4 * 0.25
    ),
    0
)
+
IF(
    $N109 &lt; 0.875,
    MAX(0, MIN(($H109 / 1000) * R$10 * $BA$4, R$11 * 0.876) - (R$11 * $N109)) * 0.25,
    0
)</f>
        <v/>
      </c>
      <c r="S109" s="115">
        <f t="array" ref="S109">IF(
    AND($H109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($H109 / 1000) * S$10 * $BA$4 * 0.25
    ),
    0
)
+
IF(
    $N109 &lt; 0.875,
    MAX(0, MIN(($H109 / 1000) * S$10 * $BA$4, S$11 * 0.876) - (S$11 * $N109)) * 0.25,
    0
)</f>
        <v/>
      </c>
      <c r="T109" s="115">
        <f t="array" ref="T109">IF(
    AND($H109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($H109 / 1000) * T$10 * $BA$4 * 0.25
    ),
    0
)
+
IF(
    $N109 &lt; 0.875,
    MAX(0, MIN(($H109 / 1000) * T$10 * $BA$4, T$11 * 0.876) - (T$11 * $N109)) * 0.25,
    0
)</f>
        <v/>
      </c>
      <c r="U109" s="115">
        <f t="array" ref="U109">IF(
    AND($H109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($H109 / 1000) * U$10 * $BA$4 * 0.25
    ),
    0
)
+
IF(
    $N109 &lt; 0.875,
    MAX(0, MIN(($H109 / 1000) * U$10 * $BA$4, U$11 * 0.876) - (U$11 * $N109)) * 0.25,
    0
)</f>
        <v/>
      </c>
      <c r="V109" s="115">
        <f t="array" ref="V109">IF(
    AND($H109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($H109 / 1000) * V$10 * $BA$4 * 0.25
    ),
    0
)
+
IF(
    $N109 &lt; 0.875,
    MAX(0, MIN(($H109 / 1000) * V$10 * $BA$4, V$11 * 0.876) - (V$11 * $N109)) * 0.25,
    0
)</f>
        <v/>
      </c>
      <c r="W109" s="115">
        <f t="array" ref="W109">IF(
    AND($H109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($H109 / 1000) * W$10 * $BA$4 * 0.25
    ),
    0
)
+
IF(
    $N109 &lt; 0.875,
    MAX(0, MIN(($H109 / 1000) * W$10 * $BA$4, W$11 * 0.876) - (W$11 * $N109)) * 0.25,
    0
)</f>
        <v/>
      </c>
      <c r="X109" s="115">
        <f t="array" ref="X109">IF(
    AND($H109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($H109 / 1000) * X$10 * $BA$4 * 0.25
    ),
    0
)
+
IF(
    $N109 &lt; 0.875,
    MAX(0, MIN(($H109 / 1000) * X$10 * $BA$4, X$11 * 0.876) - (X$11 * $N109)) * 0.25,
    0
)</f>
        <v/>
      </c>
      <c r="Y109" s="115">
        <f t="array" ref="Y109">IF(
    AND($H109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($H109 / 1000) * Y$10 * $BA$4 * 0.25
    ),
    0
)
+
IF(
    $N109 &lt; 0.875,
    MAX(0, MIN(($H109 / 1000) * Y$10 * $BA$4, Y$11 * 0.876) - (Y$11 * $N109)) * 0.25,
    0
)</f>
        <v/>
      </c>
      <c r="Z109" s="115">
        <f t="array" ref="Z109">IF(
    AND($H109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($H109 / 1000) * Z$10 * $BA$4 * 0.25
    ),
    0
)
+
IF(
    $N109 &lt; 0.875,
    MAX(0, MIN(($H109 / 1000) * Z$10 * $BA$4, Z$11 * 0.876) - (Z$11 * $N109)) * 0.25,
    0
)</f>
        <v/>
      </c>
      <c r="AA109" s="116">
        <f>SUM(TabellaMar2026[[#This Row],[Colonna24]:[Colonna20]])</f>
        <v/>
      </c>
      <c r="AB109" s="117">
        <f>IF(
    AND($H109 &gt; $BA$7, Tabella01MarzoInverter[[#This Row],[Active power TX2-INV-1]] &lt;= 0, Tabella01MarzoInverter[[#This Row],[TX2 - Average Power]] &lt;= 0),
    MIN(($H109 / 1000) * AB$10 * $BA$4, AB$11 * 0.876) * 0.25,
    IF(
        AND($H109 &gt; $BA$7, Tabella01MarzoInverter[[#This Row],[Active power TX2-INV-1]] &lt;= 0),
        Tabella01MarzoInverter[[#This Row],[TX2 - Average Power]] * 0.25,
        0
    )
    +
    IF(
        $N109 &lt; 0.875,
        MAX(0, MIN(($H109 / 1000) * AB$10 * $BA$4, AB$11 * 0.876) - (AB$11 * $N109)) * 0.25,
        0
    )
)</f>
        <v/>
      </c>
      <c r="AC109" s="117">
        <f>IF(
    AND($H109 &gt; $BA$7, Tabella01MarzoInverter[[#This Row],[Active power TX2-INV-2]] &lt;= 0, Tabella01MarzoInverter[[#This Row],[TX2 - Max Power]] &lt;= 0),
    MIN(($H109 / 1000) * AC$10 * $BA$4, AC$11 * 0.876) * 0.25,
    IF(
        AND($H109 &gt; $BA$7, Tabella01MarzoInverter[[#This Row],[Active power TX2-INV-2]] &lt;= 0),
        Tabella01MarzoInverter[[#This Row],[TX2 - Max Power]] * 0.25,
        0
    )
    +
    IF(
        $N109 &lt; 0.875,
        MAX(0, MIN(($H109 / 1000) * AC$10 * $BA$4, AC$11 * 0.876) - (AC$11 * $N109)) * 0.25,
        0
    )
)</f>
        <v/>
      </c>
      <c r="AD109" s="117">
        <f>IF(
    AND($H109 &gt; $BA$7, Tabella01MarzoInverter[[#This Row],[Active power TX2-INV-3]] &lt;= 0, Tabella01MarzoInverter[[#This Row],[TX2 - Min Power]] &lt;= 0),
    MIN(($H109 / 1000) * AD$10 * $BA$4, AD$11 * 0.876) * 0.25,
    IF(
        AND($H109 &gt; $BA$7, Tabella01MarzoInverter[[#This Row],[Active power TX2-INV-3]] &lt;= 0),
        Tabella01MarzoInverter[[#This Row],[TX2 - Min Power]] * 0.25,
        0
    )
    +
    IF(
        $N109 &lt; 0.875,
        MAX(0, MIN(($H109 / 1000) * AD$10 * $BA$4, AD$11 * 0.876) - (AD$11 * $N109)) * 0.25,
        0
    )
)</f>
        <v/>
      </c>
      <c r="AE109" s="117">
        <f>IF(
    AND($H109 &gt; $BA$7, Tabella01MarzoInverter[[#This Row],[Active power TX2-INV-4]] &lt;= 0, Tabella01MarzoInverter[[#This Row],[Active power TX3-INV-1]] &lt;= 0),
    MIN(($H109 / 1000) * AE$10 * $BA$4, AE$11 * 0.876) * 0.25,
    IF(
        AND($H109 &gt; $BA$7, Tabella01MarzoInverter[[#This Row],[Active power TX2-INV-4]] &lt;= 0),
        Tabella01MarzoInverter[[#This Row],[Active power TX3-INV-1]] * 0.25,
        0
    )
    +
    IF(
        $N109 &lt; 0.875,
        MAX(0, MIN(($H109 / 1000) * AE$10 * $BA$4, AE$11 * 0.876) - (AE$11 * $N109)) * 0.25,
        0
    )
)</f>
        <v/>
      </c>
      <c r="AF109" s="117">
        <f>IF(
    AND($H109 &gt; $BA$7, Tabella01MarzoInverter[[#This Row],[Active power TX2-INV-5]] &lt;= 0, Tabella01MarzoInverter[[#This Row],[Active power TX3-INV-2]] &lt;= 0),
    MIN(($H109 / 1000) * AF$10 * $BA$4, AF$11 * 0.876) * 0.25,
    IF(
        AND($H109 &gt; $BA$7, Tabella01MarzoInverter[[#This Row],[Active power TX2-INV-5]] &lt;= 0),
        Tabella01MarzoInverter[[#This Row],[Active power TX3-INV-2]] * 0.25,
        0
    )
    +
    IF(
        $N109 &lt; 0.875,
        MAX(0, MIN(($H109 / 1000) * AF$10 * $BA$4, AF$11 * 0.876) - (AF$11 * $N109)) * 0.25,
        0
    )
)</f>
        <v/>
      </c>
      <c r="AG109" s="117">
        <f>IF(
    AND($H109 &gt; $BA$7, Tabella01MarzoInverter[[#This Row],[Active power TX2-INV-6]] &lt;= 0, Tabella01MarzoInverter[[#This Row],[Active power TX3-INV-3]] &lt;= 0),
    MIN(($H109 / 1000) * AG$10 * $BA$4, AG$11 * 0.876) * 0.25,
    IF(
        AND($H109 &gt; $BA$7, Tabella01MarzoInverter[[#This Row],[Active power TX2-INV-6]] &lt;= 0),
        Tabella01MarzoInverter[[#This Row],[Active power TX3-INV-3]] * 0.25,
        0
    )
    +
    IF(
        $N109 &lt; 0.875,
        MAX(0, MIN(($H109 / 1000) * AG$10 * $BA$4, AG$11 * 0.876) - (AG$11 * $N109)) * 0.25,
        0
    )
)</f>
        <v/>
      </c>
      <c r="AH109" s="117">
        <f>IF(
    AND($H109 &gt; $BA$7, Tabella01MarzoInverter[[#This Row],[Active power TX2-INV-7]] &lt;= 0, Tabella01MarzoInverter[[#This Row],[Active power TX3-INV-4]] &lt;= 0),
    MIN(($H109 / 1000) * AH$10 * $BA$4, AH$11 * 0.876) * 0.25,
    IF(
        AND($H109 &gt; $BA$7, Tabella01MarzoInverter[[#This Row],[Active power TX2-INV-7]] &lt;= 0),
        Tabella01MarzoInverter[[#This Row],[Active power TX3-INV-4]] * 0.25,
        0
    )
    +
    IF(
        $N109 &lt; 0.875,
        MAX(0, MIN(($H109 / 1000) * AH$10 * $BA$4, AH$11 * 0.876) - (AH$11 * $N109)) * 0.25,
        0
    )
)</f>
        <v/>
      </c>
      <c r="AI109" s="117">
        <f>IF(
    AND($H109 &gt; $BA$7, Tabella01MarzoInverter[[#This Row],[Active power TX2-INV-8]] &lt;= 0, Tabella01MarzoInverter[[#This Row],[Active power TX3-INV-5]] &lt;= 0),
    MIN(($H109 / 1000) * AI$10 * $BA$4, AI$11 * 0.876) * 0.25,
    IF(
        AND($H109 &gt; $BA$7, Tabella01MarzoInverter[[#This Row],[Active power TX2-INV-8]] &lt;= 0),
        Tabella01MarzoInverter[[#This Row],[Active power TX3-INV-5]] * 0.25,
        0
    )
    +
    IF(
        $N109 &lt; 0.875,
        MAX(0, MIN(($H109 / 1000) * AI$10 * $BA$4, AI$11 * 0.876) - (AI$11 * $N109)) * 0.25,
        0
    )
)</f>
        <v/>
      </c>
      <c r="AJ109" s="117">
        <f>IF(
    AND($H109 &gt; $BA$7, Tabella01MarzoInverter[[#This Row],[Active power TX2-INV-9]] &lt;= 0, Tabella01MarzoInverter[[#This Row],[Active power TX3-INV-6]] &lt;= 0),
    MIN(($H109 / 1000) * AJ$10 * $BA$4, AJ$11 * 0.876) * 0.25,
    IF(
        AND($H109 &gt; $BA$7, Tabella01MarzoInverter[[#This Row],[Active power TX2-INV-9]] &lt;= 0),
        Tabella01MarzoInverter[[#This Row],[Active power TX3-INV-6]] * 0.25,
        0
    )
    +
    IF(
        $N109 &lt; 0.875,
        MAX(0, MIN(($H109 / 1000) * AJ$10 * $BA$4, AJ$11 * 0.876) - (AJ$11 * $N109)) * 0.25,
        0
    )
)</f>
        <v/>
      </c>
      <c r="AK109" s="117">
        <f>IF(
    AND($H109 &gt; $BA$7, Tabella01MarzoInverter[[#This Row],[Active power TX2-INV-10]] &lt;= 0, Tabella01MarzoInverter[[#This Row],[Active power TX3-INV-7]] &lt;= 0),
    MIN(($H109 / 1000) * AK$10 * $BA$4, AK$11 * 0.876) * 0.25,
    IF(
        AND($H109 &gt; $BA$7, Tabella01MarzoInverter[[#This Row],[Active power TX2-INV-10]] &lt;= 0),
        Tabella01MarzoInverter[[#This Row],[Active power TX3-INV-7]] * 0.25,
        0
    )
    +
    IF(
        $N109 &lt; 0.875,
        MAX(0, MIN(($H109 / 1000) * AK$10 * $BA$4, AK$11 * 0.876) - (AK$11 * $N109)) * 0.25,
        0
    )
)</f>
        <v/>
      </c>
      <c r="AL109" s="117">
        <f>IF(
    AND($H109 &gt; $BA$7, Tabella01MarzoInverter[[#This Row],[Active power TX2-INV-11]] &lt;= 0, Tabella01MarzoInverter[[#This Row],[Active power TX3-INV-8]] &lt;= 0),
    MIN(($H109 / 1000) * AL$10 * $BA$4, AL$11 * 0.876) * 0.25,
    IF(
        AND($H109 &gt; $BA$7, Tabella01MarzoInverter[[#This Row],[Active power TX2-INV-11]] &lt;= 0),
        Tabella01MarzoInverter[[#This Row],[Active power TX3-INV-8]] * 0.25,
        0
    )
    +
    IF(
        $N109 &lt; 0.875,
        MAX(0, MIN(($H109 / 1000) * AL$10 * $BA$4, AL$11 * 0.876) - (AL$11 * $N109)) * 0.25,
        0
    )
)</f>
        <v/>
      </c>
      <c r="AM109" s="117">
        <f>IF(
    AND($H109 &gt; $BA$7, Tabella01MarzoInverter[[#This Row],[Active power TX2-INV-12]] &lt;= 0, Tabella01MarzoInverter[[#This Row],[Active power TX3-INV-9]] &lt;= 0),
    MIN(($H109 / 1000) * AM$10 * $BA$4, AM$11 * 0.876) * 0.25,
    IF(
        AND($H109 &gt; $BA$7, Tabella01MarzoInverter[[#This Row],[Active power TX2-INV-12]] &lt;= 0),
        Tabella01MarzoInverter[[#This Row],[Active power TX3-INV-9]] * 0.25,
        0
    )
    +
    IF(
        $N109 &lt; 0.875,
        MAX(0, MIN(($H109 / 1000) * AM$10 * $BA$4, AM$11 * 0.876) - (AM$11 * $N109)) * 0.25,
        0
    )
)</f>
        <v/>
      </c>
      <c r="AN109" s="118">
        <f>SUM(TabellaMar2026[[#This Row],[Colonna39]:[Colonna6]])</f>
        <v/>
      </c>
      <c r="AO109" s="117">
        <f t="array" ref="AO109">IF(
    AND($H109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($H109 / 1000) * AO$10 * $BA$4 * 0.25
    ),
    0
)
+
IF(
    $N109 &lt; 0.875,
    MAX(0, MIN(($H109 / 1000) * AO$10 * $BA$4, AO$11 * 0.876) - (AO$11 * $N109)) * 0.25,
    0
)</f>
        <v/>
      </c>
      <c r="AP109" s="117">
        <f t="array" ref="AP109">IF(
    AND($H109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($H109 / 1000) * AP$10 * $BA$4 * 0.25
    ),
    0
)
+
IF(
    $N109 &lt; 0.875,
    MAX(0, MIN(($H109 / 1000) * AP$10 * $BA$4, AP$11 * 0.876) - (AP$11 * $N109)) * 0.25,
    0
)</f>
        <v/>
      </c>
      <c r="AQ109" s="117">
        <f t="array" ref="AQ109">IF(
    AND($H109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($H109 / 1000) * AQ$10 * $BA$4 * 0.25
    ),
    0
)
+
IF(
    $N109 &lt; 0.875,
    MAX(0, MIN(($H109 / 1000) * AQ$10 * $BA$4, AQ$11 * 0.876) - (AQ$11 * $N109)) * 0.25,
    0
)</f>
        <v/>
      </c>
      <c r="AR109" s="117">
        <f t="array" ref="AR109">IF(
    AND($H109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($H109 / 1000) * AR$10 * $BA$4 * 0.25
    ),
    0
)
+
IF(
    $N109 &lt; 0.875,
    MAX(0, MIN(($H109 / 1000) * AR$10 * $BA$4, AR$11 * 0.876) - (AR$11 * $N109)) * 0.25,
    0
)</f>
        <v/>
      </c>
      <c r="AS109" s="117">
        <f t="array" ref="AS109">IF(
    AND($H109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($H109 / 1000) * AS$10 * $BA$4 * 0.25
    ),
    0
)
+
IF(
    $N109 &lt; 0.875,
    MAX(0, MIN(($H109 / 1000) * AS$10 * $BA$4, AS$11 * 0.876) - (AS$11 * $N109)) * 0.25,
    0
)</f>
        <v/>
      </c>
      <c r="AT109" s="117">
        <f t="array" ref="AT109">IF(
    AND($H109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($H109 / 1000) * AT$10 * $BA$4 * 0.25
    ),
    0
)
+
IF(
    $N109 &lt; 0.875,
    MAX(0, MIN(($H109 / 1000) * AT$10 * $BA$4, AT$11 * 0.876) - (AT$11 * $N109)) * 0.25,
    0
)</f>
        <v/>
      </c>
      <c r="AU109" s="117">
        <f t="array" ref="AU109">IF(
    AND($H109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($H109 / 1000) * AU$10 * $BA$4 * 0.25
    ),
    0
)
+
IF(
    $N109 &lt; 0.875,
    MAX(0, MIN(($H109 / 1000) * AU$10 * $BA$4, AU$11 * 0.876) - (AU$11 * $N109)) * 0.25,
    0
)</f>
        <v/>
      </c>
      <c r="AV109" s="117">
        <f t="array" ref="AV109">IF(
    AND($H109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($H109 / 1000) * AV$10 * $BA$4 * 0.25
    ),
    0
)
+
IF(
    $N109 &lt; 0.875,
    MAX(0, MIN(($H109 / 1000) * AV$10 * $BA$4, AV$11 * 0.876) - (AV$11 * $N109)) * 0.25,
    0
)</f>
        <v/>
      </c>
      <c r="AW109" s="117">
        <f t="array" ref="AW109">IF(
    AND($H109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($H109 / 1000) * AW$10 * $BA$4 * 0.25
    ),
    0
)
+
IF(
    $N109 &lt; 0.875,
    MAX(0, MIN(($H109 / 1000) * AW$10 * $BA$4, AW$11 * 0.876) - (AW$11 * $N109)) * 0.25,
    0
)</f>
        <v/>
      </c>
      <c r="AX109" s="117">
        <f t="array" ref="AX109">IF(
    AND($H109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($H109 / 1000) * AX$10 * $BA$4 * 0.25
    ),
    0
)
+
IF(
    $N109 &lt; 0.875,
    MAX(0, MIN(($H109 / 1000) * AX$10 * $BA$4, AX$11 * 0.876) - (AX$11 * $N109)) * 0.25,
    0
)</f>
        <v/>
      </c>
      <c r="AY109" s="117">
        <f t="array" ref="AY109">IF(
    AND($H109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($H109 / 1000) * AY$10 * $BA$4 * 0.25
    ),
    0
)
+
IF(
    $N109 &lt; 0.875,
    MAX(0, MIN(($H109 / 1000) * AY$10 * $BA$4, AY$11 * 0.876) - (AY$11 * $N109)) * 0.25,
    0
)</f>
        <v/>
      </c>
      <c r="AZ109" s="117">
        <f t="array" ref="AZ109">IF(
    AND($H109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($H109 / 1000) * AZ$10 * $BA$4 * 0.25
    ),
    0
)
+
IF(
    $N109 &lt; 0.875,
    MAX(0, MIN(($H109 / 1000) * AZ$10 * $BA$4, AZ$11 * 0.876) - (AZ$11 * $N109)) * 0.25,
    0
)</f>
        <v/>
      </c>
      <c r="BA109" s="119">
        <f>SUM(TabellaMar2026[[#This Row],[Colonna54]:[Colonna53]])</f>
        <v/>
      </c>
    </row>
    <row r="110" ht="15.75" customHeight="1" s="76" thickBot="1">
      <c r="A110" s="120" t="n">
        <v>46143</v>
      </c>
      <c r="B110" s="77" t="inlineStr">
        <is>
          <t>23:45:00.000</t>
        </is>
      </c>
      <c r="C110" s="78" t="n">
        <v>-1.8</v>
      </c>
      <c r="D110" s="121" t="n">
        <v>-0.00045</v>
      </c>
      <c r="E110" s="121" t="n">
        <v>-2</v>
      </c>
      <c r="F110" s="121" t="n">
        <v>-0.0005</v>
      </c>
      <c r="G110" s="121">
        <f>IFERROR((D110+F110)/2, 0)</f>
        <v/>
      </c>
      <c r="H110" s="122">
        <f>IFERROR(IF(AVERAGE(C110,E110)&gt;$BA$7,AVERAGE(C110,E110),0), 0)</f>
        <v/>
      </c>
      <c r="I110" s="122">
        <f>IFERROR(IF(AND(D110=0,F110=0),0,IF(H110&gt;$BA$6,MAX(D110,F110),G110)), 0)</f>
        <v/>
      </c>
      <c r="J110" s="121">
        <f>IFERROR(IF(AND(D110&gt;0,F110&gt;0),ABS(D110-F110)/AVERAGE(D110,F110),0), 0)</f>
        <v/>
      </c>
      <c r="K110" s="121" t="n">
        <v>30141.3</v>
      </c>
      <c r="L110" s="121" t="n">
        <v>30141.3</v>
      </c>
      <c r="M110" s="123">
        <f>IFERROR((L110-K110)*1000, 0)</f>
        <v/>
      </c>
      <c r="N110" s="121" t="n">
        <v>0.8759999999999999</v>
      </c>
      <c r="O110" s="123">
        <f t="array" ref="O110">IF(
    AND($H110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($H110 / 1000) * O$10 * $BA$4 * 0.25
    ),
    0
)
+
IF(
    $N110 &lt; 0.875,
    MAX(0, MIN(($H110 / 1000) * O$10 * $BA$4, O$11 * 0.876) - (O$11 * $N110)) * 0.25,
    0
)</f>
        <v/>
      </c>
      <c r="P110" s="123">
        <f t="array" ref="P110">IF(
    AND($H110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($H110 / 1000) * P$10 * $BA$4 * 0.25
    ),
    0
)
+
IF(
    $N110 &lt; 0.875,
    MAX(0, MIN(($H110 / 1000) * P$10 * $BA$4, P$11 * 0.876) - (P$11 * $N110)) * 0.25,
    0
)</f>
        <v/>
      </c>
      <c r="Q110" s="123">
        <f t="array" ref="Q110">IF(
    AND($H110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($H110 / 1000) * Q$10 * $BA$4 * 0.25
    ),
    0
)
+
IF(
    $N110 &lt; 0.875,
    MAX(0, MIN(($H110 / 1000) * Q$10 * $BA$4, Q$11 * 0.876) - (Q$11 * $N110)) * 0.25,
    0
)</f>
        <v/>
      </c>
      <c r="R110" s="123">
        <f t="array" ref="R110">IF(
    AND($H110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($H110 / 1000) * R$10 * $BA$4 * 0.25
    ),
    0
)
+
IF(
    $N110 &lt; 0.875,
    MAX(0, MIN(($H110 / 1000) * R$10 * $BA$4, R$11 * 0.876) - (R$11 * $N110)) * 0.25,
    0
)</f>
        <v/>
      </c>
      <c r="S110" s="123">
        <f t="array" ref="S110">IF(
    AND($H110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($H110 / 1000) * S$10 * $BA$4 * 0.25
    ),
    0
)
+
IF(
    $N110 &lt; 0.875,
    MAX(0, MIN(($H110 / 1000) * S$10 * $BA$4, S$11 * 0.876) - (S$11 * $N110)) * 0.25,
    0
)</f>
        <v/>
      </c>
      <c r="T110" s="123">
        <f t="array" ref="T110">IF(
    AND($H110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($H110 / 1000) * T$10 * $BA$4 * 0.25
    ),
    0
)
+
IF(
    $N110 &lt; 0.875,
    MAX(0, MIN(($H110 / 1000) * T$10 * $BA$4, T$11 * 0.876) - (T$11 * $N110)) * 0.25,
    0
)</f>
        <v/>
      </c>
      <c r="U110" s="123">
        <f t="array" ref="U110">IF(
    AND($H110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($H110 / 1000) * U$10 * $BA$4 * 0.25
    ),
    0
)
+
IF(
    $N110 &lt; 0.875,
    MAX(0, MIN(($H110 / 1000) * U$10 * $BA$4, U$11 * 0.876) - (U$11 * $N110)) * 0.25,
    0
)</f>
        <v/>
      </c>
      <c r="V110" s="123">
        <f t="array" ref="V110">IF(
    AND($H110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($H110 / 1000) * V$10 * $BA$4 * 0.25
    ),
    0
)
+
IF(
    $N110 &lt; 0.875,
    MAX(0, MIN(($H110 / 1000) * V$10 * $BA$4, V$11 * 0.876) - (V$11 * $N110)) * 0.25,
    0
)</f>
        <v/>
      </c>
      <c r="W110" s="123">
        <f t="array" ref="W110">IF(
    AND($H110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($H110 / 1000) * W$10 * $BA$4 * 0.25
    ),
    0
)
+
IF(
    $N110 &lt; 0.875,
    MAX(0, MIN(($H110 / 1000) * W$10 * $BA$4, W$11 * 0.876) - (W$11 * $N110)) * 0.25,
    0
)</f>
        <v/>
      </c>
      <c r="X110" s="123">
        <f t="array" ref="X110">IF(
    AND($H110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($H110 / 1000) * X$10 * $BA$4 * 0.25
    ),
    0
)
+
IF(
    $N110 &lt; 0.875,
    MAX(0, MIN(($H110 / 1000) * X$10 * $BA$4, X$11 * 0.876) - (X$11 * $N110)) * 0.25,
    0
)</f>
        <v/>
      </c>
      <c r="Y110" s="123">
        <f t="array" ref="Y110">IF(
    AND($H110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($H110 / 1000) * Y$10 * $BA$4 * 0.25
    ),
    0
)
+
IF(
    $N110 &lt; 0.875,
    MAX(0, MIN(($H110 / 1000) * Y$10 * $BA$4, Y$11 * 0.876) - (Y$11 * $N110)) * 0.25,
    0
)</f>
        <v/>
      </c>
      <c r="Z110" s="123">
        <f t="array" ref="Z110">IF(
    AND($H110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($H110 / 1000) * Z$10 * $BA$4 * 0.25
    ),
    0
)
+
IF(
    $N110 &lt; 0.875,
    MAX(0, MIN(($H110 / 1000) * Z$10 * $BA$4, Z$11 * 0.876) - (Z$11 * $N110)) * 0.25,
    0
)</f>
        <v/>
      </c>
      <c r="AA110" s="124">
        <f>SUM(TabellaMar2026[[#This Row],[Colonna24]:[Colonna20]])</f>
        <v/>
      </c>
      <c r="AB110" s="125">
        <f>IF(
    AND($H110 &gt; $BA$7, Tabella01MarzoInverter[[#This Row],[Active power TX2-INV-1]] &lt;= 0, Tabella01MarzoInverter[[#This Row],[TX2 - Average Power]] &lt;= 0),
    MIN(($H110 / 1000) * AB$10 * $BA$4, AB$11 * 0.876) * 0.25,
    IF(
        AND($H110 &gt; $BA$7, Tabella01MarzoInverter[[#This Row],[Active power TX2-INV-1]] &lt;= 0),
        Tabella01MarzoInverter[[#This Row],[TX2 - Average Power]] * 0.25,
        0
    )
    +
    IF(
        $N110 &lt; 0.875,
        MAX(0, MIN(($H110 / 1000) * AB$10 * $BA$4, AB$11 * 0.876) - (AB$11 * $N110)) * 0.25,
        0
    )
)</f>
        <v/>
      </c>
      <c r="AC110" s="125">
        <f>IF(
    AND($H110 &gt; $BA$7, Tabella01MarzoInverter[[#This Row],[Active power TX2-INV-2]] &lt;= 0, Tabella01MarzoInverter[[#This Row],[TX2 - Max Power]] &lt;= 0),
    MIN(($H110 / 1000) * AC$10 * $BA$4, AC$11 * 0.876) * 0.25,
    IF(
        AND($H110 &gt; $BA$7, Tabella01MarzoInverter[[#This Row],[Active power TX2-INV-2]] &lt;= 0),
        Tabella01MarzoInverter[[#This Row],[TX2 - Max Power]] * 0.25,
        0
    )
    +
    IF(
        $N110 &lt; 0.875,
        MAX(0, MIN(($H110 / 1000) * AC$10 * $BA$4, AC$11 * 0.876) - (AC$11 * $N110)) * 0.25,
        0
    )
)</f>
        <v/>
      </c>
      <c r="AD110" s="125">
        <f>IF(
    AND($H110 &gt; $BA$7, Tabella01MarzoInverter[[#This Row],[Active power TX2-INV-3]] &lt;= 0, Tabella01MarzoInverter[[#This Row],[TX2 - Min Power]] &lt;= 0),
    MIN(($H110 / 1000) * AD$10 * $BA$4, AD$11 * 0.876) * 0.25,
    IF(
        AND($H110 &gt; $BA$7, Tabella01MarzoInverter[[#This Row],[Active power TX2-INV-3]] &lt;= 0),
        Tabella01MarzoInverter[[#This Row],[TX2 - Min Power]] * 0.25,
        0
    )
    +
    IF(
        $N110 &lt; 0.875,
        MAX(0, MIN(($H110 / 1000) * AD$10 * $BA$4, AD$11 * 0.876) - (AD$11 * $N110)) * 0.25,
        0
    )
)</f>
        <v/>
      </c>
      <c r="AE110" s="125">
        <f>IF(
    AND($H110 &gt; $BA$7, Tabella01MarzoInverter[[#This Row],[Active power TX2-INV-4]] &lt;= 0, Tabella01MarzoInverter[[#This Row],[Active power TX3-INV-1]] &lt;= 0),
    MIN(($H110 / 1000) * AE$10 * $BA$4, AE$11 * 0.876) * 0.25,
    IF(
        AND($H110 &gt; $BA$7, Tabella01MarzoInverter[[#This Row],[Active power TX2-INV-4]] &lt;= 0),
        Tabella01MarzoInverter[[#This Row],[Active power TX3-INV-1]] * 0.25,
        0
    )
    +
    IF(
        $N110 &lt; 0.875,
        MAX(0, MIN(($H110 / 1000) * AE$10 * $BA$4, AE$11 * 0.876) - (AE$11 * $N110)) * 0.25,
        0
    )
)</f>
        <v/>
      </c>
      <c r="AF110" s="125">
        <f>IF(
    AND($H110 &gt; $BA$7, Tabella01MarzoInverter[[#This Row],[Active power TX2-INV-5]] &lt;= 0, Tabella01MarzoInverter[[#This Row],[Active power TX3-INV-2]] &lt;= 0),
    MIN(($H110 / 1000) * AF$10 * $BA$4, AF$11 * 0.876) * 0.25,
    IF(
        AND($H110 &gt; $BA$7, Tabella01MarzoInverter[[#This Row],[Active power TX2-INV-5]] &lt;= 0),
        Tabella01MarzoInverter[[#This Row],[Active power TX3-INV-2]] * 0.25,
        0
    )
    +
    IF(
        $N110 &lt; 0.875,
        MAX(0, MIN(($H110 / 1000) * AF$10 * $BA$4, AF$11 * 0.876) - (AF$11 * $N110)) * 0.25,
        0
    )
)</f>
        <v/>
      </c>
      <c r="AG110" s="125">
        <f>IF(
    AND($H110 &gt; $BA$7, Tabella01MarzoInverter[[#This Row],[Active power TX2-INV-6]] &lt;= 0, Tabella01MarzoInverter[[#This Row],[Active power TX3-INV-3]] &lt;= 0),
    MIN(($H110 / 1000) * AG$10 * $BA$4, AG$11 * 0.876) * 0.25,
    IF(
        AND($H110 &gt; $BA$7, Tabella01MarzoInverter[[#This Row],[Active power TX2-INV-6]] &lt;= 0),
        Tabella01MarzoInverter[[#This Row],[Active power TX3-INV-3]] * 0.25,
        0
    )
    +
    IF(
        $N110 &lt; 0.875,
        MAX(0, MIN(($H110 / 1000) * AG$10 * $BA$4, AG$11 * 0.876) - (AG$11 * $N110)) * 0.25,
        0
    )
)</f>
        <v/>
      </c>
      <c r="AH110" s="125">
        <f>IF(
    AND($H110 &gt; $BA$7, Tabella01MarzoInverter[[#This Row],[Active power TX2-INV-7]] &lt;= 0, Tabella01MarzoInverter[[#This Row],[Active power TX3-INV-4]] &lt;= 0),
    MIN(($H110 / 1000) * AH$10 * $BA$4, AH$11 * 0.876) * 0.25,
    IF(
        AND($H110 &gt; $BA$7, Tabella01MarzoInverter[[#This Row],[Active power TX2-INV-7]] &lt;= 0),
        Tabella01MarzoInverter[[#This Row],[Active power TX3-INV-4]] * 0.25,
        0
    )
    +
    IF(
        $N110 &lt; 0.875,
        MAX(0, MIN(($H110 / 1000) * AH$10 * $BA$4, AH$11 * 0.876) - (AH$11 * $N110)) * 0.25,
        0
    )
)</f>
        <v/>
      </c>
      <c r="AI110" s="125">
        <f>IF(
    AND($H110 &gt; $BA$7, Tabella01MarzoInverter[[#This Row],[Active power TX2-INV-8]] &lt;= 0, Tabella01MarzoInverter[[#This Row],[Active power TX3-INV-5]] &lt;= 0),
    MIN(($H110 / 1000) * AI$10 * $BA$4, AI$11 * 0.876) * 0.25,
    IF(
        AND($H110 &gt; $BA$7, Tabella01MarzoInverter[[#This Row],[Active power TX2-INV-8]] &lt;= 0),
        Tabella01MarzoInverter[[#This Row],[Active power TX3-INV-5]] * 0.25,
        0
    )
    +
    IF(
        $N110 &lt; 0.875,
        MAX(0, MIN(($H110 / 1000) * AI$10 * $BA$4, AI$11 * 0.876) - (AI$11 * $N110)) * 0.25,
        0
    )
)</f>
        <v/>
      </c>
      <c r="AJ110" s="125">
        <f>IF(
    AND($H110 &gt; $BA$7, Tabella01MarzoInverter[[#This Row],[Active power TX2-INV-9]] &lt;= 0, Tabella01MarzoInverter[[#This Row],[Active power TX3-INV-6]] &lt;= 0),
    MIN(($H110 / 1000) * AJ$10 * $BA$4, AJ$11 * 0.876) * 0.25,
    IF(
        AND($H110 &gt; $BA$7, Tabella01MarzoInverter[[#This Row],[Active power TX2-INV-9]] &lt;= 0),
        Tabella01MarzoInverter[[#This Row],[Active power TX3-INV-6]] * 0.25,
        0
    )
    +
    IF(
        $N110 &lt; 0.875,
        MAX(0, MIN(($H110 / 1000) * AJ$10 * $BA$4, AJ$11 * 0.876) - (AJ$11 * $N110)) * 0.25,
        0
    )
)</f>
        <v/>
      </c>
      <c r="AK110" s="125">
        <f>IF(
    AND($H110 &gt; $BA$7, Tabella01MarzoInverter[[#This Row],[Active power TX2-INV-10]] &lt;= 0, Tabella01MarzoInverter[[#This Row],[Active power TX3-INV-7]] &lt;= 0),
    MIN(($H110 / 1000) * AK$10 * $BA$4, AK$11 * 0.876) * 0.25,
    IF(
        AND($H110 &gt; $BA$7, Tabella01MarzoInverter[[#This Row],[Active power TX2-INV-10]] &lt;= 0),
        Tabella01MarzoInverter[[#This Row],[Active power TX3-INV-7]] * 0.25,
        0
    )
    +
    IF(
        $N110 &lt; 0.875,
        MAX(0, MIN(($H110 / 1000) * AK$10 * $BA$4, AK$11 * 0.876) - (AK$11 * $N110)) * 0.25,
        0
    )
)</f>
        <v/>
      </c>
      <c r="AL110" s="125">
        <f>IF(
    AND($H110 &gt; $BA$7, Tabella01MarzoInverter[[#This Row],[Active power TX2-INV-11]] &lt;= 0, Tabella01MarzoInverter[[#This Row],[Active power TX3-INV-8]] &lt;= 0),
    MIN(($H110 / 1000) * AL$10 * $BA$4, AL$11 * 0.876) * 0.25,
    IF(
        AND($H110 &gt; $BA$7, Tabella01MarzoInverter[[#This Row],[Active power TX2-INV-11]] &lt;= 0),
        Tabella01MarzoInverter[[#This Row],[Active power TX3-INV-8]] * 0.25,
        0
    )
    +
    IF(
        $N110 &lt; 0.875,
        MAX(0, MIN(($H110 / 1000) * AL$10 * $BA$4, AL$11 * 0.876) - (AL$11 * $N110)) * 0.25,
        0
    )
)</f>
        <v/>
      </c>
      <c r="AM110" s="125">
        <f>IF(
    AND($H110 &gt; $BA$7, Tabella01MarzoInverter[[#This Row],[Active power TX2-INV-12]] &lt;= 0, Tabella01MarzoInverter[[#This Row],[Active power TX3-INV-9]] &lt;= 0),
    MIN(($H110 / 1000) * AM$10 * $BA$4, AM$11 * 0.876) * 0.25,
    IF(
        AND($H110 &gt; $BA$7, Tabella01MarzoInverter[[#This Row],[Active power TX2-INV-12]] &lt;= 0),
        Tabella01MarzoInverter[[#This Row],[Active power TX3-INV-9]] * 0.25,
        0
    )
    +
    IF(
        $N110 &lt; 0.875,
        MAX(0, MIN(($H110 / 1000) * AM$10 * $BA$4, AM$11 * 0.876) - (AM$11 * $N110)) * 0.25,
        0
    )
)</f>
        <v/>
      </c>
      <c r="AN110" s="126">
        <f>SUM(TabellaMar2026[[#This Row],[Colonna39]:[Colonna6]])</f>
        <v/>
      </c>
      <c r="AO110" s="125">
        <f t="array" ref="AO110">IF(
    AND($H110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($H110 / 1000) * AO$10 * $BA$4 * 0.25
    ),
    0
)
+
IF(
    $N110 &lt; 0.875,
    MAX(0, MIN(($H110 / 1000) * AO$10 * $BA$4, AO$11 * 0.876) - (AO$11 * $N110)) * 0.25,
    0
)</f>
        <v/>
      </c>
      <c r="AP110" s="125">
        <f t="array" ref="AP110">IF(
    AND($H110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($H110 / 1000) * AP$10 * $BA$4 * 0.25
    ),
    0
)
+
IF(
    $N110 &lt; 0.875,
    MAX(0, MIN(($H110 / 1000) * AP$10 * $BA$4, AP$11 * 0.876) - (AP$11 * $N110)) * 0.25,
    0
)</f>
        <v/>
      </c>
      <c r="AQ110" s="125">
        <f t="array" ref="AQ110">IF(
    AND($H110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($H110 / 1000) * AQ$10 * $BA$4 * 0.25
    ),
    0
)
+
IF(
    $N110 &lt; 0.875,
    MAX(0, MIN(($H110 / 1000) * AQ$10 * $BA$4, AQ$11 * 0.876) - (AQ$11 * $N110)) * 0.25,
    0
)</f>
        <v/>
      </c>
      <c r="AR110" s="125">
        <f t="array" ref="AR110">IF(
    AND($H110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($H110 / 1000) * AR$10 * $BA$4 * 0.25
    ),
    0
)
+
IF(
    $N110 &lt; 0.875,
    MAX(0, MIN(($H110 / 1000) * AR$10 * $BA$4, AR$11 * 0.876) - (AR$11 * $N110)) * 0.25,
    0
)</f>
        <v/>
      </c>
      <c r="AS110" s="125">
        <f t="array" ref="AS110">IF(
    AND($H110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($H110 / 1000) * AS$10 * $BA$4 * 0.25
    ),
    0
)
+
IF(
    $N110 &lt; 0.875,
    MAX(0, MIN(($H110 / 1000) * AS$10 * $BA$4, AS$11 * 0.876) - (AS$11 * $N110)) * 0.25,
    0
)</f>
        <v/>
      </c>
      <c r="AT110" s="125">
        <f t="array" ref="AT110">IF(
    AND($H110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($H110 / 1000) * AT$10 * $BA$4 * 0.25
    ),
    0
)
+
IF(
    $N110 &lt; 0.875,
    MAX(0, MIN(($H110 / 1000) * AT$10 * $BA$4, AT$11 * 0.876) - (AT$11 * $N110)) * 0.25,
    0
)</f>
        <v/>
      </c>
      <c r="AU110" s="125">
        <f t="array" ref="AU110">IF(
    AND($H110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($H110 / 1000) * AU$10 * $BA$4 * 0.25
    ),
    0
)
+
IF(
    $N110 &lt; 0.875,
    MAX(0, MIN(($H110 / 1000) * AU$10 * $BA$4, AU$11 * 0.876) - (AU$11 * $N110)) * 0.25,
    0
)</f>
        <v/>
      </c>
      <c r="AV110" s="125">
        <f t="array" ref="AV110">IF(
    AND($H110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($H110 / 1000) * AV$10 * $BA$4 * 0.25
    ),
    0
)
+
IF(
    $N110 &lt; 0.875,
    MAX(0, MIN(($H110 / 1000) * AV$10 * $BA$4, AV$11 * 0.876) - (AV$11 * $N110)) * 0.25,
    0
)</f>
        <v/>
      </c>
      <c r="AW110" s="125">
        <f t="array" ref="AW110">IF(
    AND($H110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($H110 / 1000) * AW$10 * $BA$4 * 0.25
    ),
    0
)
+
IF(
    $N110 &lt; 0.875,
    MAX(0, MIN(($H110 / 1000) * AW$10 * $BA$4, AW$11 * 0.876) - (AW$11 * $N110)) * 0.25,
    0
)</f>
        <v/>
      </c>
      <c r="AX110" s="125">
        <f t="array" ref="AX110">IF(
    AND($H110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($H110 / 1000) * AX$10 * $BA$4 * 0.25
    ),
    0
)
+
IF(
    $N110 &lt; 0.875,
    MAX(0, MIN(($H110 / 1000) * AX$10 * $BA$4, AX$11 * 0.876) - (AX$11 * $N110)) * 0.25,
    0
)</f>
        <v/>
      </c>
      <c r="AY110" s="125">
        <f t="array" ref="AY110">IF(
    AND($H110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($H110 / 1000) * AY$10 * $BA$4 * 0.25
    ),
    0
)
+
IF(
    $N110 &lt; 0.875,
    MAX(0, MIN(($H110 / 1000) * AY$10 * $BA$4, AY$11 * 0.876) - (AY$11 * $N110)) * 0.25,
    0
)</f>
        <v/>
      </c>
      <c r="AZ110" s="125">
        <f t="array" ref="AZ110">IF(
    AND($H110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($H110 / 1000) * AZ$10 * $BA$4 * 0.25
    ),
    0
)
+
IF(
    $N110 &lt; 0.875,
    MAX(0, MIN(($H110 / 1000) * AZ$10 * $BA$4, AZ$11 * 0.876) - (AZ$11 * $N110)) * 0.25,
    0
)</f>
        <v/>
      </c>
      <c r="BA110" s="127">
        <f>SUM(TabellaMar2026[[#This Row],[Colonna54]:[Colonna53]])</f>
        <v/>
      </c>
    </row>
    <row r="111">
      <c r="A111" s="128" t="inlineStr">
        <is>
          <t>PR for each inverter</t>
        </is>
      </c>
      <c r="B111" s="128" t="n"/>
      <c r="C111" s="128" t="n"/>
      <c r="D111" s="129">
        <f>SUM(D15:D110)</f>
        <v/>
      </c>
      <c r="E111" s="129" t="n"/>
      <c r="F111" s="129">
        <f>SUM(F15:F110)</f>
        <v/>
      </c>
      <c r="G111" s="129">
        <f>SUM(G15:G110)</f>
        <v/>
      </c>
      <c r="H111" s="129" t="n"/>
      <c r="I111" s="129">
        <f>SUM(I15:I110)</f>
        <v/>
      </c>
      <c r="J111" s="129" t="n"/>
      <c r="K111" s="129" t="n"/>
      <c r="L111" s="129" t="n"/>
      <c r="M111" s="73">
        <f>SUM(M15:M110)</f>
        <v/>
      </c>
      <c r="N111" s="73" t="n"/>
      <c r="O111" s="130">
        <f t="array" ref="O111">SUM((Inverter_data!C15:C110)*0.25,O15:O110)/(O$10*(SUM(PR_Calc!$H$15:$H$110)/4000))</f>
        <v/>
      </c>
      <c r="P111" s="130">
        <f t="array" ref="P111">SUM((Inverter_data!D15:D110)*0.25,P15:P110)/(P$10*(SUM(PR_Calc!$H$15:$H$110)/4000))</f>
        <v/>
      </c>
      <c r="Q111" s="130">
        <f t="array" ref="Q111">SUM((Inverter_data!E15:E110)*0.25,Q15:Q110)/(Q$10*(SUM(PR_Calc!$H$15:$H$110)/4000))</f>
        <v/>
      </c>
      <c r="R111" s="130">
        <f t="array" ref="R111">SUM((Inverter_data!F15:F110)*0.25,R15:R110)/(R$10*(SUM(PR_Calc!$H$15:$H$110)/4000))</f>
        <v/>
      </c>
      <c r="S111" s="130">
        <f t="array" ref="S111">SUM((Inverter_data!G15:G110)*0.25,S15:S110)/(S$10*(SUM(PR_Calc!$H$15:$H$110)/4000))</f>
        <v/>
      </c>
      <c r="T111" s="130">
        <f t="array" ref="T111">SUM((Inverter_data!H15:H110)*0.25,T15:T110)/(T$10*(SUM(PR_Calc!$H$15:$H$110)/4000))</f>
        <v/>
      </c>
      <c r="U111" s="130">
        <f t="array" ref="U111">SUM((Inverter_data!I15:I110)*0.25,U15:U110)/(U$10*(SUM(PR_Calc!$H$15:$H$110)/4000))</f>
        <v/>
      </c>
      <c r="V111" s="130">
        <f t="array" ref="V111">SUM((Inverter_data!J15:J110)*0.25,V15:V110)/(V$10*(SUM(PR_Calc!$H$15:$H$110)/4000))</f>
        <v/>
      </c>
      <c r="W111" s="130">
        <f t="array" ref="W111">SUM((Inverter_data!K15:K110)*0.25,W15:W110)/(W$10*(SUM(PR_Calc!$H$15:$H$110)/4000))</f>
        <v/>
      </c>
      <c r="X111" s="130">
        <f t="array" ref="X111">SUM((Inverter_data!L15:L110)*0.25,X15:X110)/(X$10*(SUM(PR_Calc!$H$15:$H$110)/4000))</f>
        <v/>
      </c>
      <c r="Y111" s="130">
        <f t="array" ref="Y111">SUM((Inverter_data!M15:M110)*0.25,Y15:Y110)/(Y$10*(SUM(PR_Calc!$H$15:$H$110)/4000))</f>
        <v/>
      </c>
      <c r="Z111" s="130">
        <f t="array" ref="Z111">SUM((Inverter_data!N15:N110)*0.25,Z15:Z110)/(Z$10*(SUM(PR_Calc!$H$15:$H$110)/4000))</f>
        <v/>
      </c>
      <c r="AA111" s="93">
        <f>SUBTOTAL(109,TabellaMar2026[Colonna62])</f>
        <v/>
      </c>
      <c r="AB111" s="131">
        <f t="array" ref="AB111">SUM((Inverter_data!R15:'Inverter_data'!R110)*0.25,AB15:AB110)/(AB$10*(SUM(PR_Calc!$H$15:$H$110)/4000))</f>
        <v/>
      </c>
      <c r="AC111" s="131">
        <f t="array" ref="AC111">SUM((Inverter_data!S15:'Inverter_data'!S110)*0.25,AC15:AC110)/(AC$10*(SUM(PR_Calc!$H$15:$H$110)/4000))</f>
        <v/>
      </c>
      <c r="AD111" s="131">
        <f t="array" ref="AD111">SUM((Inverter_data!T15:'Inverter_data'!T110)*0.25,AD15:AD110)/(AD$10*(SUM(PR_Calc!$H$15:$H$110)/4000))</f>
        <v/>
      </c>
      <c r="AE111" s="131">
        <f t="array" ref="AE111">SUM((Inverter_data!U15:'Inverter_data'!U110)*0.25,AE15:AE110)/(AE$10*(SUM(PR_Calc!$H$15:$H$110)/4000))</f>
        <v/>
      </c>
      <c r="AF111" s="131">
        <f t="array" ref="AF111">SUM((Inverter_data!V15:'Inverter_data'!V110)*0.25,AF15:AF110)/(AF$10*(SUM(PR_Calc!$H$15:$H$110)/4000))</f>
        <v/>
      </c>
      <c r="AG111" s="131">
        <f t="array" ref="AG111">SUM((Inverter_data!W15:'Inverter_data'!W110)*0.25,AG15:AG110)/(AG$10*(SUM(PR_Calc!$H$15:$H$110)/4000))</f>
        <v/>
      </c>
      <c r="AH111" s="131">
        <f t="array" ref="AH111">SUM((Inverter_data!X15:'Inverter_data'!X110)*0.25,AH15:AH110)/(AH$10*(SUM(PR_Calc!$H$15:$H$110)/4000))</f>
        <v/>
      </c>
      <c r="AI111" s="131">
        <f t="array" ref="AI111">SUM((Inverter_data!Y15:'Inverter_data'!Y110)*0.25,AI15:AI110)/(AI$10*(SUM(PR_Calc!$H$15:$H$110)/4000))</f>
        <v/>
      </c>
      <c r="AJ111" s="131">
        <f t="array" ref="AJ111">SUM((Inverter_data!Z15:'Inverter_data'!Z110)*0.25,AJ15:AJ110)/(AJ$10*(SUM(PR_Calc!$H$15:$H$110)/4000))</f>
        <v/>
      </c>
      <c r="AK111" s="131">
        <f t="array" ref="AK111">SUM((Inverter_data!AA15:'Inverter_data'!AA110)*0.25,AK15:AK110)/(AK$10*(SUM(PR_Calc!$H$15:$H$110)/4000))</f>
        <v/>
      </c>
      <c r="AL111" s="131">
        <f t="array" ref="AL111">SUM((Inverter_data!AB15:'Inverter_data'!AB110)*0.25,AL15:AL110)/(AL$10*(SUM(PR_Calc!$H$15:$H$110)/4000))</f>
        <v/>
      </c>
      <c r="AM111" s="131">
        <f t="array" ref="AM111">SUM((Inverter_data!AC15:'Inverter_data'!AC110)*0.25,AM15:AM110)/(AM$10*(SUM(PR_Calc!$H$15:$H$110)/4000))</f>
        <v/>
      </c>
      <c r="AN111" s="132">
        <f>SUBTOTAL(109,TabellaMar2026[Colonna63])</f>
        <v/>
      </c>
      <c r="AO111" s="133">
        <f t="array" ref="AO111">SUM((Inverter_data!AG15:'Inverter_data'!AG110)*0.25,AO15:AO110)/(AO$10*(SUM(PR_Calc!$H$15:$H$110)/4000))</f>
        <v/>
      </c>
      <c r="AP111" s="133">
        <f t="array" ref="AP111">SUM((Inverter_data!AH15:'Inverter_data'!AH110)*0.25,AP15:AP110)/(AP$10*(SUM(PR_Calc!$H$15:$H$110)/4000))</f>
        <v/>
      </c>
      <c r="AQ111" s="133">
        <f t="array" ref="AQ111">SUM((Inverter_data!AI15:'Inverter_data'!AI110)*0.25,AQ15:AQ110)/(AQ$10*(SUM(PR_Calc!$H$15:$H$110)/4000))</f>
        <v/>
      </c>
      <c r="AR111" s="133">
        <f t="array" ref="AR111">SUM((Inverter_data!AJ15:'Inverter_data'!AJ110)*0.25,AR15:AR110)/(AR$10*(SUM(PR_Calc!$H$15:$H$110)/4000))</f>
        <v/>
      </c>
      <c r="AS111" s="133">
        <f t="array" ref="AS111">SUM((Inverter_data!AK15:'Inverter_data'!AK110)*0.25,AS15:AS110)/(AS$10*(SUM(PR_Calc!$H$15:$H$110)/4000))</f>
        <v/>
      </c>
      <c r="AT111" s="133">
        <f t="array" ref="AT111">SUM((Inverter_data!AL15:'Inverter_data'!AL110)*0.25,AT15:AT110)/(AT$10*(SUM(PR_Calc!$H$15:$H$110)/4000))</f>
        <v/>
      </c>
      <c r="AU111" s="133">
        <f t="array" ref="AU111">SUM((Inverter_data!AM15:'Inverter_data'!AM110)*0.25,AU15:AU110)/(AU$10*(SUM(PR_Calc!$H$15:$H$110)/4000))</f>
        <v/>
      </c>
      <c r="AV111" s="133">
        <f t="array" ref="AV111">SUM((Inverter_data!AN15:'Inverter_data'!AN110)*0.25,AV15:AV110)/(AV$10*(SUM(PR_Calc!$H$15:$H$110)/4000))</f>
        <v/>
      </c>
      <c r="AW111" s="133">
        <f t="array" ref="AW111">SUM((Inverter_data!AO15:'Inverter_data'!AO110)*0.25,AW15:AW110)/(AW$10*(SUM(PR_Calc!$H$15:$H$110)/4000))</f>
        <v/>
      </c>
      <c r="AX111" s="133">
        <f t="array" ref="AX111">SUM((Inverter_data!AP15:'Inverter_data'!AP110)*0.25,AX15:AX110)/(AX$10*(SUM(PR_Calc!$H$15:$H$110)/4000))</f>
        <v/>
      </c>
      <c r="AY111" s="133">
        <f t="array" ref="AY111">SUM((Inverter_data!AQ15:'Inverter_data'!AQ110)*0.25,AY15:AY110)/(AY$10*(SUM(PR_Calc!$H$15:$H$110)/4000))</f>
        <v/>
      </c>
      <c r="AZ111" s="133">
        <f t="array" ref="AZ111">SUM((Inverter_data!AR15:'Inverter_data'!AR110)*0.25,AZ15:AZ110)/(AZ$10*(SUM(PR_Calc!$H$15:$H$110)/4000))</f>
        <v/>
      </c>
      <c r="BA111" s="134">
        <f>SUBTOTAL(109,TabellaMar2026[Colonna64])</f>
        <v/>
      </c>
    </row>
    <row r="115">
      <c r="AL115" s="6" t="n"/>
    </row>
  </sheetData>
  <mergeCells count="20">
    <mergeCell ref="BD6:BG6"/>
    <mergeCell ref="A3:AZ3"/>
    <mergeCell ref="A10:M10"/>
    <mergeCell ref="A5:AZ5"/>
    <mergeCell ref="BD2:BH2"/>
    <mergeCell ref="A9:M9"/>
    <mergeCell ref="A4:AZ4"/>
    <mergeCell ref="A1:BA1"/>
    <mergeCell ref="BD7:BG7"/>
    <mergeCell ref="A11:M11"/>
    <mergeCell ref="BD9:BG9"/>
    <mergeCell ref="BD3:BG3"/>
    <mergeCell ref="BD8:BG8"/>
    <mergeCell ref="BD5:BG5"/>
    <mergeCell ref="A6:AZ6"/>
    <mergeCell ref="A2:BA2"/>
    <mergeCell ref="BD4:BG4"/>
    <mergeCell ref="A7:AZ7"/>
    <mergeCell ref="A8:BA8"/>
    <mergeCell ref="BD10:BG10"/>
  </mergeCells>
  <conditionalFormatting sqref="J15:J110">
    <cfRule type="cellIs" priority="8" operator="greaterThan" dxfId="104">
      <formula>0.03</formula>
    </cfRule>
    <cfRule type="cellIs" priority="9" operator="greaterThan" dxfId="105">
      <formula>"0.03"</formula>
    </cfRule>
    <cfRule type="cellIs" priority="12" operator="greaterThan" dxfId="104">
      <formula>"0.03"</formula>
    </cfRule>
  </conditionalFormatting>
  <conditionalFormatting sqref="N15:N110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O15:Z110 AB15:AM110 AO15:AZ110">
    <cfRule type="colorScale" priority="4">
      <colorScale>
        <cfvo type="num" val="0"/>
        <cfvo type="percentile" val="50"/>
        <cfvo type="max"/>
        <color theme="4" tint="0.7999816888943144"/>
        <color rgb="FFFFEB84"/>
        <color theme="5"/>
      </colorScale>
    </cfRule>
  </conditionalFormatting>
  <pageMargins left="0.7" right="0.7" top="0.75" bottom="0.75" header="0.3" footer="0.3"/>
  <pageSetup orientation="portrait" paperSize="9" horizontalDpi="1200" verticalDpi="12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AU110"/>
  <sheetViews>
    <sheetView topLeftCell="U65" zoomScale="85" zoomScaleNormal="85" workbookViewId="0">
      <selection activeCell="G79" sqref="G79:N83"/>
    </sheetView>
  </sheetViews>
  <sheetFormatPr baseColWidth="8" defaultColWidth="12.85546875" defaultRowHeight="15"/>
  <sheetData>
    <row r="13" ht="15.75" customHeight="1" s="76" thickBot="1"/>
    <row r="14" ht="69.75" customFormat="1" customHeight="1" s="1">
      <c r="A14" s="11" t="inlineStr">
        <is>
          <t>Dati</t>
        </is>
      </c>
      <c r="B14" s="10" t="inlineStr">
        <is>
          <t>ORA</t>
        </is>
      </c>
      <c r="C14" s="10" t="inlineStr">
        <is>
          <t>Active power TX1-INV-1</t>
        </is>
      </c>
      <c r="D14" s="10" t="inlineStr">
        <is>
          <t>Active power TX1-INV-2</t>
        </is>
      </c>
      <c r="E14" s="10" t="inlineStr">
        <is>
          <t>Active power TX1-INV-3</t>
        </is>
      </c>
      <c r="F14" s="10" t="inlineStr">
        <is>
          <t>Active power TX1-INV-4</t>
        </is>
      </c>
      <c r="G14" s="10" t="inlineStr">
        <is>
          <t>Active power TX1-INV-5</t>
        </is>
      </c>
      <c r="H14" s="10" t="inlineStr">
        <is>
          <t>Active power TX1-INV-6</t>
        </is>
      </c>
      <c r="I14" s="10" t="inlineStr">
        <is>
          <t>Active power TX1-INV-7</t>
        </is>
      </c>
      <c r="J14" s="10" t="inlineStr">
        <is>
          <t>Active power TX1-INV-8</t>
        </is>
      </c>
      <c r="K14" s="10" t="inlineStr">
        <is>
          <t>Active power TX1-INV-9</t>
        </is>
      </c>
      <c r="L14" s="10" t="inlineStr">
        <is>
          <t>Active power TX1-INV-10</t>
        </is>
      </c>
      <c r="M14" s="10" t="inlineStr">
        <is>
          <t>Active power TX1-INV-11</t>
        </is>
      </c>
      <c r="N14" s="20" t="inlineStr">
        <is>
          <t>Active power TX1-INV-12</t>
        </is>
      </c>
      <c r="O14" s="22" t="inlineStr">
        <is>
          <t>TX1 - Average Power</t>
        </is>
      </c>
      <c r="P14" s="23" t="inlineStr">
        <is>
          <t>TX1 - Max Power</t>
        </is>
      </c>
      <c r="Q14" s="24" t="inlineStr">
        <is>
          <t>TX1 - Min Power</t>
        </is>
      </c>
      <c r="R14" s="11" t="inlineStr">
        <is>
          <t>Active power TX2-INV-1</t>
        </is>
      </c>
      <c r="S14" s="10" t="inlineStr">
        <is>
          <t>Active power TX2-INV-2</t>
        </is>
      </c>
      <c r="T14" s="10" t="inlineStr">
        <is>
          <t>Active power TX2-INV-3</t>
        </is>
      </c>
      <c r="U14" s="10" t="inlineStr">
        <is>
          <t>Active power TX2-INV-4</t>
        </is>
      </c>
      <c r="V14" s="10" t="inlineStr">
        <is>
          <t>Active power TX2-INV-5</t>
        </is>
      </c>
      <c r="W14" s="10" t="inlineStr">
        <is>
          <t>Active power TX2-INV-6</t>
        </is>
      </c>
      <c r="X14" s="10" t="inlineStr">
        <is>
          <t>Active power TX2-INV-7</t>
        </is>
      </c>
      <c r="Y14" s="10" t="inlineStr">
        <is>
          <t>Active power TX2-INV-8</t>
        </is>
      </c>
      <c r="Z14" s="10" t="inlineStr">
        <is>
          <t>Active power TX2-INV-9</t>
        </is>
      </c>
      <c r="AA14" s="10" t="inlineStr">
        <is>
          <t>Active power TX2-INV-10</t>
        </is>
      </c>
      <c r="AB14" s="10" t="inlineStr">
        <is>
          <t>Active power TX2-INV-11</t>
        </is>
      </c>
      <c r="AC14" s="20" t="inlineStr">
        <is>
          <t>Active power TX2-INV-12</t>
        </is>
      </c>
      <c r="AD14" s="22" t="inlineStr">
        <is>
          <t>TX2 - Average Power</t>
        </is>
      </c>
      <c r="AE14" s="23" t="inlineStr">
        <is>
          <t>TX2 - Max Power</t>
        </is>
      </c>
      <c r="AF14" s="24" t="inlineStr">
        <is>
          <t>TX2 - Min Power</t>
        </is>
      </c>
      <c r="AG14" s="11" t="inlineStr">
        <is>
          <t>Active power TX3-INV-1</t>
        </is>
      </c>
      <c r="AH14" s="10" t="inlineStr">
        <is>
          <t>Active power TX3-INV-2</t>
        </is>
      </c>
      <c r="AI14" s="10" t="inlineStr">
        <is>
          <t>Active power TX3-INV-3</t>
        </is>
      </c>
      <c r="AJ14" s="10" t="inlineStr">
        <is>
          <t>Active power TX3-INV-4</t>
        </is>
      </c>
      <c r="AK14" s="10" t="inlineStr">
        <is>
          <t>Active power TX3-INV-5</t>
        </is>
      </c>
      <c r="AL14" s="10" t="inlineStr">
        <is>
          <t>Active power TX3-INV-6</t>
        </is>
      </c>
      <c r="AM14" s="10" t="inlineStr">
        <is>
          <t>Active power TX3-INV-7</t>
        </is>
      </c>
      <c r="AN14" s="10" t="inlineStr">
        <is>
          <t>Active power TX3-INV-8</t>
        </is>
      </c>
      <c r="AO14" s="10" t="inlineStr">
        <is>
          <t>Active power TX3-INV-9</t>
        </is>
      </c>
      <c r="AP14" s="10" t="inlineStr">
        <is>
          <t>Active power TX3-INV-10</t>
        </is>
      </c>
      <c r="AQ14" s="10" t="inlineStr">
        <is>
          <t>Active power TX3-INV-11</t>
        </is>
      </c>
      <c r="AR14" s="20" t="inlineStr">
        <is>
          <t>Active power TX3-INV-12</t>
        </is>
      </c>
      <c r="AS14" s="22" t="inlineStr">
        <is>
          <t>TX3 - Average Power</t>
        </is>
      </c>
      <c r="AT14" s="23" t="inlineStr">
        <is>
          <t>TX3 - Max Power</t>
        </is>
      </c>
      <c r="AU14" s="24" t="inlineStr">
        <is>
          <t>TX3 - Min Power</t>
        </is>
      </c>
    </row>
    <row r="15">
      <c r="A15" s="135" t="n">
        <v>46143</v>
      </c>
      <c r="B15" s="39" t="inlineStr">
        <is>
          <t>00:00:00.000</t>
        </is>
      </c>
      <c r="C15" s="136" t="n">
        <v>0</v>
      </c>
      <c r="D15" s="136" t="n">
        <v>0</v>
      </c>
      <c r="E15" s="136" t="n">
        <v>0</v>
      </c>
      <c r="F15" s="136" t="n">
        <v>0</v>
      </c>
      <c r="G15" s="136" t="n">
        <v>0</v>
      </c>
      <c r="H15" s="136" t="n">
        <v>0</v>
      </c>
      <c r="I15" s="136" t="n">
        <v>0</v>
      </c>
      <c r="J15" s="136" t="n">
        <v>0</v>
      </c>
      <c r="K15" s="136" t="n">
        <v>0</v>
      </c>
      <c r="L15" s="136" t="n">
        <v>0</v>
      </c>
      <c r="M15" s="136" t="n">
        <v>0</v>
      </c>
      <c r="N15" s="137" t="n">
        <v>0</v>
      </c>
      <c r="O15" s="138">
        <f>IFERROR(AVERAGEIF(Tabella01MarzoInverter[[#This Row],[Active power TX1-INV-1]:[Active power TX1-INV-12]], "&gt;0"), 0)</f>
        <v/>
      </c>
      <c r="P15" s="136">
        <f>MAX(Tabella01MarzoInverter[[#This Row],[Active power TX1-INV-1]:[Active power TX1-INV-12]])</f>
        <v/>
      </c>
      <c r="Q15" s="139">
        <f>MIN(Tabella01MarzoInverter[[#This Row],[Active power TX1-INV-1]:[Active power TX1-INV-12]])</f>
        <v/>
      </c>
      <c r="R15" s="140" t="n">
        <v>0</v>
      </c>
      <c r="S15" s="136" t="n">
        <v>0</v>
      </c>
      <c r="T15" s="136" t="n">
        <v>0</v>
      </c>
      <c r="U15" s="136" t="n">
        <v>0</v>
      </c>
      <c r="V15" s="136" t="n">
        <v>0</v>
      </c>
      <c r="W15" s="136" t="n">
        <v>0</v>
      </c>
      <c r="X15" s="136" t="n">
        <v>0</v>
      </c>
      <c r="Y15" s="136" t="n">
        <v>0</v>
      </c>
      <c r="Z15" s="136" t="n">
        <v>0</v>
      </c>
      <c r="AA15" s="136" t="n">
        <v>0</v>
      </c>
      <c r="AB15" s="136" t="n">
        <v>0</v>
      </c>
      <c r="AC15" s="137" t="n">
        <v>0</v>
      </c>
      <c r="AD15" s="138">
        <f>IFERROR(AVERAGEIF(Tabella01MarzoInverter[[#This Row],[Active power TX2-INV-1]:[Active power TX2-INV-12]], "&gt;0"), 0)</f>
        <v/>
      </c>
      <c r="AE15" s="136">
        <f>MAX(Tabella01MarzoInverter[[#This Row],[Active power TX2-INV-1]:[Active power TX2-INV-12]])</f>
        <v/>
      </c>
      <c r="AF15" s="139">
        <f>MIN(Tabella01MarzoInverter[[#This Row],[Active power TX2-INV-1]:[Active power TX2-INV-12]])</f>
        <v/>
      </c>
      <c r="AG15" s="140" t="n">
        <v>0</v>
      </c>
      <c r="AH15" s="136" t="n">
        <v>0</v>
      </c>
      <c r="AI15" s="136" t="n">
        <v>0</v>
      </c>
      <c r="AJ15" s="136" t="n">
        <v>0</v>
      </c>
      <c r="AK15" s="136" t="n">
        <v>0</v>
      </c>
      <c r="AL15" s="136" t="n">
        <v>0</v>
      </c>
      <c r="AM15" s="136" t="n">
        <v>0</v>
      </c>
      <c r="AN15" s="136" t="n">
        <v>0</v>
      </c>
      <c r="AO15" s="136" t="n">
        <v>0</v>
      </c>
      <c r="AP15" s="136" t="n">
        <v>0</v>
      </c>
      <c r="AQ15" s="136" t="n">
        <v>0</v>
      </c>
      <c r="AR15" s="137" t="n">
        <v>0</v>
      </c>
      <c r="AS15" s="138">
        <f>IFERROR(AVERAGEIF(Tabella01MarzoInverter[[#This Row],[Active power TX3-INV-1]:[Active power TX3-INV-12]], "&gt;0"), 0)</f>
        <v/>
      </c>
      <c r="AT15" s="136">
        <f>MAX(Tabella01MarzoInverter[[#This Row],[Active power TX3-INV-1]:[Active power TX3-INV-12]])</f>
        <v/>
      </c>
      <c r="AU15" s="139">
        <f>MIN(Tabella01MarzoInverter[[#This Row],[Active power TX3-INV-1]:[Active power TX3-INV-12]])</f>
        <v/>
      </c>
    </row>
    <row r="16">
      <c r="A16" s="135" t="n">
        <v>46143</v>
      </c>
      <c r="B16" s="45" t="inlineStr">
        <is>
          <t>00:15:00.000</t>
        </is>
      </c>
      <c r="C16" s="136" t="n">
        <v>0</v>
      </c>
      <c r="D16" s="136" t="n">
        <v>0</v>
      </c>
      <c r="E16" s="136" t="n">
        <v>0</v>
      </c>
      <c r="F16" s="136" t="n">
        <v>0</v>
      </c>
      <c r="G16" s="136" t="n">
        <v>0</v>
      </c>
      <c r="H16" s="136" t="n">
        <v>0</v>
      </c>
      <c r="I16" s="136" t="n">
        <v>0</v>
      </c>
      <c r="J16" s="136" t="n">
        <v>0</v>
      </c>
      <c r="K16" s="136" t="n">
        <v>0</v>
      </c>
      <c r="L16" s="136" t="n">
        <v>0</v>
      </c>
      <c r="M16" s="136" t="n">
        <v>0</v>
      </c>
      <c r="N16" s="137" t="n">
        <v>0</v>
      </c>
      <c r="O16" s="138">
        <f>IFERROR(AVERAGEIF(Tabella01MarzoInverter[[#This Row],[Active power TX1-INV-1]:[Active power TX1-INV-12]], "&gt;0"), 0)</f>
        <v/>
      </c>
      <c r="P16" s="136">
        <f>MAX(Tabella01MarzoInverter[[#This Row],[Active power TX1-INV-1]:[Active power TX1-INV-12]])</f>
        <v/>
      </c>
      <c r="Q16" s="139">
        <f>MIN(Tabella01MarzoInverter[[#This Row],[Active power TX1-INV-1]:[Active power TX1-INV-12]])</f>
        <v/>
      </c>
      <c r="R16" s="140" t="n">
        <v>0</v>
      </c>
      <c r="S16" s="136" t="n">
        <v>0</v>
      </c>
      <c r="T16" s="136" t="n">
        <v>0</v>
      </c>
      <c r="U16" s="136" t="n">
        <v>0</v>
      </c>
      <c r="V16" s="136" t="n">
        <v>0</v>
      </c>
      <c r="W16" s="136" t="n">
        <v>0</v>
      </c>
      <c r="X16" s="136" t="n">
        <v>0</v>
      </c>
      <c r="Y16" s="136" t="n">
        <v>0</v>
      </c>
      <c r="Z16" s="136" t="n">
        <v>0</v>
      </c>
      <c r="AA16" s="136" t="n">
        <v>0</v>
      </c>
      <c r="AB16" s="136" t="n">
        <v>0</v>
      </c>
      <c r="AC16" s="137" t="n">
        <v>0</v>
      </c>
      <c r="AD16" s="138">
        <f>IFERROR(AVERAGEIF(Tabella01MarzoInverter[[#This Row],[Active power TX2-INV-1]:[Active power TX2-INV-12]], "&gt;0"), 0)</f>
        <v/>
      </c>
      <c r="AE16" s="136">
        <f>MAX(Tabella01MarzoInverter[[#This Row],[Active power TX2-INV-1]:[Active power TX2-INV-12]])</f>
        <v/>
      </c>
      <c r="AF16" s="139">
        <f>MIN(Tabella01MarzoInverter[[#This Row],[Active power TX2-INV-1]:[Active power TX2-INV-12]])</f>
        <v/>
      </c>
      <c r="AG16" s="140" t="n">
        <v>0</v>
      </c>
      <c r="AH16" s="136" t="n">
        <v>0</v>
      </c>
      <c r="AI16" s="136" t="n">
        <v>0</v>
      </c>
      <c r="AJ16" s="136" t="n">
        <v>0</v>
      </c>
      <c r="AK16" s="136" t="n">
        <v>0</v>
      </c>
      <c r="AL16" s="136" t="n">
        <v>0</v>
      </c>
      <c r="AM16" s="136" t="n">
        <v>0</v>
      </c>
      <c r="AN16" s="136" t="n">
        <v>0</v>
      </c>
      <c r="AO16" s="136" t="n">
        <v>0</v>
      </c>
      <c r="AP16" s="136" t="n">
        <v>0</v>
      </c>
      <c r="AQ16" s="136" t="n">
        <v>0</v>
      </c>
      <c r="AR16" s="137" t="n">
        <v>0</v>
      </c>
      <c r="AS16" s="138">
        <f>IFERROR(AVERAGEIF(Tabella01MarzoInverter[[#This Row],[Active power TX3-INV-1]:[Active power TX3-INV-12]], "&gt;0"), 0)</f>
        <v/>
      </c>
      <c r="AT16" s="136">
        <f>MAX(Tabella01MarzoInverter[[#This Row],[Active power TX3-INV-1]:[Active power TX3-INV-12]])</f>
        <v/>
      </c>
      <c r="AU16" s="139">
        <f>MIN(Tabella01MarzoInverter[[#This Row],[Active power TX3-INV-1]:[Active power TX3-INV-12]])</f>
        <v/>
      </c>
    </row>
    <row r="17">
      <c r="A17" s="135" t="n">
        <v>46143</v>
      </c>
      <c r="B17" s="39" t="inlineStr">
        <is>
          <t>00:30:00.000</t>
        </is>
      </c>
      <c r="C17" s="136" t="n">
        <v>0</v>
      </c>
      <c r="D17" s="136" t="n">
        <v>0</v>
      </c>
      <c r="E17" s="136" t="n">
        <v>0</v>
      </c>
      <c r="F17" s="136" t="n">
        <v>0</v>
      </c>
      <c r="G17" s="136" t="n">
        <v>0</v>
      </c>
      <c r="H17" s="136" t="n">
        <v>0</v>
      </c>
      <c r="I17" s="136" t="n">
        <v>0</v>
      </c>
      <c r="J17" s="136" t="n">
        <v>0</v>
      </c>
      <c r="K17" s="136" t="n">
        <v>0</v>
      </c>
      <c r="L17" s="136" t="n">
        <v>0</v>
      </c>
      <c r="M17" s="136" t="n">
        <v>0</v>
      </c>
      <c r="N17" s="137" t="n">
        <v>0</v>
      </c>
      <c r="O17" s="138">
        <f>IFERROR(AVERAGEIF(Tabella01MarzoInverter[[#This Row],[Active power TX1-INV-1]:[Active power TX1-INV-12]], "&gt;0"), 0)</f>
        <v/>
      </c>
      <c r="P17" s="136">
        <f>MAX(Tabella01MarzoInverter[[#This Row],[Active power TX1-INV-1]:[Active power TX1-INV-12]])</f>
        <v/>
      </c>
      <c r="Q17" s="139">
        <f>MIN(Tabella01MarzoInverter[[#This Row],[Active power TX1-INV-1]:[Active power TX1-INV-12]])</f>
        <v/>
      </c>
      <c r="R17" s="140" t="n">
        <v>0</v>
      </c>
      <c r="S17" s="136" t="n">
        <v>0</v>
      </c>
      <c r="T17" s="136" t="n">
        <v>0</v>
      </c>
      <c r="U17" s="136" t="n">
        <v>0</v>
      </c>
      <c r="V17" s="136" t="n">
        <v>0</v>
      </c>
      <c r="W17" s="136" t="n">
        <v>0</v>
      </c>
      <c r="X17" s="136" t="n">
        <v>0</v>
      </c>
      <c r="Y17" s="136" t="n">
        <v>0</v>
      </c>
      <c r="Z17" s="136" t="n">
        <v>0</v>
      </c>
      <c r="AA17" s="136" t="n">
        <v>0</v>
      </c>
      <c r="AB17" s="136" t="n">
        <v>0</v>
      </c>
      <c r="AC17" s="137" t="n">
        <v>0</v>
      </c>
      <c r="AD17" s="138">
        <f>IFERROR(AVERAGEIF(Tabella01MarzoInverter[[#This Row],[Active power TX2-INV-1]:[Active power TX2-INV-12]], "&gt;0"), 0)</f>
        <v/>
      </c>
      <c r="AE17" s="136">
        <f>MAX(Tabella01MarzoInverter[[#This Row],[Active power TX2-INV-1]:[Active power TX2-INV-12]])</f>
        <v/>
      </c>
      <c r="AF17" s="139">
        <f>MIN(Tabella01MarzoInverter[[#This Row],[Active power TX2-INV-1]:[Active power TX2-INV-12]])</f>
        <v/>
      </c>
      <c r="AG17" s="140" t="n">
        <v>0</v>
      </c>
      <c r="AH17" s="136" t="n">
        <v>0</v>
      </c>
      <c r="AI17" s="136" t="n">
        <v>0</v>
      </c>
      <c r="AJ17" s="136" t="n">
        <v>0</v>
      </c>
      <c r="AK17" s="136" t="n">
        <v>0</v>
      </c>
      <c r="AL17" s="136" t="n">
        <v>0</v>
      </c>
      <c r="AM17" s="136" t="n">
        <v>0</v>
      </c>
      <c r="AN17" s="136" t="n">
        <v>0</v>
      </c>
      <c r="AO17" s="136" t="n">
        <v>0</v>
      </c>
      <c r="AP17" s="136" t="n">
        <v>0</v>
      </c>
      <c r="AQ17" s="136" t="n">
        <v>0</v>
      </c>
      <c r="AR17" s="137" t="n">
        <v>0</v>
      </c>
      <c r="AS17" s="138">
        <f>IFERROR(AVERAGEIF(Tabella01MarzoInverter[[#This Row],[Active power TX3-INV-1]:[Active power TX3-INV-12]], "&gt;0"), 0)</f>
        <v/>
      </c>
      <c r="AT17" s="136">
        <f>MAX(Tabella01MarzoInverter[[#This Row],[Active power TX3-INV-1]:[Active power TX3-INV-12]])</f>
        <v/>
      </c>
      <c r="AU17" s="139">
        <f>MIN(Tabella01MarzoInverter[[#This Row],[Active power TX3-INV-1]:[Active power TX3-INV-12]])</f>
        <v/>
      </c>
    </row>
    <row r="18">
      <c r="A18" s="135" t="n">
        <v>46143</v>
      </c>
      <c r="B18" s="45" t="inlineStr">
        <is>
          <t>00:45:00.000</t>
        </is>
      </c>
      <c r="C18" s="136" t="n">
        <v>0</v>
      </c>
      <c r="D18" s="136" t="n">
        <v>0</v>
      </c>
      <c r="E18" s="136" t="n">
        <v>0</v>
      </c>
      <c r="F18" s="136" t="n">
        <v>0</v>
      </c>
      <c r="G18" s="136" t="n">
        <v>0</v>
      </c>
      <c r="H18" s="136" t="n">
        <v>0</v>
      </c>
      <c r="I18" s="136" t="n">
        <v>0</v>
      </c>
      <c r="J18" s="136" t="n">
        <v>0</v>
      </c>
      <c r="K18" s="136" t="n">
        <v>0</v>
      </c>
      <c r="L18" s="136" t="n">
        <v>0</v>
      </c>
      <c r="M18" s="136" t="n">
        <v>0</v>
      </c>
      <c r="N18" s="137" t="n">
        <v>0</v>
      </c>
      <c r="O18" s="138">
        <f>IFERROR(AVERAGEIF(Tabella01MarzoInverter[[#This Row],[Active power TX1-INV-1]:[Active power TX1-INV-12]], "&gt;0"), 0)</f>
        <v/>
      </c>
      <c r="P18" s="136">
        <f>MAX(Tabella01MarzoInverter[[#This Row],[Active power TX1-INV-1]:[Active power TX1-INV-12]])</f>
        <v/>
      </c>
      <c r="Q18" s="139">
        <f>MIN(Tabella01MarzoInverter[[#This Row],[Active power TX1-INV-1]:[Active power TX1-INV-12]])</f>
        <v/>
      </c>
      <c r="R18" s="140" t="n">
        <v>0</v>
      </c>
      <c r="S18" s="136" t="n">
        <v>0</v>
      </c>
      <c r="T18" s="136" t="n">
        <v>0</v>
      </c>
      <c r="U18" s="136" t="n">
        <v>0</v>
      </c>
      <c r="V18" s="136" t="n">
        <v>0</v>
      </c>
      <c r="W18" s="136" t="n">
        <v>0</v>
      </c>
      <c r="X18" s="136" t="n">
        <v>0</v>
      </c>
      <c r="Y18" s="136" t="n">
        <v>0</v>
      </c>
      <c r="Z18" s="136" t="n">
        <v>0</v>
      </c>
      <c r="AA18" s="136" t="n">
        <v>0</v>
      </c>
      <c r="AB18" s="136" t="n">
        <v>0</v>
      </c>
      <c r="AC18" s="137" t="n">
        <v>0</v>
      </c>
      <c r="AD18" s="138">
        <f>IFERROR(AVERAGEIF(Tabella01MarzoInverter[[#This Row],[Active power TX2-INV-1]:[Active power TX2-INV-12]], "&gt;0"), 0)</f>
        <v/>
      </c>
      <c r="AE18" s="136">
        <f>MAX(Tabella01MarzoInverter[[#This Row],[Active power TX2-INV-1]:[Active power TX2-INV-12]])</f>
        <v/>
      </c>
      <c r="AF18" s="139">
        <f>MIN(Tabella01MarzoInverter[[#This Row],[Active power TX2-INV-1]:[Active power TX2-INV-12]])</f>
        <v/>
      </c>
      <c r="AG18" s="140" t="n">
        <v>0</v>
      </c>
      <c r="AH18" s="136" t="n">
        <v>0</v>
      </c>
      <c r="AI18" s="136" t="n">
        <v>0</v>
      </c>
      <c r="AJ18" s="136" t="n">
        <v>0</v>
      </c>
      <c r="AK18" s="136" t="n">
        <v>0</v>
      </c>
      <c r="AL18" s="136" t="n">
        <v>0</v>
      </c>
      <c r="AM18" s="136" t="n">
        <v>0</v>
      </c>
      <c r="AN18" s="136" t="n">
        <v>0</v>
      </c>
      <c r="AO18" s="136" t="n">
        <v>0</v>
      </c>
      <c r="AP18" s="136" t="n">
        <v>0</v>
      </c>
      <c r="AQ18" s="136" t="n">
        <v>0</v>
      </c>
      <c r="AR18" s="137" t="n">
        <v>0</v>
      </c>
      <c r="AS18" s="138">
        <f>IFERROR(AVERAGEIF(Tabella01MarzoInverter[[#This Row],[Active power TX3-INV-1]:[Active power TX3-INV-12]], "&gt;0"), 0)</f>
        <v/>
      </c>
      <c r="AT18" s="136">
        <f>MAX(Tabella01MarzoInverter[[#This Row],[Active power TX3-INV-1]:[Active power TX3-INV-12]])</f>
        <v/>
      </c>
      <c r="AU18" s="139">
        <f>MIN(Tabella01MarzoInverter[[#This Row],[Active power TX3-INV-1]:[Active power TX3-INV-12]])</f>
        <v/>
      </c>
    </row>
    <row r="19">
      <c r="A19" s="135" t="n">
        <v>46143</v>
      </c>
      <c r="B19" s="39" t="inlineStr">
        <is>
          <t>01:00:00.000</t>
        </is>
      </c>
      <c r="C19" s="136" t="n">
        <v>0</v>
      </c>
      <c r="D19" s="136" t="n">
        <v>0</v>
      </c>
      <c r="E19" s="136" t="n">
        <v>0</v>
      </c>
      <c r="F19" s="136" t="n">
        <v>0</v>
      </c>
      <c r="G19" s="136" t="n">
        <v>0</v>
      </c>
      <c r="H19" s="136" t="n">
        <v>0</v>
      </c>
      <c r="I19" s="136" t="n">
        <v>0</v>
      </c>
      <c r="J19" s="136" t="n">
        <v>0</v>
      </c>
      <c r="K19" s="136" t="n">
        <v>0</v>
      </c>
      <c r="L19" s="136" t="n">
        <v>0</v>
      </c>
      <c r="M19" s="136" t="n">
        <v>0</v>
      </c>
      <c r="N19" s="137" t="n">
        <v>0</v>
      </c>
      <c r="O19" s="138">
        <f>IFERROR(AVERAGEIF(Tabella01MarzoInverter[[#This Row],[Active power TX1-INV-1]:[Active power TX1-INV-12]], "&gt;0"), 0)</f>
        <v/>
      </c>
      <c r="P19" s="136">
        <f>MAX(Tabella01MarzoInverter[[#This Row],[Active power TX1-INV-1]:[Active power TX1-INV-12]])</f>
        <v/>
      </c>
      <c r="Q19" s="139">
        <f>MIN(Tabella01MarzoInverter[[#This Row],[Active power TX1-INV-1]:[Active power TX1-INV-12]])</f>
        <v/>
      </c>
      <c r="R19" s="140" t="n">
        <v>0</v>
      </c>
      <c r="S19" s="136" t="n">
        <v>0</v>
      </c>
      <c r="T19" s="136" t="n">
        <v>0</v>
      </c>
      <c r="U19" s="136" t="n">
        <v>0</v>
      </c>
      <c r="V19" s="136" t="n">
        <v>0</v>
      </c>
      <c r="W19" s="136" t="n">
        <v>0</v>
      </c>
      <c r="X19" s="136" t="n">
        <v>0</v>
      </c>
      <c r="Y19" s="136" t="n">
        <v>0</v>
      </c>
      <c r="Z19" s="136" t="n">
        <v>0</v>
      </c>
      <c r="AA19" s="136" t="n">
        <v>0</v>
      </c>
      <c r="AB19" s="136" t="n">
        <v>0</v>
      </c>
      <c r="AC19" s="137" t="n">
        <v>0</v>
      </c>
      <c r="AD19" s="138">
        <f>IFERROR(AVERAGEIF(Tabella01MarzoInverter[[#This Row],[Active power TX2-INV-1]:[Active power TX2-INV-12]], "&gt;0"), 0)</f>
        <v/>
      </c>
      <c r="AE19" s="136">
        <f>MAX(Tabella01MarzoInverter[[#This Row],[Active power TX2-INV-1]:[Active power TX2-INV-12]])</f>
        <v/>
      </c>
      <c r="AF19" s="139">
        <f>MIN(Tabella01MarzoInverter[[#This Row],[Active power TX2-INV-1]:[Active power TX2-INV-12]])</f>
        <v/>
      </c>
      <c r="AG19" s="140" t="n">
        <v>0</v>
      </c>
      <c r="AH19" s="136" t="n">
        <v>0</v>
      </c>
      <c r="AI19" s="136" t="n">
        <v>0</v>
      </c>
      <c r="AJ19" s="136" t="n">
        <v>0</v>
      </c>
      <c r="AK19" s="136" t="n">
        <v>0</v>
      </c>
      <c r="AL19" s="136" t="n">
        <v>0</v>
      </c>
      <c r="AM19" s="136" t="n">
        <v>0</v>
      </c>
      <c r="AN19" s="136" t="n">
        <v>0</v>
      </c>
      <c r="AO19" s="136" t="n">
        <v>0</v>
      </c>
      <c r="AP19" s="136" t="n">
        <v>0</v>
      </c>
      <c r="AQ19" s="136" t="n">
        <v>0</v>
      </c>
      <c r="AR19" s="137" t="n">
        <v>0</v>
      </c>
      <c r="AS19" s="138">
        <f>IFERROR(AVERAGEIF(Tabella01MarzoInverter[[#This Row],[Active power TX3-INV-1]:[Active power TX3-INV-12]], "&gt;0"), 0)</f>
        <v/>
      </c>
      <c r="AT19" s="136">
        <f>MAX(Tabella01MarzoInverter[[#This Row],[Active power TX3-INV-1]:[Active power TX3-INV-12]])</f>
        <v/>
      </c>
      <c r="AU19" s="139">
        <f>MIN(Tabella01MarzoInverter[[#This Row],[Active power TX3-INV-1]:[Active power TX3-INV-12]])</f>
        <v/>
      </c>
    </row>
    <row r="20">
      <c r="A20" s="135" t="n">
        <v>46143</v>
      </c>
      <c r="B20" s="45" t="inlineStr">
        <is>
          <t>01:15:00.000</t>
        </is>
      </c>
      <c r="C20" s="136" t="n">
        <v>0</v>
      </c>
      <c r="D20" s="136" t="n">
        <v>0</v>
      </c>
      <c r="E20" s="136" t="n">
        <v>0</v>
      </c>
      <c r="F20" s="136" t="n">
        <v>0</v>
      </c>
      <c r="G20" s="136" t="n">
        <v>0</v>
      </c>
      <c r="H20" s="136" t="n">
        <v>0</v>
      </c>
      <c r="I20" s="136" t="n">
        <v>0</v>
      </c>
      <c r="J20" s="136" t="n">
        <v>0</v>
      </c>
      <c r="K20" s="136" t="n">
        <v>0</v>
      </c>
      <c r="L20" s="136" t="n">
        <v>0</v>
      </c>
      <c r="M20" s="136" t="n">
        <v>0</v>
      </c>
      <c r="N20" s="137" t="n">
        <v>0</v>
      </c>
      <c r="O20" s="138">
        <f>IFERROR(AVERAGEIF(Tabella01MarzoInverter[[#This Row],[Active power TX1-INV-1]:[Active power TX1-INV-12]], "&gt;0"), 0)</f>
        <v/>
      </c>
      <c r="P20" s="136">
        <f>MAX(Tabella01MarzoInverter[[#This Row],[Active power TX1-INV-1]:[Active power TX1-INV-12]])</f>
        <v/>
      </c>
      <c r="Q20" s="139">
        <f>MIN(Tabella01MarzoInverter[[#This Row],[Active power TX1-INV-1]:[Active power TX1-INV-12]])</f>
        <v/>
      </c>
      <c r="R20" s="140" t="n">
        <v>0</v>
      </c>
      <c r="S20" s="136" t="n">
        <v>0</v>
      </c>
      <c r="T20" s="136" t="n">
        <v>0</v>
      </c>
      <c r="U20" s="136" t="n">
        <v>0</v>
      </c>
      <c r="V20" s="136" t="n">
        <v>0</v>
      </c>
      <c r="W20" s="136" t="n">
        <v>0</v>
      </c>
      <c r="X20" s="136" t="n">
        <v>0</v>
      </c>
      <c r="Y20" s="136" t="n">
        <v>0</v>
      </c>
      <c r="Z20" s="136" t="n">
        <v>0</v>
      </c>
      <c r="AA20" s="136" t="n">
        <v>0</v>
      </c>
      <c r="AB20" s="136" t="n">
        <v>0</v>
      </c>
      <c r="AC20" s="137" t="n">
        <v>0</v>
      </c>
      <c r="AD20" s="138">
        <f>IFERROR(AVERAGEIF(Tabella01MarzoInverter[[#This Row],[Active power TX2-INV-1]:[Active power TX2-INV-12]], "&gt;0"), 0)</f>
        <v/>
      </c>
      <c r="AE20" s="136">
        <f>MAX(Tabella01MarzoInverter[[#This Row],[Active power TX2-INV-1]:[Active power TX2-INV-12]])</f>
        <v/>
      </c>
      <c r="AF20" s="139">
        <f>MIN(Tabella01MarzoInverter[[#This Row],[Active power TX2-INV-1]:[Active power TX2-INV-12]])</f>
        <v/>
      </c>
      <c r="AG20" s="140" t="n">
        <v>0</v>
      </c>
      <c r="AH20" s="136" t="n">
        <v>0</v>
      </c>
      <c r="AI20" s="136" t="n">
        <v>0</v>
      </c>
      <c r="AJ20" s="136" t="n">
        <v>0</v>
      </c>
      <c r="AK20" s="136" t="n">
        <v>0</v>
      </c>
      <c r="AL20" s="136" t="n">
        <v>0</v>
      </c>
      <c r="AM20" s="136" t="n">
        <v>0</v>
      </c>
      <c r="AN20" s="136" t="n">
        <v>0</v>
      </c>
      <c r="AO20" s="136" t="n">
        <v>0</v>
      </c>
      <c r="AP20" s="136" t="n">
        <v>0</v>
      </c>
      <c r="AQ20" s="136" t="n">
        <v>0</v>
      </c>
      <c r="AR20" s="137" t="n">
        <v>0</v>
      </c>
      <c r="AS20" s="138">
        <f>IFERROR(AVERAGEIF(Tabella01MarzoInverter[[#This Row],[Active power TX3-INV-1]:[Active power TX3-INV-12]], "&gt;0"), 0)</f>
        <v/>
      </c>
      <c r="AT20" s="136">
        <f>MAX(Tabella01MarzoInverter[[#This Row],[Active power TX3-INV-1]:[Active power TX3-INV-12]])</f>
        <v/>
      </c>
      <c r="AU20" s="139">
        <f>MIN(Tabella01MarzoInverter[[#This Row],[Active power TX3-INV-1]:[Active power TX3-INV-12]])</f>
        <v/>
      </c>
    </row>
    <row r="21">
      <c r="A21" s="135" t="n">
        <v>46143</v>
      </c>
      <c r="B21" s="39" t="inlineStr">
        <is>
          <t>01:30:00.000</t>
        </is>
      </c>
      <c r="C21" s="136" t="n">
        <v>0</v>
      </c>
      <c r="D21" s="136" t="n">
        <v>0</v>
      </c>
      <c r="E21" s="136" t="n">
        <v>0</v>
      </c>
      <c r="F21" s="136" t="n">
        <v>0</v>
      </c>
      <c r="G21" s="136" t="n">
        <v>0</v>
      </c>
      <c r="H21" s="136" t="n">
        <v>0</v>
      </c>
      <c r="I21" s="136" t="n">
        <v>0</v>
      </c>
      <c r="J21" s="136" t="n">
        <v>0</v>
      </c>
      <c r="K21" s="136" t="n">
        <v>0</v>
      </c>
      <c r="L21" s="136" t="n">
        <v>0</v>
      </c>
      <c r="M21" s="136" t="n">
        <v>0</v>
      </c>
      <c r="N21" s="137" t="n">
        <v>0</v>
      </c>
      <c r="O21" s="138">
        <f>IFERROR(AVERAGEIF(Tabella01MarzoInverter[[#This Row],[Active power TX1-INV-1]:[Active power TX1-INV-12]], "&gt;0"), 0)</f>
        <v/>
      </c>
      <c r="P21" s="136">
        <f>MAX(Tabella01MarzoInverter[[#This Row],[Active power TX1-INV-1]:[Active power TX1-INV-12]])</f>
        <v/>
      </c>
      <c r="Q21" s="139">
        <f>MIN(Tabella01MarzoInverter[[#This Row],[Active power TX1-INV-1]:[Active power TX1-INV-12]])</f>
        <v/>
      </c>
      <c r="R21" s="140" t="n">
        <v>0</v>
      </c>
      <c r="S21" s="136" t="n">
        <v>0</v>
      </c>
      <c r="T21" s="136" t="n">
        <v>0</v>
      </c>
      <c r="U21" s="136" t="n">
        <v>0</v>
      </c>
      <c r="V21" s="136" t="n">
        <v>0</v>
      </c>
      <c r="W21" s="136" t="n">
        <v>0</v>
      </c>
      <c r="X21" s="136" t="n">
        <v>0</v>
      </c>
      <c r="Y21" s="136" t="n">
        <v>0</v>
      </c>
      <c r="Z21" s="136" t="n">
        <v>0</v>
      </c>
      <c r="AA21" s="136" t="n">
        <v>0</v>
      </c>
      <c r="AB21" s="136" t="n">
        <v>0</v>
      </c>
      <c r="AC21" s="137" t="n">
        <v>0</v>
      </c>
      <c r="AD21" s="138">
        <f>IFERROR(AVERAGEIF(Tabella01MarzoInverter[[#This Row],[Active power TX2-INV-1]:[Active power TX2-INV-12]], "&gt;0"), 0)</f>
        <v/>
      </c>
      <c r="AE21" s="136">
        <f>MAX(Tabella01MarzoInverter[[#This Row],[Active power TX2-INV-1]:[Active power TX2-INV-12]])</f>
        <v/>
      </c>
      <c r="AF21" s="139">
        <f>MIN(Tabella01MarzoInverter[[#This Row],[Active power TX2-INV-1]:[Active power TX2-INV-12]])</f>
        <v/>
      </c>
      <c r="AG21" s="140" t="n">
        <v>0</v>
      </c>
      <c r="AH21" s="136" t="n">
        <v>0</v>
      </c>
      <c r="AI21" s="136" t="n">
        <v>0</v>
      </c>
      <c r="AJ21" s="136" t="n">
        <v>0</v>
      </c>
      <c r="AK21" s="136" t="n">
        <v>0</v>
      </c>
      <c r="AL21" s="136" t="n">
        <v>0</v>
      </c>
      <c r="AM21" s="136" t="n">
        <v>0</v>
      </c>
      <c r="AN21" s="136" t="n">
        <v>0</v>
      </c>
      <c r="AO21" s="136" t="n">
        <v>0</v>
      </c>
      <c r="AP21" s="136" t="n">
        <v>0</v>
      </c>
      <c r="AQ21" s="136" t="n">
        <v>0</v>
      </c>
      <c r="AR21" s="137" t="n">
        <v>0</v>
      </c>
      <c r="AS21" s="138">
        <f>IFERROR(AVERAGEIF(Tabella01MarzoInverter[[#This Row],[Active power TX3-INV-1]:[Active power TX3-INV-12]], "&gt;0"), 0)</f>
        <v/>
      </c>
      <c r="AT21" s="136">
        <f>MAX(Tabella01MarzoInverter[[#This Row],[Active power TX3-INV-1]:[Active power TX3-INV-12]])</f>
        <v/>
      </c>
      <c r="AU21" s="139">
        <f>MIN(Tabella01MarzoInverter[[#This Row],[Active power TX3-INV-1]:[Active power TX3-INV-12]])</f>
        <v/>
      </c>
    </row>
    <row r="22">
      <c r="A22" s="135" t="n">
        <v>46143</v>
      </c>
      <c r="B22" s="45" t="inlineStr">
        <is>
          <t>01:45:00.000</t>
        </is>
      </c>
      <c r="C22" s="136" t="n">
        <v>0</v>
      </c>
      <c r="D22" s="136" t="n">
        <v>0</v>
      </c>
      <c r="E22" s="136" t="n">
        <v>0</v>
      </c>
      <c r="F22" s="136" t="n">
        <v>0</v>
      </c>
      <c r="G22" s="136" t="n">
        <v>0</v>
      </c>
      <c r="H22" s="136" t="n">
        <v>0</v>
      </c>
      <c r="I22" s="136" t="n">
        <v>0</v>
      </c>
      <c r="J22" s="136" t="n">
        <v>0</v>
      </c>
      <c r="K22" s="136" t="n">
        <v>0</v>
      </c>
      <c r="L22" s="136" t="n">
        <v>0</v>
      </c>
      <c r="M22" s="136" t="n">
        <v>0</v>
      </c>
      <c r="N22" s="137" t="n">
        <v>0</v>
      </c>
      <c r="O22" s="138">
        <f>IFERROR(AVERAGEIF(Tabella01MarzoInverter[[#This Row],[Active power TX1-INV-1]:[Active power TX1-INV-12]], "&gt;0"), 0)</f>
        <v/>
      </c>
      <c r="P22" s="136">
        <f>MAX(Tabella01MarzoInverter[[#This Row],[Active power TX1-INV-1]:[Active power TX1-INV-12]])</f>
        <v/>
      </c>
      <c r="Q22" s="139">
        <f>MIN(Tabella01MarzoInverter[[#This Row],[Active power TX1-INV-1]:[Active power TX1-INV-12]])</f>
        <v/>
      </c>
      <c r="R22" s="140" t="n">
        <v>0</v>
      </c>
      <c r="S22" s="136" t="n">
        <v>0</v>
      </c>
      <c r="T22" s="136" t="n">
        <v>0</v>
      </c>
      <c r="U22" s="136" t="n">
        <v>0</v>
      </c>
      <c r="V22" s="136" t="n">
        <v>0</v>
      </c>
      <c r="W22" s="136" t="n">
        <v>0</v>
      </c>
      <c r="X22" s="136" t="n">
        <v>0</v>
      </c>
      <c r="Y22" s="136" t="n">
        <v>0</v>
      </c>
      <c r="Z22" s="136" t="n">
        <v>0</v>
      </c>
      <c r="AA22" s="136" t="n">
        <v>0</v>
      </c>
      <c r="AB22" s="136" t="n">
        <v>0</v>
      </c>
      <c r="AC22" s="137" t="n">
        <v>0</v>
      </c>
      <c r="AD22" s="138">
        <f>IFERROR(AVERAGEIF(Tabella01MarzoInverter[[#This Row],[Active power TX2-INV-1]:[Active power TX2-INV-12]], "&gt;0"), 0)</f>
        <v/>
      </c>
      <c r="AE22" s="136">
        <f>MAX(Tabella01MarzoInverter[[#This Row],[Active power TX2-INV-1]:[Active power TX2-INV-12]])</f>
        <v/>
      </c>
      <c r="AF22" s="139">
        <f>MIN(Tabella01MarzoInverter[[#This Row],[Active power TX2-INV-1]:[Active power TX2-INV-12]])</f>
        <v/>
      </c>
      <c r="AG22" s="140" t="n">
        <v>0</v>
      </c>
      <c r="AH22" s="136" t="n">
        <v>0</v>
      </c>
      <c r="AI22" s="136" t="n">
        <v>0</v>
      </c>
      <c r="AJ22" s="136" t="n">
        <v>0</v>
      </c>
      <c r="AK22" s="136" t="n">
        <v>0</v>
      </c>
      <c r="AL22" s="136" t="n">
        <v>0</v>
      </c>
      <c r="AM22" s="136" t="n">
        <v>0</v>
      </c>
      <c r="AN22" s="136" t="n">
        <v>0</v>
      </c>
      <c r="AO22" s="136" t="n">
        <v>0</v>
      </c>
      <c r="AP22" s="136" t="n">
        <v>0</v>
      </c>
      <c r="AQ22" s="136" t="n">
        <v>0</v>
      </c>
      <c r="AR22" s="137" t="n">
        <v>0</v>
      </c>
      <c r="AS22" s="138">
        <f>IFERROR(AVERAGEIF(Tabella01MarzoInverter[[#This Row],[Active power TX3-INV-1]:[Active power TX3-INV-12]], "&gt;0"), 0)</f>
        <v/>
      </c>
      <c r="AT22" s="136">
        <f>MAX(Tabella01MarzoInverter[[#This Row],[Active power TX3-INV-1]:[Active power TX3-INV-12]])</f>
        <v/>
      </c>
      <c r="AU22" s="139">
        <f>MIN(Tabella01MarzoInverter[[#This Row],[Active power TX3-INV-1]:[Active power TX3-INV-12]])</f>
        <v/>
      </c>
    </row>
    <row r="23">
      <c r="A23" s="135" t="n">
        <v>46143</v>
      </c>
      <c r="B23" s="39" t="inlineStr">
        <is>
          <t>02:00:00.000</t>
        </is>
      </c>
      <c r="C23" s="136" t="n">
        <v>0</v>
      </c>
      <c r="D23" s="136" t="n">
        <v>0</v>
      </c>
      <c r="E23" s="136" t="n">
        <v>0</v>
      </c>
      <c r="F23" s="136" t="n">
        <v>0</v>
      </c>
      <c r="G23" s="136" t="n">
        <v>0</v>
      </c>
      <c r="H23" s="136" t="n">
        <v>0</v>
      </c>
      <c r="I23" s="136" t="n">
        <v>0</v>
      </c>
      <c r="J23" s="136" t="n">
        <v>0</v>
      </c>
      <c r="K23" s="136" t="n">
        <v>0</v>
      </c>
      <c r="L23" s="136" t="n">
        <v>0</v>
      </c>
      <c r="M23" s="136" t="n">
        <v>0</v>
      </c>
      <c r="N23" s="137" t="n">
        <v>0</v>
      </c>
      <c r="O23" s="138">
        <f>IFERROR(AVERAGEIF(Tabella01MarzoInverter[[#This Row],[Active power TX1-INV-1]:[Active power TX1-INV-12]], "&gt;0"), 0)</f>
        <v/>
      </c>
      <c r="P23" s="136">
        <f>MAX(Tabella01MarzoInverter[[#This Row],[Active power TX1-INV-1]:[Active power TX1-INV-12]])</f>
        <v/>
      </c>
      <c r="Q23" s="139">
        <f>MIN(Tabella01MarzoInverter[[#This Row],[Active power TX1-INV-1]:[Active power TX1-INV-12]])</f>
        <v/>
      </c>
      <c r="R23" s="140" t="n">
        <v>0</v>
      </c>
      <c r="S23" s="136" t="n">
        <v>0</v>
      </c>
      <c r="T23" s="136" t="n">
        <v>0</v>
      </c>
      <c r="U23" s="136" t="n">
        <v>0</v>
      </c>
      <c r="V23" s="136" t="n">
        <v>0</v>
      </c>
      <c r="W23" s="136" t="n">
        <v>0</v>
      </c>
      <c r="X23" s="136" t="n">
        <v>0</v>
      </c>
      <c r="Y23" s="136" t="n">
        <v>0</v>
      </c>
      <c r="Z23" s="136" t="n">
        <v>0</v>
      </c>
      <c r="AA23" s="136" t="n">
        <v>0</v>
      </c>
      <c r="AB23" s="136" t="n">
        <v>0</v>
      </c>
      <c r="AC23" s="137" t="n">
        <v>0</v>
      </c>
      <c r="AD23" s="138">
        <f>IFERROR(AVERAGEIF(Tabella01MarzoInverter[[#This Row],[Active power TX2-INV-1]:[Active power TX2-INV-12]], "&gt;0"), 0)</f>
        <v/>
      </c>
      <c r="AE23" s="136">
        <f>MAX(Tabella01MarzoInverter[[#This Row],[Active power TX2-INV-1]:[Active power TX2-INV-12]])</f>
        <v/>
      </c>
      <c r="AF23" s="139">
        <f>MIN(Tabella01MarzoInverter[[#This Row],[Active power TX2-INV-1]:[Active power TX2-INV-12]])</f>
        <v/>
      </c>
      <c r="AG23" s="140" t="n">
        <v>0</v>
      </c>
      <c r="AH23" s="136" t="n">
        <v>0</v>
      </c>
      <c r="AI23" s="136" t="n">
        <v>0</v>
      </c>
      <c r="AJ23" s="136" t="n">
        <v>0</v>
      </c>
      <c r="AK23" s="136" t="n">
        <v>0</v>
      </c>
      <c r="AL23" s="136" t="n">
        <v>0</v>
      </c>
      <c r="AM23" s="136" t="n">
        <v>0</v>
      </c>
      <c r="AN23" s="136" t="n">
        <v>0</v>
      </c>
      <c r="AO23" s="136" t="n">
        <v>0</v>
      </c>
      <c r="AP23" s="136" t="n">
        <v>0</v>
      </c>
      <c r="AQ23" s="136" t="n">
        <v>0</v>
      </c>
      <c r="AR23" s="137" t="n">
        <v>0</v>
      </c>
      <c r="AS23" s="138">
        <f>IFERROR(AVERAGEIF(Tabella01MarzoInverter[[#This Row],[Active power TX3-INV-1]:[Active power TX3-INV-12]], "&gt;0"), 0)</f>
        <v/>
      </c>
      <c r="AT23" s="136">
        <f>MAX(Tabella01MarzoInverter[[#This Row],[Active power TX3-INV-1]:[Active power TX3-INV-12]])</f>
        <v/>
      </c>
      <c r="AU23" s="139">
        <f>MIN(Tabella01MarzoInverter[[#This Row],[Active power TX3-INV-1]:[Active power TX3-INV-12]])</f>
        <v/>
      </c>
    </row>
    <row r="24">
      <c r="A24" s="135" t="n">
        <v>46143</v>
      </c>
      <c r="B24" s="45" t="inlineStr">
        <is>
          <t>02:15:00.000</t>
        </is>
      </c>
      <c r="C24" s="136" t="n">
        <v>0</v>
      </c>
      <c r="D24" s="136" t="n">
        <v>0</v>
      </c>
      <c r="E24" s="136" t="n">
        <v>0</v>
      </c>
      <c r="F24" s="136" t="n">
        <v>0</v>
      </c>
      <c r="G24" s="136" t="n">
        <v>0</v>
      </c>
      <c r="H24" s="136" t="n">
        <v>0</v>
      </c>
      <c r="I24" s="136" t="n">
        <v>0</v>
      </c>
      <c r="J24" s="136" t="n">
        <v>0</v>
      </c>
      <c r="K24" s="136" t="n">
        <v>0</v>
      </c>
      <c r="L24" s="136" t="n">
        <v>0</v>
      </c>
      <c r="M24" s="136" t="n">
        <v>0</v>
      </c>
      <c r="N24" s="137" t="n">
        <v>0</v>
      </c>
      <c r="O24" s="138">
        <f>IFERROR(AVERAGEIF(Tabella01MarzoInverter[[#This Row],[Active power TX1-INV-1]:[Active power TX1-INV-12]], "&gt;0"), 0)</f>
        <v/>
      </c>
      <c r="P24" s="136">
        <f>MAX(Tabella01MarzoInverter[[#This Row],[Active power TX1-INV-1]:[Active power TX1-INV-12]])</f>
        <v/>
      </c>
      <c r="Q24" s="139">
        <f>MIN(Tabella01MarzoInverter[[#This Row],[Active power TX1-INV-1]:[Active power TX1-INV-12]])</f>
        <v/>
      </c>
      <c r="R24" s="140" t="n">
        <v>0</v>
      </c>
      <c r="S24" s="136" t="n">
        <v>0</v>
      </c>
      <c r="T24" s="136" t="n">
        <v>0</v>
      </c>
      <c r="U24" s="136" t="n">
        <v>0</v>
      </c>
      <c r="V24" s="136" t="n">
        <v>0</v>
      </c>
      <c r="W24" s="136" t="n">
        <v>0</v>
      </c>
      <c r="X24" s="136" t="n">
        <v>0</v>
      </c>
      <c r="Y24" s="136" t="n">
        <v>0</v>
      </c>
      <c r="Z24" s="136" t="n">
        <v>0</v>
      </c>
      <c r="AA24" s="136" t="n">
        <v>0</v>
      </c>
      <c r="AB24" s="136" t="n">
        <v>0</v>
      </c>
      <c r="AC24" s="137" t="n">
        <v>0</v>
      </c>
      <c r="AD24" s="138">
        <f>IFERROR(AVERAGEIF(Tabella01MarzoInverter[[#This Row],[Active power TX2-INV-1]:[Active power TX2-INV-12]], "&gt;0"), 0)</f>
        <v/>
      </c>
      <c r="AE24" s="136">
        <f>MAX(Tabella01MarzoInverter[[#This Row],[Active power TX2-INV-1]:[Active power TX2-INV-12]])</f>
        <v/>
      </c>
      <c r="AF24" s="139">
        <f>MIN(Tabella01MarzoInverter[[#This Row],[Active power TX2-INV-1]:[Active power TX2-INV-12]])</f>
        <v/>
      </c>
      <c r="AG24" s="140" t="n">
        <v>0</v>
      </c>
      <c r="AH24" s="136" t="n">
        <v>0</v>
      </c>
      <c r="AI24" s="136" t="n">
        <v>0</v>
      </c>
      <c r="AJ24" s="136" t="n">
        <v>0</v>
      </c>
      <c r="AK24" s="136" t="n">
        <v>0</v>
      </c>
      <c r="AL24" s="136" t="n">
        <v>0</v>
      </c>
      <c r="AM24" s="136" t="n">
        <v>0</v>
      </c>
      <c r="AN24" s="136" t="n">
        <v>0</v>
      </c>
      <c r="AO24" s="136" t="n">
        <v>0</v>
      </c>
      <c r="AP24" s="136" t="n">
        <v>0</v>
      </c>
      <c r="AQ24" s="136" t="n">
        <v>0</v>
      </c>
      <c r="AR24" s="137" t="n">
        <v>0</v>
      </c>
      <c r="AS24" s="138">
        <f>IFERROR(AVERAGEIF(Tabella01MarzoInverter[[#This Row],[Active power TX3-INV-1]:[Active power TX3-INV-12]], "&gt;0"), 0)</f>
        <v/>
      </c>
      <c r="AT24" s="136">
        <f>MAX(Tabella01MarzoInverter[[#This Row],[Active power TX3-INV-1]:[Active power TX3-INV-12]])</f>
        <v/>
      </c>
      <c r="AU24" s="139">
        <f>MIN(Tabella01MarzoInverter[[#This Row],[Active power TX3-INV-1]:[Active power TX3-INV-12]])</f>
        <v/>
      </c>
    </row>
    <row r="25">
      <c r="A25" s="135" t="n">
        <v>46143</v>
      </c>
      <c r="B25" s="39" t="inlineStr">
        <is>
          <t>02:30:00.000</t>
        </is>
      </c>
      <c r="C25" s="136" t="n">
        <v>0</v>
      </c>
      <c r="D25" s="136" t="n">
        <v>0</v>
      </c>
      <c r="E25" s="136" t="n">
        <v>0</v>
      </c>
      <c r="F25" s="136" t="n">
        <v>0</v>
      </c>
      <c r="G25" s="136" t="n">
        <v>0</v>
      </c>
      <c r="H25" s="136" t="n">
        <v>0</v>
      </c>
      <c r="I25" s="136" t="n">
        <v>0</v>
      </c>
      <c r="J25" s="136" t="n">
        <v>0</v>
      </c>
      <c r="K25" s="136" t="n">
        <v>0</v>
      </c>
      <c r="L25" s="136" t="n">
        <v>0</v>
      </c>
      <c r="M25" s="136" t="n">
        <v>0</v>
      </c>
      <c r="N25" s="137" t="n">
        <v>0</v>
      </c>
      <c r="O25" s="138">
        <f>IFERROR(AVERAGEIF(Tabella01MarzoInverter[[#This Row],[Active power TX1-INV-1]:[Active power TX1-INV-12]], "&gt;0"), 0)</f>
        <v/>
      </c>
      <c r="P25" s="136">
        <f>MAX(Tabella01MarzoInverter[[#This Row],[Active power TX1-INV-1]:[Active power TX1-INV-12]])</f>
        <v/>
      </c>
      <c r="Q25" s="139">
        <f>MIN(Tabella01MarzoInverter[[#This Row],[Active power TX1-INV-1]:[Active power TX1-INV-12]])</f>
        <v/>
      </c>
      <c r="R25" s="140" t="n">
        <v>0</v>
      </c>
      <c r="S25" s="136" t="n">
        <v>0</v>
      </c>
      <c r="T25" s="136" t="n">
        <v>0</v>
      </c>
      <c r="U25" s="136" t="n">
        <v>0</v>
      </c>
      <c r="V25" s="136" t="n">
        <v>0</v>
      </c>
      <c r="W25" s="136" t="n">
        <v>0</v>
      </c>
      <c r="X25" s="136" t="n">
        <v>0</v>
      </c>
      <c r="Y25" s="136" t="n">
        <v>0</v>
      </c>
      <c r="Z25" s="136" t="n">
        <v>0</v>
      </c>
      <c r="AA25" s="136" t="n">
        <v>0</v>
      </c>
      <c r="AB25" s="136" t="n">
        <v>0</v>
      </c>
      <c r="AC25" s="137" t="n">
        <v>0</v>
      </c>
      <c r="AD25" s="138">
        <f>IFERROR(AVERAGEIF(Tabella01MarzoInverter[[#This Row],[Active power TX2-INV-1]:[Active power TX2-INV-12]], "&gt;0"), 0)</f>
        <v/>
      </c>
      <c r="AE25" s="136">
        <f>MAX(Tabella01MarzoInverter[[#This Row],[Active power TX2-INV-1]:[Active power TX2-INV-12]])</f>
        <v/>
      </c>
      <c r="AF25" s="139">
        <f>MIN(Tabella01MarzoInverter[[#This Row],[Active power TX2-INV-1]:[Active power TX2-INV-12]])</f>
        <v/>
      </c>
      <c r="AG25" s="140" t="n">
        <v>0</v>
      </c>
      <c r="AH25" s="136" t="n">
        <v>0</v>
      </c>
      <c r="AI25" s="136" t="n">
        <v>0</v>
      </c>
      <c r="AJ25" s="136" t="n">
        <v>0</v>
      </c>
      <c r="AK25" s="136" t="n">
        <v>0</v>
      </c>
      <c r="AL25" s="136" t="n">
        <v>0</v>
      </c>
      <c r="AM25" s="136" t="n">
        <v>0</v>
      </c>
      <c r="AN25" s="136" t="n">
        <v>0</v>
      </c>
      <c r="AO25" s="136" t="n">
        <v>0</v>
      </c>
      <c r="AP25" s="136" t="n">
        <v>0</v>
      </c>
      <c r="AQ25" s="136" t="n">
        <v>0</v>
      </c>
      <c r="AR25" s="137" t="n">
        <v>0</v>
      </c>
      <c r="AS25" s="138">
        <f>IFERROR(AVERAGEIF(Tabella01MarzoInverter[[#This Row],[Active power TX3-INV-1]:[Active power TX3-INV-12]], "&gt;0"), 0)</f>
        <v/>
      </c>
      <c r="AT25" s="136">
        <f>MAX(Tabella01MarzoInverter[[#This Row],[Active power TX3-INV-1]:[Active power TX3-INV-12]])</f>
        <v/>
      </c>
      <c r="AU25" s="139">
        <f>MIN(Tabella01MarzoInverter[[#This Row],[Active power TX3-INV-1]:[Active power TX3-INV-12]])</f>
        <v/>
      </c>
    </row>
    <row r="26">
      <c r="A26" s="135" t="n">
        <v>46143</v>
      </c>
      <c r="B26" s="45" t="inlineStr">
        <is>
          <t>02:45:00.000</t>
        </is>
      </c>
      <c r="C26" s="136" t="n">
        <v>0</v>
      </c>
      <c r="D26" s="136" t="n">
        <v>0</v>
      </c>
      <c r="E26" s="136" t="n">
        <v>0</v>
      </c>
      <c r="F26" s="136" t="n">
        <v>0</v>
      </c>
      <c r="G26" s="136" t="n">
        <v>0</v>
      </c>
      <c r="H26" s="136" t="n">
        <v>0</v>
      </c>
      <c r="I26" s="136" t="n">
        <v>0</v>
      </c>
      <c r="J26" s="136" t="n">
        <v>0</v>
      </c>
      <c r="K26" s="136" t="n">
        <v>0</v>
      </c>
      <c r="L26" s="136" t="n">
        <v>0</v>
      </c>
      <c r="M26" s="136" t="n">
        <v>0</v>
      </c>
      <c r="N26" s="137" t="n">
        <v>0</v>
      </c>
      <c r="O26" s="138">
        <f>IFERROR(AVERAGEIF(Tabella01MarzoInverter[[#This Row],[Active power TX1-INV-1]:[Active power TX1-INV-12]], "&gt;0"), 0)</f>
        <v/>
      </c>
      <c r="P26" s="136">
        <f>MAX(Tabella01MarzoInverter[[#This Row],[Active power TX1-INV-1]:[Active power TX1-INV-12]])</f>
        <v/>
      </c>
      <c r="Q26" s="139">
        <f>MIN(Tabella01MarzoInverter[[#This Row],[Active power TX1-INV-1]:[Active power TX1-INV-12]])</f>
        <v/>
      </c>
      <c r="R26" s="140" t="n">
        <v>0</v>
      </c>
      <c r="S26" s="136" t="n">
        <v>0</v>
      </c>
      <c r="T26" s="136" t="n">
        <v>0</v>
      </c>
      <c r="U26" s="136" t="n">
        <v>0</v>
      </c>
      <c r="V26" s="136" t="n">
        <v>0</v>
      </c>
      <c r="W26" s="136" t="n">
        <v>0</v>
      </c>
      <c r="X26" s="136" t="n">
        <v>0</v>
      </c>
      <c r="Y26" s="136" t="n">
        <v>0</v>
      </c>
      <c r="Z26" s="136" t="n">
        <v>0</v>
      </c>
      <c r="AA26" s="136" t="n">
        <v>0</v>
      </c>
      <c r="AB26" s="136" t="n">
        <v>0</v>
      </c>
      <c r="AC26" s="137" t="n">
        <v>0</v>
      </c>
      <c r="AD26" s="138">
        <f>IFERROR(AVERAGEIF(Tabella01MarzoInverter[[#This Row],[Active power TX2-INV-1]:[Active power TX2-INV-12]], "&gt;0"), 0)</f>
        <v/>
      </c>
      <c r="AE26" s="136">
        <f>MAX(Tabella01MarzoInverter[[#This Row],[Active power TX2-INV-1]:[Active power TX2-INV-12]])</f>
        <v/>
      </c>
      <c r="AF26" s="139">
        <f>MIN(Tabella01MarzoInverter[[#This Row],[Active power TX2-INV-1]:[Active power TX2-INV-12]])</f>
        <v/>
      </c>
      <c r="AG26" s="140" t="n">
        <v>0</v>
      </c>
      <c r="AH26" s="136" t="n">
        <v>0</v>
      </c>
      <c r="AI26" s="136" t="n">
        <v>0</v>
      </c>
      <c r="AJ26" s="136" t="n">
        <v>0</v>
      </c>
      <c r="AK26" s="136" t="n">
        <v>0</v>
      </c>
      <c r="AL26" s="136" t="n">
        <v>0</v>
      </c>
      <c r="AM26" s="136" t="n">
        <v>0</v>
      </c>
      <c r="AN26" s="136" t="n">
        <v>0</v>
      </c>
      <c r="AO26" s="136" t="n">
        <v>0</v>
      </c>
      <c r="AP26" s="136" t="n">
        <v>0</v>
      </c>
      <c r="AQ26" s="136" t="n">
        <v>0</v>
      </c>
      <c r="AR26" s="137" t="n">
        <v>0</v>
      </c>
      <c r="AS26" s="138">
        <f>IFERROR(AVERAGEIF(Tabella01MarzoInverter[[#This Row],[Active power TX3-INV-1]:[Active power TX3-INV-12]], "&gt;0"), 0)</f>
        <v/>
      </c>
      <c r="AT26" s="136">
        <f>MAX(Tabella01MarzoInverter[[#This Row],[Active power TX3-INV-1]:[Active power TX3-INV-12]])</f>
        <v/>
      </c>
      <c r="AU26" s="139">
        <f>MIN(Tabella01MarzoInverter[[#This Row],[Active power TX3-INV-1]:[Active power TX3-INV-12]])</f>
        <v/>
      </c>
    </row>
    <row r="27">
      <c r="A27" s="135" t="n">
        <v>46143</v>
      </c>
      <c r="B27" s="39" t="inlineStr">
        <is>
          <t>03:00:00.000</t>
        </is>
      </c>
      <c r="C27" s="136" t="n">
        <v>0</v>
      </c>
      <c r="D27" s="136" t="n">
        <v>0</v>
      </c>
      <c r="E27" s="136" t="n">
        <v>0</v>
      </c>
      <c r="F27" s="136" t="n">
        <v>0</v>
      </c>
      <c r="G27" s="136" t="n">
        <v>0</v>
      </c>
      <c r="H27" s="136" t="n">
        <v>0</v>
      </c>
      <c r="I27" s="136" t="n">
        <v>0</v>
      </c>
      <c r="J27" s="136" t="n">
        <v>0</v>
      </c>
      <c r="K27" s="136" t="n">
        <v>0</v>
      </c>
      <c r="L27" s="136" t="n">
        <v>0</v>
      </c>
      <c r="M27" s="136" t="n">
        <v>0</v>
      </c>
      <c r="N27" s="137" t="n">
        <v>0</v>
      </c>
      <c r="O27" s="138">
        <f>IFERROR(AVERAGEIF(Tabella01MarzoInverter[[#This Row],[Active power TX1-INV-1]:[Active power TX1-INV-12]], "&gt;0"), 0)</f>
        <v/>
      </c>
      <c r="P27" s="136">
        <f>MAX(Tabella01MarzoInverter[[#This Row],[Active power TX1-INV-1]:[Active power TX1-INV-12]])</f>
        <v/>
      </c>
      <c r="Q27" s="139">
        <f>MIN(Tabella01MarzoInverter[[#This Row],[Active power TX1-INV-1]:[Active power TX1-INV-12]])</f>
        <v/>
      </c>
      <c r="R27" s="140" t="n">
        <v>0</v>
      </c>
      <c r="S27" s="136" t="n">
        <v>0</v>
      </c>
      <c r="T27" s="136" t="n">
        <v>0</v>
      </c>
      <c r="U27" s="136" t="n">
        <v>0</v>
      </c>
      <c r="V27" s="136" t="n">
        <v>0</v>
      </c>
      <c r="W27" s="136" t="n">
        <v>0</v>
      </c>
      <c r="X27" s="136" t="n">
        <v>0</v>
      </c>
      <c r="Y27" s="136" t="n">
        <v>0</v>
      </c>
      <c r="Z27" s="136" t="n">
        <v>0</v>
      </c>
      <c r="AA27" s="136" t="n">
        <v>0</v>
      </c>
      <c r="AB27" s="136" t="n">
        <v>0</v>
      </c>
      <c r="AC27" s="137" t="n">
        <v>0</v>
      </c>
      <c r="AD27" s="138">
        <f>IFERROR(AVERAGEIF(Tabella01MarzoInverter[[#This Row],[Active power TX2-INV-1]:[Active power TX2-INV-12]], "&gt;0"), 0)</f>
        <v/>
      </c>
      <c r="AE27" s="136">
        <f>MAX(Tabella01MarzoInverter[[#This Row],[Active power TX2-INV-1]:[Active power TX2-INV-12]])</f>
        <v/>
      </c>
      <c r="AF27" s="139">
        <f>MIN(Tabella01MarzoInverter[[#This Row],[Active power TX2-INV-1]:[Active power TX2-INV-12]])</f>
        <v/>
      </c>
      <c r="AG27" s="140" t="n">
        <v>0</v>
      </c>
      <c r="AH27" s="136" t="n">
        <v>0</v>
      </c>
      <c r="AI27" s="136" t="n">
        <v>0</v>
      </c>
      <c r="AJ27" s="136" t="n">
        <v>0</v>
      </c>
      <c r="AK27" s="136" t="n">
        <v>0</v>
      </c>
      <c r="AL27" s="136" t="n">
        <v>0</v>
      </c>
      <c r="AM27" s="136" t="n">
        <v>0</v>
      </c>
      <c r="AN27" s="136" t="n">
        <v>0</v>
      </c>
      <c r="AO27" s="136" t="n">
        <v>0</v>
      </c>
      <c r="AP27" s="136" t="n">
        <v>0</v>
      </c>
      <c r="AQ27" s="136" t="n">
        <v>0</v>
      </c>
      <c r="AR27" s="137" t="n">
        <v>0</v>
      </c>
      <c r="AS27" s="138">
        <f>IFERROR(AVERAGEIF(Tabella01MarzoInverter[[#This Row],[Active power TX3-INV-1]:[Active power TX3-INV-12]], "&gt;0"), 0)</f>
        <v/>
      </c>
      <c r="AT27" s="136">
        <f>MAX(Tabella01MarzoInverter[[#This Row],[Active power TX3-INV-1]:[Active power TX3-INV-12]])</f>
        <v/>
      </c>
      <c r="AU27" s="139">
        <f>MIN(Tabella01MarzoInverter[[#This Row],[Active power TX3-INV-1]:[Active power TX3-INV-12]])</f>
        <v/>
      </c>
    </row>
    <row r="28">
      <c r="A28" s="135" t="n">
        <v>46143</v>
      </c>
      <c r="B28" s="45" t="inlineStr">
        <is>
          <t>03:15:00.000</t>
        </is>
      </c>
      <c r="C28" s="136" t="n">
        <v>0</v>
      </c>
      <c r="D28" s="136" t="n">
        <v>0</v>
      </c>
      <c r="E28" s="136" t="n">
        <v>0</v>
      </c>
      <c r="F28" s="136" t="n">
        <v>0</v>
      </c>
      <c r="G28" s="136" t="n">
        <v>0</v>
      </c>
      <c r="H28" s="136" t="n">
        <v>0</v>
      </c>
      <c r="I28" s="136" t="n">
        <v>0</v>
      </c>
      <c r="J28" s="136" t="n">
        <v>0</v>
      </c>
      <c r="K28" s="136" t="n">
        <v>0</v>
      </c>
      <c r="L28" s="136" t="n">
        <v>0</v>
      </c>
      <c r="M28" s="136" t="n">
        <v>0</v>
      </c>
      <c r="N28" s="137" t="n">
        <v>0</v>
      </c>
      <c r="O28" s="138">
        <f>IFERROR(AVERAGEIF(Tabella01MarzoInverter[[#This Row],[Active power TX1-INV-1]:[Active power TX1-INV-12]], "&gt;0"), 0)</f>
        <v/>
      </c>
      <c r="P28" s="136">
        <f>MAX(Tabella01MarzoInverter[[#This Row],[Active power TX1-INV-1]:[Active power TX1-INV-12]])</f>
        <v/>
      </c>
      <c r="Q28" s="139">
        <f>MIN(Tabella01MarzoInverter[[#This Row],[Active power TX1-INV-1]:[Active power TX1-INV-12]])</f>
        <v/>
      </c>
      <c r="R28" s="140" t="n">
        <v>0</v>
      </c>
      <c r="S28" s="136" t="n">
        <v>0</v>
      </c>
      <c r="T28" s="136" t="n">
        <v>0</v>
      </c>
      <c r="U28" s="136" t="n">
        <v>0</v>
      </c>
      <c r="V28" s="136" t="n">
        <v>0</v>
      </c>
      <c r="W28" s="136" t="n">
        <v>0</v>
      </c>
      <c r="X28" s="136" t="n">
        <v>0</v>
      </c>
      <c r="Y28" s="136" t="n">
        <v>0</v>
      </c>
      <c r="Z28" s="136" t="n">
        <v>0</v>
      </c>
      <c r="AA28" s="136" t="n">
        <v>0</v>
      </c>
      <c r="AB28" s="136" t="n">
        <v>0</v>
      </c>
      <c r="AC28" s="137" t="n">
        <v>0</v>
      </c>
      <c r="AD28" s="138">
        <f>IFERROR(AVERAGEIF(Tabella01MarzoInverter[[#This Row],[Active power TX2-INV-1]:[Active power TX2-INV-12]], "&gt;0"), 0)</f>
        <v/>
      </c>
      <c r="AE28" s="136">
        <f>MAX(Tabella01MarzoInverter[[#This Row],[Active power TX2-INV-1]:[Active power TX2-INV-12]])</f>
        <v/>
      </c>
      <c r="AF28" s="139">
        <f>MIN(Tabella01MarzoInverter[[#This Row],[Active power TX2-INV-1]:[Active power TX2-INV-12]])</f>
        <v/>
      </c>
      <c r="AG28" s="140" t="n">
        <v>0</v>
      </c>
      <c r="AH28" s="136" t="n">
        <v>0</v>
      </c>
      <c r="AI28" s="136" t="n">
        <v>0</v>
      </c>
      <c r="AJ28" s="136" t="n">
        <v>0</v>
      </c>
      <c r="AK28" s="136" t="n">
        <v>0</v>
      </c>
      <c r="AL28" s="136" t="n">
        <v>0</v>
      </c>
      <c r="AM28" s="136" t="n">
        <v>0</v>
      </c>
      <c r="AN28" s="136" t="n">
        <v>0</v>
      </c>
      <c r="AO28" s="136" t="n">
        <v>0</v>
      </c>
      <c r="AP28" s="136" t="n">
        <v>0</v>
      </c>
      <c r="AQ28" s="136" t="n">
        <v>0</v>
      </c>
      <c r="AR28" s="137" t="n">
        <v>0</v>
      </c>
      <c r="AS28" s="138">
        <f>IFERROR(AVERAGEIF(Tabella01MarzoInverter[[#This Row],[Active power TX3-INV-1]:[Active power TX3-INV-12]], "&gt;0"), 0)</f>
        <v/>
      </c>
      <c r="AT28" s="136">
        <f>MAX(Tabella01MarzoInverter[[#This Row],[Active power TX3-INV-1]:[Active power TX3-INV-12]])</f>
        <v/>
      </c>
      <c r="AU28" s="139">
        <f>MIN(Tabella01MarzoInverter[[#This Row],[Active power TX3-INV-1]:[Active power TX3-INV-12]])</f>
        <v/>
      </c>
    </row>
    <row r="29">
      <c r="A29" s="135" t="n">
        <v>46143</v>
      </c>
      <c r="B29" s="39" t="inlineStr">
        <is>
          <t>03:30:00.000</t>
        </is>
      </c>
      <c r="C29" s="136" t="n">
        <v>0</v>
      </c>
      <c r="D29" s="136" t="n">
        <v>0</v>
      </c>
      <c r="E29" s="136" t="n">
        <v>0</v>
      </c>
      <c r="F29" s="136" t="n">
        <v>0</v>
      </c>
      <c r="G29" s="136" t="n">
        <v>0</v>
      </c>
      <c r="H29" s="136" t="n">
        <v>0</v>
      </c>
      <c r="I29" s="136" t="n">
        <v>0</v>
      </c>
      <c r="J29" s="136" t="n">
        <v>0</v>
      </c>
      <c r="K29" s="136" t="n">
        <v>0</v>
      </c>
      <c r="L29" s="136" t="n">
        <v>0</v>
      </c>
      <c r="M29" s="136" t="n">
        <v>0</v>
      </c>
      <c r="N29" s="137" t="n">
        <v>0</v>
      </c>
      <c r="O29" s="138">
        <f>IFERROR(AVERAGEIF(Tabella01MarzoInverter[[#This Row],[Active power TX1-INV-1]:[Active power TX1-INV-12]], "&gt;0"), 0)</f>
        <v/>
      </c>
      <c r="P29" s="136">
        <f>MAX(Tabella01MarzoInverter[[#This Row],[Active power TX1-INV-1]:[Active power TX1-INV-12]])</f>
        <v/>
      </c>
      <c r="Q29" s="139">
        <f>MIN(Tabella01MarzoInverter[[#This Row],[Active power TX1-INV-1]:[Active power TX1-INV-12]])</f>
        <v/>
      </c>
      <c r="R29" s="140" t="n">
        <v>0</v>
      </c>
      <c r="S29" s="136" t="n">
        <v>0</v>
      </c>
      <c r="T29" s="136" t="n">
        <v>0</v>
      </c>
      <c r="U29" s="136" t="n">
        <v>0</v>
      </c>
      <c r="V29" s="136" t="n">
        <v>0</v>
      </c>
      <c r="W29" s="136" t="n">
        <v>0</v>
      </c>
      <c r="X29" s="136" t="n">
        <v>0</v>
      </c>
      <c r="Y29" s="136" t="n">
        <v>0</v>
      </c>
      <c r="Z29" s="136" t="n">
        <v>0</v>
      </c>
      <c r="AA29" s="136" t="n">
        <v>0</v>
      </c>
      <c r="AB29" s="136" t="n">
        <v>0</v>
      </c>
      <c r="AC29" s="137" t="n">
        <v>0</v>
      </c>
      <c r="AD29" s="138">
        <f>IFERROR(AVERAGEIF(Tabella01MarzoInverter[[#This Row],[Active power TX2-INV-1]:[Active power TX2-INV-12]], "&gt;0"), 0)</f>
        <v/>
      </c>
      <c r="AE29" s="136">
        <f>MAX(Tabella01MarzoInverter[[#This Row],[Active power TX2-INV-1]:[Active power TX2-INV-12]])</f>
        <v/>
      </c>
      <c r="AF29" s="139">
        <f>MIN(Tabella01MarzoInverter[[#This Row],[Active power TX2-INV-1]:[Active power TX2-INV-12]])</f>
        <v/>
      </c>
      <c r="AG29" s="140" t="n">
        <v>0</v>
      </c>
      <c r="AH29" s="136" t="n">
        <v>0</v>
      </c>
      <c r="AI29" s="136" t="n">
        <v>0</v>
      </c>
      <c r="AJ29" s="136" t="n">
        <v>0</v>
      </c>
      <c r="AK29" s="136" t="n">
        <v>0</v>
      </c>
      <c r="AL29" s="136" t="n">
        <v>0</v>
      </c>
      <c r="AM29" s="136" t="n">
        <v>0</v>
      </c>
      <c r="AN29" s="136" t="n">
        <v>0</v>
      </c>
      <c r="AO29" s="136" t="n">
        <v>0</v>
      </c>
      <c r="AP29" s="136" t="n">
        <v>0</v>
      </c>
      <c r="AQ29" s="136" t="n">
        <v>0</v>
      </c>
      <c r="AR29" s="137" t="n">
        <v>0</v>
      </c>
      <c r="AS29" s="138">
        <f>IFERROR(AVERAGEIF(Tabella01MarzoInverter[[#This Row],[Active power TX3-INV-1]:[Active power TX3-INV-12]], "&gt;0"), 0)</f>
        <v/>
      </c>
      <c r="AT29" s="136">
        <f>MAX(Tabella01MarzoInverter[[#This Row],[Active power TX3-INV-1]:[Active power TX3-INV-12]])</f>
        <v/>
      </c>
      <c r="AU29" s="139">
        <f>MIN(Tabella01MarzoInverter[[#This Row],[Active power TX3-INV-1]:[Active power TX3-INV-12]])</f>
        <v/>
      </c>
    </row>
    <row r="30">
      <c r="A30" s="135" t="n">
        <v>46143</v>
      </c>
      <c r="B30" s="45" t="inlineStr">
        <is>
          <t>03:45:00.000</t>
        </is>
      </c>
      <c r="C30" s="136" t="n">
        <v>0</v>
      </c>
      <c r="D30" s="136" t="n">
        <v>0</v>
      </c>
      <c r="E30" s="136" t="n">
        <v>0</v>
      </c>
      <c r="F30" s="136" t="n">
        <v>0</v>
      </c>
      <c r="G30" s="136" t="n">
        <v>0</v>
      </c>
      <c r="H30" s="136" t="n">
        <v>0</v>
      </c>
      <c r="I30" s="136" t="n">
        <v>0</v>
      </c>
      <c r="J30" s="136" t="n">
        <v>0</v>
      </c>
      <c r="K30" s="136" t="n">
        <v>0</v>
      </c>
      <c r="L30" s="136" t="n">
        <v>0</v>
      </c>
      <c r="M30" s="136" t="n">
        <v>0</v>
      </c>
      <c r="N30" s="137" t="n">
        <v>0</v>
      </c>
      <c r="O30" s="138">
        <f>IFERROR(AVERAGEIF(Tabella01MarzoInverter[[#This Row],[Active power TX1-INV-1]:[Active power TX1-INV-12]], "&gt;0"), 0)</f>
        <v/>
      </c>
      <c r="P30" s="136">
        <f>MAX(Tabella01MarzoInverter[[#This Row],[Active power TX1-INV-1]:[Active power TX1-INV-12]])</f>
        <v/>
      </c>
      <c r="Q30" s="139">
        <f>MIN(Tabella01MarzoInverter[[#This Row],[Active power TX1-INV-1]:[Active power TX1-INV-12]])</f>
        <v/>
      </c>
      <c r="R30" s="140" t="n">
        <v>0</v>
      </c>
      <c r="S30" s="136" t="n">
        <v>0</v>
      </c>
      <c r="T30" s="136" t="n">
        <v>0</v>
      </c>
      <c r="U30" s="136" t="n">
        <v>0</v>
      </c>
      <c r="V30" s="136" t="n">
        <v>0</v>
      </c>
      <c r="W30" s="136" t="n">
        <v>0</v>
      </c>
      <c r="X30" s="136" t="n">
        <v>0</v>
      </c>
      <c r="Y30" s="136" t="n">
        <v>0</v>
      </c>
      <c r="Z30" s="136" t="n">
        <v>0</v>
      </c>
      <c r="AA30" s="136" t="n">
        <v>0</v>
      </c>
      <c r="AB30" s="136" t="n">
        <v>0</v>
      </c>
      <c r="AC30" s="137" t="n">
        <v>0</v>
      </c>
      <c r="AD30" s="138">
        <f>IFERROR(AVERAGEIF(Tabella01MarzoInverter[[#This Row],[Active power TX2-INV-1]:[Active power TX2-INV-12]], "&gt;0"), 0)</f>
        <v/>
      </c>
      <c r="AE30" s="136">
        <f>MAX(Tabella01MarzoInverter[[#This Row],[Active power TX2-INV-1]:[Active power TX2-INV-12]])</f>
        <v/>
      </c>
      <c r="AF30" s="139">
        <f>MIN(Tabella01MarzoInverter[[#This Row],[Active power TX2-INV-1]:[Active power TX2-INV-12]])</f>
        <v/>
      </c>
      <c r="AG30" s="140" t="n">
        <v>0</v>
      </c>
      <c r="AH30" s="136" t="n">
        <v>0</v>
      </c>
      <c r="AI30" s="136" t="n">
        <v>0</v>
      </c>
      <c r="AJ30" s="136" t="n">
        <v>0</v>
      </c>
      <c r="AK30" s="136" t="n">
        <v>0</v>
      </c>
      <c r="AL30" s="136" t="n">
        <v>0</v>
      </c>
      <c r="AM30" s="136" t="n">
        <v>0</v>
      </c>
      <c r="AN30" s="136" t="n">
        <v>0</v>
      </c>
      <c r="AO30" s="136" t="n">
        <v>0</v>
      </c>
      <c r="AP30" s="136" t="n">
        <v>0</v>
      </c>
      <c r="AQ30" s="136" t="n">
        <v>0</v>
      </c>
      <c r="AR30" s="137" t="n">
        <v>0</v>
      </c>
      <c r="AS30" s="138">
        <f>IFERROR(AVERAGEIF(Tabella01MarzoInverter[[#This Row],[Active power TX3-INV-1]:[Active power TX3-INV-12]], "&gt;0"), 0)</f>
        <v/>
      </c>
      <c r="AT30" s="136">
        <f>MAX(Tabella01MarzoInverter[[#This Row],[Active power TX3-INV-1]:[Active power TX3-INV-12]])</f>
        <v/>
      </c>
      <c r="AU30" s="139">
        <f>MIN(Tabella01MarzoInverter[[#This Row],[Active power TX3-INV-1]:[Active power TX3-INV-12]])</f>
        <v/>
      </c>
    </row>
    <row r="31">
      <c r="A31" s="135" t="n">
        <v>46143</v>
      </c>
      <c r="B31" s="39" t="inlineStr">
        <is>
          <t>04:00:00.000</t>
        </is>
      </c>
      <c r="C31" s="136" t="n">
        <v>0</v>
      </c>
      <c r="D31" s="136" t="n">
        <v>0</v>
      </c>
      <c r="E31" s="136" t="n">
        <v>0</v>
      </c>
      <c r="F31" s="136" t="n">
        <v>0</v>
      </c>
      <c r="G31" s="136" t="n">
        <v>0</v>
      </c>
      <c r="H31" s="136" t="n">
        <v>0</v>
      </c>
      <c r="I31" s="136" t="n">
        <v>0</v>
      </c>
      <c r="J31" s="136" t="n">
        <v>0</v>
      </c>
      <c r="K31" s="136" t="n">
        <v>0</v>
      </c>
      <c r="L31" s="136" t="n">
        <v>0</v>
      </c>
      <c r="M31" s="136" t="n">
        <v>0</v>
      </c>
      <c r="N31" s="137" t="n">
        <v>0</v>
      </c>
      <c r="O31" s="138">
        <f>IFERROR(AVERAGEIF(Tabella01MarzoInverter[[#This Row],[Active power TX1-INV-1]:[Active power TX1-INV-12]], "&gt;0"), 0)</f>
        <v/>
      </c>
      <c r="P31" s="136">
        <f>MAX(Tabella01MarzoInverter[[#This Row],[Active power TX1-INV-1]:[Active power TX1-INV-12]])</f>
        <v/>
      </c>
      <c r="Q31" s="139">
        <f>MIN(Tabella01MarzoInverter[[#This Row],[Active power TX1-INV-1]:[Active power TX1-INV-12]])</f>
        <v/>
      </c>
      <c r="R31" s="140" t="n">
        <v>0</v>
      </c>
      <c r="S31" s="136" t="n">
        <v>0</v>
      </c>
      <c r="T31" s="136" t="n">
        <v>0</v>
      </c>
      <c r="U31" s="136" t="n">
        <v>0</v>
      </c>
      <c r="V31" s="136" t="n">
        <v>0</v>
      </c>
      <c r="W31" s="136" t="n">
        <v>0</v>
      </c>
      <c r="X31" s="136" t="n">
        <v>0</v>
      </c>
      <c r="Y31" s="136" t="n">
        <v>0</v>
      </c>
      <c r="Z31" s="136" t="n">
        <v>0</v>
      </c>
      <c r="AA31" s="136" t="n">
        <v>0</v>
      </c>
      <c r="AB31" s="136" t="n">
        <v>0</v>
      </c>
      <c r="AC31" s="137" t="n">
        <v>0</v>
      </c>
      <c r="AD31" s="138">
        <f>IFERROR(AVERAGEIF(Tabella01MarzoInverter[[#This Row],[Active power TX2-INV-1]:[Active power TX2-INV-12]], "&gt;0"), 0)</f>
        <v/>
      </c>
      <c r="AE31" s="136">
        <f>MAX(Tabella01MarzoInverter[[#This Row],[Active power TX2-INV-1]:[Active power TX2-INV-12]])</f>
        <v/>
      </c>
      <c r="AF31" s="139">
        <f>MIN(Tabella01MarzoInverter[[#This Row],[Active power TX2-INV-1]:[Active power TX2-INV-12]])</f>
        <v/>
      </c>
      <c r="AG31" s="140" t="n">
        <v>0</v>
      </c>
      <c r="AH31" s="136" t="n">
        <v>0</v>
      </c>
      <c r="AI31" s="136" t="n">
        <v>0</v>
      </c>
      <c r="AJ31" s="136" t="n">
        <v>0</v>
      </c>
      <c r="AK31" s="136" t="n">
        <v>0</v>
      </c>
      <c r="AL31" s="136" t="n">
        <v>0</v>
      </c>
      <c r="AM31" s="136" t="n">
        <v>0</v>
      </c>
      <c r="AN31" s="136" t="n">
        <v>0</v>
      </c>
      <c r="AO31" s="136" t="n">
        <v>0</v>
      </c>
      <c r="AP31" s="136" t="n">
        <v>0</v>
      </c>
      <c r="AQ31" s="136" t="n">
        <v>0</v>
      </c>
      <c r="AR31" s="137" t="n">
        <v>0</v>
      </c>
      <c r="AS31" s="138">
        <f>IFERROR(AVERAGEIF(Tabella01MarzoInverter[[#This Row],[Active power TX3-INV-1]:[Active power TX3-INV-12]], "&gt;0"), 0)</f>
        <v/>
      </c>
      <c r="AT31" s="136">
        <f>MAX(Tabella01MarzoInverter[[#This Row],[Active power TX3-INV-1]:[Active power TX3-INV-12]])</f>
        <v/>
      </c>
      <c r="AU31" s="139">
        <f>MIN(Tabella01MarzoInverter[[#This Row],[Active power TX3-INV-1]:[Active power TX3-INV-12]])</f>
        <v/>
      </c>
    </row>
    <row r="32">
      <c r="A32" s="135" t="n">
        <v>46143</v>
      </c>
      <c r="B32" s="45" t="inlineStr">
        <is>
          <t>04:15:00.000</t>
        </is>
      </c>
      <c r="C32" s="136" t="n">
        <v>0</v>
      </c>
      <c r="D32" s="136" t="n">
        <v>0</v>
      </c>
      <c r="E32" s="136" t="n">
        <v>0</v>
      </c>
      <c r="F32" s="136" t="n">
        <v>0</v>
      </c>
      <c r="G32" s="136" t="n">
        <v>0</v>
      </c>
      <c r="H32" s="136" t="n">
        <v>0</v>
      </c>
      <c r="I32" s="136" t="n">
        <v>0</v>
      </c>
      <c r="J32" s="136" t="n">
        <v>0</v>
      </c>
      <c r="K32" s="136" t="n">
        <v>0</v>
      </c>
      <c r="L32" s="136" t="n">
        <v>0</v>
      </c>
      <c r="M32" s="136" t="n">
        <v>0</v>
      </c>
      <c r="N32" s="137" t="n">
        <v>0</v>
      </c>
      <c r="O32" s="138">
        <f>IFERROR(AVERAGEIF(Tabella01MarzoInverter[[#This Row],[Active power TX1-INV-1]:[Active power TX1-INV-12]], "&gt;0"), 0)</f>
        <v/>
      </c>
      <c r="P32" s="136">
        <f>MAX(Tabella01MarzoInverter[[#This Row],[Active power TX1-INV-1]:[Active power TX1-INV-12]])</f>
        <v/>
      </c>
      <c r="Q32" s="139">
        <f>MIN(Tabella01MarzoInverter[[#This Row],[Active power TX1-INV-1]:[Active power TX1-INV-12]])</f>
        <v/>
      </c>
      <c r="R32" s="140" t="n">
        <v>0</v>
      </c>
      <c r="S32" s="136" t="n">
        <v>0</v>
      </c>
      <c r="T32" s="136" t="n">
        <v>0</v>
      </c>
      <c r="U32" s="136" t="n">
        <v>0</v>
      </c>
      <c r="V32" s="136" t="n">
        <v>0</v>
      </c>
      <c r="W32" s="136" t="n">
        <v>0</v>
      </c>
      <c r="X32" s="136" t="n">
        <v>0</v>
      </c>
      <c r="Y32" s="136" t="n">
        <v>0</v>
      </c>
      <c r="Z32" s="136" t="n">
        <v>0</v>
      </c>
      <c r="AA32" s="136" t="n">
        <v>0</v>
      </c>
      <c r="AB32" s="136" t="n">
        <v>0</v>
      </c>
      <c r="AC32" s="137" t="n">
        <v>0</v>
      </c>
      <c r="AD32" s="138">
        <f>IFERROR(AVERAGEIF(Tabella01MarzoInverter[[#This Row],[Active power TX2-INV-1]:[Active power TX2-INV-12]], "&gt;0"), 0)</f>
        <v/>
      </c>
      <c r="AE32" s="136">
        <f>MAX(Tabella01MarzoInverter[[#This Row],[Active power TX2-INV-1]:[Active power TX2-INV-12]])</f>
        <v/>
      </c>
      <c r="AF32" s="139">
        <f>MIN(Tabella01MarzoInverter[[#This Row],[Active power TX2-INV-1]:[Active power TX2-INV-12]])</f>
        <v/>
      </c>
      <c r="AG32" s="140" t="n">
        <v>0</v>
      </c>
      <c r="AH32" s="136" t="n">
        <v>0</v>
      </c>
      <c r="AI32" s="136" t="n">
        <v>0</v>
      </c>
      <c r="AJ32" s="136" t="n">
        <v>0</v>
      </c>
      <c r="AK32" s="136" t="n">
        <v>0</v>
      </c>
      <c r="AL32" s="136" t="n">
        <v>0</v>
      </c>
      <c r="AM32" s="136" t="n">
        <v>0</v>
      </c>
      <c r="AN32" s="136" t="n">
        <v>0</v>
      </c>
      <c r="AO32" s="136" t="n">
        <v>0</v>
      </c>
      <c r="AP32" s="136" t="n">
        <v>0</v>
      </c>
      <c r="AQ32" s="136" t="n">
        <v>0</v>
      </c>
      <c r="AR32" s="137" t="n">
        <v>0</v>
      </c>
      <c r="AS32" s="138">
        <f>IFERROR(AVERAGEIF(Tabella01MarzoInverter[[#This Row],[Active power TX3-INV-1]:[Active power TX3-INV-12]], "&gt;0"), 0)</f>
        <v/>
      </c>
      <c r="AT32" s="136">
        <f>MAX(Tabella01MarzoInverter[[#This Row],[Active power TX3-INV-1]:[Active power TX3-INV-12]])</f>
        <v/>
      </c>
      <c r="AU32" s="139">
        <f>MIN(Tabella01MarzoInverter[[#This Row],[Active power TX3-INV-1]:[Active power TX3-INV-12]])</f>
        <v/>
      </c>
    </row>
    <row r="33">
      <c r="A33" s="135" t="n">
        <v>46143</v>
      </c>
      <c r="B33" s="39" t="inlineStr">
        <is>
          <t>04:30:00.000</t>
        </is>
      </c>
      <c r="C33" s="136" t="n">
        <v>0</v>
      </c>
      <c r="D33" s="136" t="n">
        <v>0</v>
      </c>
      <c r="E33" s="136" t="n">
        <v>0</v>
      </c>
      <c r="F33" s="136" t="n">
        <v>0</v>
      </c>
      <c r="G33" s="136" t="n">
        <v>0</v>
      </c>
      <c r="H33" s="136" t="n">
        <v>0</v>
      </c>
      <c r="I33" s="136" t="n">
        <v>0</v>
      </c>
      <c r="J33" s="136" t="n">
        <v>0</v>
      </c>
      <c r="K33" s="136" t="n">
        <v>0</v>
      </c>
      <c r="L33" s="136" t="n">
        <v>0</v>
      </c>
      <c r="M33" s="136" t="n">
        <v>0</v>
      </c>
      <c r="N33" s="137" t="n">
        <v>0</v>
      </c>
      <c r="O33" s="138">
        <f>IFERROR(AVERAGEIF(Tabella01MarzoInverter[[#This Row],[Active power TX1-INV-1]:[Active power TX1-INV-12]], "&gt;0"), 0)</f>
        <v/>
      </c>
      <c r="P33" s="136">
        <f>MAX(Tabella01MarzoInverter[[#This Row],[Active power TX1-INV-1]:[Active power TX1-INV-12]])</f>
        <v/>
      </c>
      <c r="Q33" s="139">
        <f>MIN(Tabella01MarzoInverter[[#This Row],[Active power TX1-INV-1]:[Active power TX1-INV-12]])</f>
        <v/>
      </c>
      <c r="R33" s="140" t="n">
        <v>0</v>
      </c>
      <c r="S33" s="136" t="n">
        <v>0</v>
      </c>
      <c r="T33" s="136" t="n">
        <v>0</v>
      </c>
      <c r="U33" s="136" t="n">
        <v>0</v>
      </c>
      <c r="V33" s="136" t="n">
        <v>0</v>
      </c>
      <c r="W33" s="136" t="n">
        <v>0</v>
      </c>
      <c r="X33" s="136" t="n">
        <v>0</v>
      </c>
      <c r="Y33" s="136" t="n">
        <v>0</v>
      </c>
      <c r="Z33" s="136" t="n">
        <v>0</v>
      </c>
      <c r="AA33" s="136" t="n">
        <v>0</v>
      </c>
      <c r="AB33" s="136" t="n">
        <v>0</v>
      </c>
      <c r="AC33" s="137" t="n">
        <v>0</v>
      </c>
      <c r="AD33" s="138">
        <f>IFERROR(AVERAGEIF(Tabella01MarzoInverter[[#This Row],[Active power TX2-INV-1]:[Active power TX2-INV-12]], "&gt;0"), 0)</f>
        <v/>
      </c>
      <c r="AE33" s="136">
        <f>MAX(Tabella01MarzoInverter[[#This Row],[Active power TX2-INV-1]:[Active power TX2-INV-12]])</f>
        <v/>
      </c>
      <c r="AF33" s="139">
        <f>MIN(Tabella01MarzoInverter[[#This Row],[Active power TX2-INV-1]:[Active power TX2-INV-12]])</f>
        <v/>
      </c>
      <c r="AG33" s="140" t="n">
        <v>0</v>
      </c>
      <c r="AH33" s="136" t="n">
        <v>0</v>
      </c>
      <c r="AI33" s="136" t="n">
        <v>0</v>
      </c>
      <c r="AJ33" s="136" t="n">
        <v>0</v>
      </c>
      <c r="AK33" s="136" t="n">
        <v>0</v>
      </c>
      <c r="AL33" s="136" t="n">
        <v>0</v>
      </c>
      <c r="AM33" s="136" t="n">
        <v>0</v>
      </c>
      <c r="AN33" s="136" t="n">
        <v>0</v>
      </c>
      <c r="AO33" s="136" t="n">
        <v>0</v>
      </c>
      <c r="AP33" s="136" t="n">
        <v>0</v>
      </c>
      <c r="AQ33" s="136" t="n">
        <v>0</v>
      </c>
      <c r="AR33" s="137" t="n">
        <v>0</v>
      </c>
      <c r="AS33" s="138">
        <f>IFERROR(AVERAGEIF(Tabella01MarzoInverter[[#This Row],[Active power TX3-INV-1]:[Active power TX3-INV-12]], "&gt;0"), 0)</f>
        <v/>
      </c>
      <c r="AT33" s="136">
        <f>MAX(Tabella01MarzoInverter[[#This Row],[Active power TX3-INV-1]:[Active power TX3-INV-12]])</f>
        <v/>
      </c>
      <c r="AU33" s="139">
        <f>MIN(Tabella01MarzoInverter[[#This Row],[Active power TX3-INV-1]:[Active power TX3-INV-12]])</f>
        <v/>
      </c>
    </row>
    <row r="34">
      <c r="A34" s="135" t="n">
        <v>46143</v>
      </c>
      <c r="B34" s="45" t="inlineStr">
        <is>
          <t>04:45:00.000</t>
        </is>
      </c>
      <c r="C34" s="136" t="n">
        <v>0</v>
      </c>
      <c r="D34" s="136" t="n">
        <v>0</v>
      </c>
      <c r="E34" s="136" t="n">
        <v>0</v>
      </c>
      <c r="F34" s="136" t="n">
        <v>0</v>
      </c>
      <c r="G34" s="136" t="n">
        <v>0</v>
      </c>
      <c r="H34" s="136" t="n">
        <v>0</v>
      </c>
      <c r="I34" s="136" t="n">
        <v>0</v>
      </c>
      <c r="J34" s="136" t="n">
        <v>0</v>
      </c>
      <c r="K34" s="136" t="n">
        <v>0</v>
      </c>
      <c r="L34" s="136" t="n">
        <v>0</v>
      </c>
      <c r="M34" s="136" t="n">
        <v>0</v>
      </c>
      <c r="N34" s="137" t="n">
        <v>0</v>
      </c>
      <c r="O34" s="138">
        <f>IFERROR(AVERAGEIF(Tabella01MarzoInverter[[#This Row],[Active power TX1-INV-1]:[Active power TX1-INV-12]], "&gt;0"), 0)</f>
        <v/>
      </c>
      <c r="P34" s="136">
        <f>MAX(Tabella01MarzoInverter[[#This Row],[Active power TX1-INV-1]:[Active power TX1-INV-12]])</f>
        <v/>
      </c>
      <c r="Q34" s="139">
        <f>MIN(Tabella01MarzoInverter[[#This Row],[Active power TX1-INV-1]:[Active power TX1-INV-12]])</f>
        <v/>
      </c>
      <c r="R34" s="140" t="n">
        <v>0</v>
      </c>
      <c r="S34" s="136" t="n">
        <v>0</v>
      </c>
      <c r="T34" s="136" t="n">
        <v>0</v>
      </c>
      <c r="U34" s="136" t="n">
        <v>0</v>
      </c>
      <c r="V34" s="136" t="n">
        <v>0</v>
      </c>
      <c r="W34" s="136" t="n">
        <v>0</v>
      </c>
      <c r="X34" s="136" t="n">
        <v>0</v>
      </c>
      <c r="Y34" s="136" t="n">
        <v>0</v>
      </c>
      <c r="Z34" s="136" t="n">
        <v>0</v>
      </c>
      <c r="AA34" s="136" t="n">
        <v>0</v>
      </c>
      <c r="AB34" s="136" t="n">
        <v>0</v>
      </c>
      <c r="AC34" s="137" t="n">
        <v>0</v>
      </c>
      <c r="AD34" s="138">
        <f>IFERROR(AVERAGEIF(Tabella01MarzoInverter[[#This Row],[Active power TX2-INV-1]:[Active power TX2-INV-12]], "&gt;0"), 0)</f>
        <v/>
      </c>
      <c r="AE34" s="136">
        <f>MAX(Tabella01MarzoInverter[[#This Row],[Active power TX2-INV-1]:[Active power TX2-INV-12]])</f>
        <v/>
      </c>
      <c r="AF34" s="139">
        <f>MIN(Tabella01MarzoInverter[[#This Row],[Active power TX2-INV-1]:[Active power TX2-INV-12]])</f>
        <v/>
      </c>
      <c r="AG34" s="140" t="n">
        <v>0</v>
      </c>
      <c r="AH34" s="136" t="n">
        <v>0</v>
      </c>
      <c r="AI34" s="136" t="n">
        <v>0</v>
      </c>
      <c r="AJ34" s="136" t="n">
        <v>0</v>
      </c>
      <c r="AK34" s="136" t="n">
        <v>0</v>
      </c>
      <c r="AL34" s="136" t="n">
        <v>0</v>
      </c>
      <c r="AM34" s="136" t="n">
        <v>0</v>
      </c>
      <c r="AN34" s="136" t="n">
        <v>0</v>
      </c>
      <c r="AO34" s="136" t="n">
        <v>0</v>
      </c>
      <c r="AP34" s="136" t="n">
        <v>0</v>
      </c>
      <c r="AQ34" s="136" t="n">
        <v>0</v>
      </c>
      <c r="AR34" s="137" t="n">
        <v>0</v>
      </c>
      <c r="AS34" s="138">
        <f>IFERROR(AVERAGEIF(Tabella01MarzoInverter[[#This Row],[Active power TX3-INV-1]:[Active power TX3-INV-12]], "&gt;0"), 0)</f>
        <v/>
      </c>
      <c r="AT34" s="136">
        <f>MAX(Tabella01MarzoInverter[[#This Row],[Active power TX3-INV-1]:[Active power TX3-INV-12]])</f>
        <v/>
      </c>
      <c r="AU34" s="139">
        <f>MIN(Tabella01MarzoInverter[[#This Row],[Active power TX3-INV-1]:[Active power TX3-INV-12]])</f>
        <v/>
      </c>
    </row>
    <row r="35">
      <c r="A35" s="135" t="n">
        <v>46143</v>
      </c>
      <c r="B35" s="39" t="inlineStr">
        <is>
          <t>05:00:00.000</t>
        </is>
      </c>
      <c r="C35" s="136" t="n">
        <v>0</v>
      </c>
      <c r="D35" s="136" t="n">
        <v>0</v>
      </c>
      <c r="E35" s="136" t="n">
        <v>0</v>
      </c>
      <c r="F35" s="136" t="n">
        <v>0</v>
      </c>
      <c r="G35" s="136" t="n">
        <v>0</v>
      </c>
      <c r="H35" s="136" t="n">
        <v>0</v>
      </c>
      <c r="I35" s="136" t="n">
        <v>0</v>
      </c>
      <c r="J35" s="136" t="n">
        <v>0</v>
      </c>
      <c r="K35" s="136" t="n">
        <v>0</v>
      </c>
      <c r="L35" s="136" t="n">
        <v>0</v>
      </c>
      <c r="M35" s="136" t="n">
        <v>0</v>
      </c>
      <c r="N35" s="137" t="n">
        <v>0</v>
      </c>
      <c r="O35" s="138">
        <f>IFERROR(AVERAGEIF(Tabella01MarzoInverter[[#This Row],[Active power TX1-INV-1]:[Active power TX1-INV-12]], "&gt;0"), 0)</f>
        <v/>
      </c>
      <c r="P35" s="136">
        <f>MAX(Tabella01MarzoInverter[[#This Row],[Active power TX1-INV-1]:[Active power TX1-INV-12]])</f>
        <v/>
      </c>
      <c r="Q35" s="139">
        <f>MIN(Tabella01MarzoInverter[[#This Row],[Active power TX1-INV-1]:[Active power TX1-INV-12]])</f>
        <v/>
      </c>
      <c r="R35" s="140" t="n">
        <v>0</v>
      </c>
      <c r="S35" s="136" t="n">
        <v>0</v>
      </c>
      <c r="T35" s="136" t="n">
        <v>0</v>
      </c>
      <c r="U35" s="136" t="n">
        <v>0</v>
      </c>
      <c r="V35" s="136" t="n">
        <v>0</v>
      </c>
      <c r="W35" s="136" t="n">
        <v>0</v>
      </c>
      <c r="X35" s="136" t="n">
        <v>0</v>
      </c>
      <c r="Y35" s="136" t="n">
        <v>0</v>
      </c>
      <c r="Z35" s="136" t="n">
        <v>0</v>
      </c>
      <c r="AA35" s="136" t="n">
        <v>0</v>
      </c>
      <c r="AB35" s="136" t="n">
        <v>0</v>
      </c>
      <c r="AC35" s="137" t="n">
        <v>0</v>
      </c>
      <c r="AD35" s="138">
        <f>IFERROR(AVERAGEIF(Tabella01MarzoInverter[[#This Row],[Active power TX2-INV-1]:[Active power TX2-INV-12]], "&gt;0"), 0)</f>
        <v/>
      </c>
      <c r="AE35" s="136">
        <f>MAX(Tabella01MarzoInverter[[#This Row],[Active power TX2-INV-1]:[Active power TX2-INV-12]])</f>
        <v/>
      </c>
      <c r="AF35" s="139">
        <f>MIN(Tabella01MarzoInverter[[#This Row],[Active power TX2-INV-1]:[Active power TX2-INV-12]])</f>
        <v/>
      </c>
      <c r="AG35" s="140" t="n">
        <v>0</v>
      </c>
      <c r="AH35" s="136" t="n">
        <v>0</v>
      </c>
      <c r="AI35" s="136" t="n">
        <v>0</v>
      </c>
      <c r="AJ35" s="136" t="n">
        <v>0</v>
      </c>
      <c r="AK35" s="136" t="n">
        <v>0</v>
      </c>
      <c r="AL35" s="136" t="n">
        <v>0</v>
      </c>
      <c r="AM35" s="136" t="n">
        <v>0</v>
      </c>
      <c r="AN35" s="136" t="n">
        <v>0</v>
      </c>
      <c r="AO35" s="136" t="n">
        <v>0</v>
      </c>
      <c r="AP35" s="136" t="n">
        <v>0</v>
      </c>
      <c r="AQ35" s="136" t="n">
        <v>0</v>
      </c>
      <c r="AR35" s="137" t="n">
        <v>0</v>
      </c>
      <c r="AS35" s="138">
        <f>IFERROR(AVERAGEIF(Tabella01MarzoInverter[[#This Row],[Active power TX3-INV-1]:[Active power TX3-INV-12]], "&gt;0"), 0)</f>
        <v/>
      </c>
      <c r="AT35" s="136">
        <f>MAX(Tabella01MarzoInverter[[#This Row],[Active power TX3-INV-1]:[Active power TX3-INV-12]])</f>
        <v/>
      </c>
      <c r="AU35" s="139">
        <f>MIN(Tabella01MarzoInverter[[#This Row],[Active power TX3-INV-1]:[Active power TX3-INV-12]])</f>
        <v/>
      </c>
    </row>
    <row r="36">
      <c r="A36" s="135" t="n">
        <v>46143</v>
      </c>
      <c r="B36" s="45" t="inlineStr">
        <is>
          <t>05:15:00.000</t>
        </is>
      </c>
      <c r="C36" s="136" t="n">
        <v>0</v>
      </c>
      <c r="D36" s="136" t="n">
        <v>0</v>
      </c>
      <c r="E36" s="136" t="n">
        <v>0</v>
      </c>
      <c r="F36" s="136" t="n">
        <v>0</v>
      </c>
      <c r="G36" s="136" t="n">
        <v>0</v>
      </c>
      <c r="H36" s="136" t="n">
        <v>0</v>
      </c>
      <c r="I36" s="136" t="n">
        <v>0</v>
      </c>
      <c r="J36" s="136" t="n">
        <v>0</v>
      </c>
      <c r="K36" s="136" t="n">
        <v>0</v>
      </c>
      <c r="L36" s="136" t="n">
        <v>0</v>
      </c>
      <c r="M36" s="136" t="n">
        <v>0</v>
      </c>
      <c r="N36" s="137" t="n">
        <v>0</v>
      </c>
      <c r="O36" s="138">
        <f>IFERROR(AVERAGEIF(Tabella01MarzoInverter[[#This Row],[Active power TX1-INV-1]:[Active power TX1-INV-12]], "&gt;0"), 0)</f>
        <v/>
      </c>
      <c r="P36" s="136">
        <f>MAX(Tabella01MarzoInverter[[#This Row],[Active power TX1-INV-1]:[Active power TX1-INV-12]])</f>
        <v/>
      </c>
      <c r="Q36" s="139">
        <f>MIN(Tabella01MarzoInverter[[#This Row],[Active power TX1-INV-1]:[Active power TX1-INV-12]])</f>
        <v/>
      </c>
      <c r="R36" s="140" t="n">
        <v>0</v>
      </c>
      <c r="S36" s="136" t="n">
        <v>0</v>
      </c>
      <c r="T36" s="136" t="n">
        <v>0</v>
      </c>
      <c r="U36" s="136" t="n">
        <v>0</v>
      </c>
      <c r="V36" s="136" t="n">
        <v>0</v>
      </c>
      <c r="W36" s="136" t="n">
        <v>0</v>
      </c>
      <c r="X36" s="136" t="n">
        <v>0</v>
      </c>
      <c r="Y36" s="136" t="n">
        <v>0</v>
      </c>
      <c r="Z36" s="136" t="n">
        <v>0</v>
      </c>
      <c r="AA36" s="136" t="n">
        <v>0</v>
      </c>
      <c r="AB36" s="136" t="n">
        <v>0</v>
      </c>
      <c r="AC36" s="137" t="n">
        <v>0</v>
      </c>
      <c r="AD36" s="138">
        <f>IFERROR(AVERAGEIF(Tabella01MarzoInverter[[#This Row],[Active power TX2-INV-1]:[Active power TX2-INV-12]], "&gt;0"), 0)</f>
        <v/>
      </c>
      <c r="AE36" s="136">
        <f>MAX(Tabella01MarzoInverter[[#This Row],[Active power TX2-INV-1]:[Active power TX2-INV-12]])</f>
        <v/>
      </c>
      <c r="AF36" s="139">
        <f>MIN(Tabella01MarzoInverter[[#This Row],[Active power TX2-INV-1]:[Active power TX2-INV-12]])</f>
        <v/>
      </c>
      <c r="AG36" s="140" t="n">
        <v>0</v>
      </c>
      <c r="AH36" s="136" t="n">
        <v>0</v>
      </c>
      <c r="AI36" s="136" t="n">
        <v>0</v>
      </c>
      <c r="AJ36" s="136" t="n">
        <v>0</v>
      </c>
      <c r="AK36" s="136" t="n">
        <v>0</v>
      </c>
      <c r="AL36" s="136" t="n">
        <v>0</v>
      </c>
      <c r="AM36" s="136" t="n">
        <v>0</v>
      </c>
      <c r="AN36" s="136" t="n">
        <v>0</v>
      </c>
      <c r="AO36" s="136" t="n">
        <v>0</v>
      </c>
      <c r="AP36" s="136" t="n">
        <v>0</v>
      </c>
      <c r="AQ36" s="136" t="n">
        <v>0</v>
      </c>
      <c r="AR36" s="137" t="n">
        <v>0</v>
      </c>
      <c r="AS36" s="138">
        <f>IFERROR(AVERAGEIF(Tabella01MarzoInverter[[#This Row],[Active power TX3-INV-1]:[Active power TX3-INV-12]], "&gt;0"), 0)</f>
        <v/>
      </c>
      <c r="AT36" s="136">
        <f>MAX(Tabella01MarzoInverter[[#This Row],[Active power TX3-INV-1]:[Active power TX3-INV-12]])</f>
        <v/>
      </c>
      <c r="AU36" s="139">
        <f>MIN(Tabella01MarzoInverter[[#This Row],[Active power TX3-INV-1]:[Active power TX3-INV-12]])</f>
        <v/>
      </c>
    </row>
    <row r="37">
      <c r="A37" s="135" t="n">
        <v>46143</v>
      </c>
      <c r="B37" s="39" t="inlineStr">
        <is>
          <t>05:30:00.000</t>
        </is>
      </c>
      <c r="C37" s="136" t="n">
        <v>0</v>
      </c>
      <c r="D37" s="136" t="n">
        <v>0</v>
      </c>
      <c r="E37" s="136" t="n">
        <v>0</v>
      </c>
      <c r="F37" s="136" t="n">
        <v>0</v>
      </c>
      <c r="G37" s="136" t="n">
        <v>0</v>
      </c>
      <c r="H37" s="136" t="n">
        <v>0</v>
      </c>
      <c r="I37" s="136" t="n">
        <v>0</v>
      </c>
      <c r="J37" s="136" t="n">
        <v>0</v>
      </c>
      <c r="K37" s="136" t="n">
        <v>0</v>
      </c>
      <c r="L37" s="136" t="n">
        <v>0</v>
      </c>
      <c r="M37" s="136" t="n">
        <v>0</v>
      </c>
      <c r="N37" s="137" t="n">
        <v>0</v>
      </c>
      <c r="O37" s="138">
        <f>IFERROR(AVERAGEIF(Tabella01MarzoInverter[[#This Row],[Active power TX1-INV-1]:[Active power TX1-INV-12]], "&gt;0"), 0)</f>
        <v/>
      </c>
      <c r="P37" s="136">
        <f>MAX(Tabella01MarzoInverter[[#This Row],[Active power TX1-INV-1]:[Active power TX1-INV-12]])</f>
        <v/>
      </c>
      <c r="Q37" s="139">
        <f>MIN(Tabella01MarzoInverter[[#This Row],[Active power TX1-INV-1]:[Active power TX1-INV-12]])</f>
        <v/>
      </c>
      <c r="R37" s="140" t="n">
        <v>0</v>
      </c>
      <c r="S37" s="136" t="n">
        <v>0</v>
      </c>
      <c r="T37" s="136" t="n">
        <v>0</v>
      </c>
      <c r="U37" s="136" t="n">
        <v>0</v>
      </c>
      <c r="V37" s="136" t="n">
        <v>0</v>
      </c>
      <c r="W37" s="136" t="n">
        <v>0</v>
      </c>
      <c r="X37" s="136" t="n">
        <v>0</v>
      </c>
      <c r="Y37" s="136" t="n">
        <v>0</v>
      </c>
      <c r="Z37" s="136" t="n">
        <v>0</v>
      </c>
      <c r="AA37" s="136" t="n">
        <v>0</v>
      </c>
      <c r="AB37" s="136" t="n">
        <v>0</v>
      </c>
      <c r="AC37" s="137" t="n">
        <v>0</v>
      </c>
      <c r="AD37" s="138">
        <f>IFERROR(AVERAGEIF(Tabella01MarzoInverter[[#This Row],[Active power TX2-INV-1]:[Active power TX2-INV-12]], "&gt;0"), 0)</f>
        <v/>
      </c>
      <c r="AE37" s="136">
        <f>MAX(Tabella01MarzoInverter[[#This Row],[Active power TX2-INV-1]:[Active power TX2-INV-12]])</f>
        <v/>
      </c>
      <c r="AF37" s="139">
        <f>MIN(Tabella01MarzoInverter[[#This Row],[Active power TX2-INV-1]:[Active power TX2-INV-12]])</f>
        <v/>
      </c>
      <c r="AG37" s="140" t="n">
        <v>0</v>
      </c>
      <c r="AH37" s="136" t="n">
        <v>0</v>
      </c>
      <c r="AI37" s="136" t="n">
        <v>0</v>
      </c>
      <c r="AJ37" s="136" t="n">
        <v>0</v>
      </c>
      <c r="AK37" s="136" t="n">
        <v>0</v>
      </c>
      <c r="AL37" s="136" t="n">
        <v>0</v>
      </c>
      <c r="AM37" s="136" t="n">
        <v>0</v>
      </c>
      <c r="AN37" s="136" t="n">
        <v>0</v>
      </c>
      <c r="AO37" s="136" t="n">
        <v>0</v>
      </c>
      <c r="AP37" s="136" t="n">
        <v>0</v>
      </c>
      <c r="AQ37" s="136" t="n">
        <v>0</v>
      </c>
      <c r="AR37" s="137" t="n">
        <v>0</v>
      </c>
      <c r="AS37" s="138">
        <f>IFERROR(AVERAGEIF(Tabella01MarzoInverter[[#This Row],[Active power TX3-INV-1]:[Active power TX3-INV-12]], "&gt;0"), 0)</f>
        <v/>
      </c>
      <c r="AT37" s="136">
        <f>MAX(Tabella01MarzoInverter[[#This Row],[Active power TX3-INV-1]:[Active power TX3-INV-12]])</f>
        <v/>
      </c>
      <c r="AU37" s="139">
        <f>MIN(Tabella01MarzoInverter[[#This Row],[Active power TX3-INV-1]:[Active power TX3-INV-12]])</f>
        <v/>
      </c>
    </row>
    <row r="38">
      <c r="A38" s="135" t="n">
        <v>46143</v>
      </c>
      <c r="B38" s="45" t="inlineStr">
        <is>
          <t>05:45:00.000</t>
        </is>
      </c>
      <c r="C38" s="136" t="n">
        <v>0</v>
      </c>
      <c r="D38" s="136" t="n">
        <v>0</v>
      </c>
      <c r="E38" s="136" t="n">
        <v>0</v>
      </c>
      <c r="F38" s="136" t="n">
        <v>0</v>
      </c>
      <c r="G38" s="136" t="n">
        <v>0</v>
      </c>
      <c r="H38" s="136" t="n">
        <v>0</v>
      </c>
      <c r="I38" s="136" t="n">
        <v>0</v>
      </c>
      <c r="J38" s="136" t="n">
        <v>0</v>
      </c>
      <c r="K38" s="136" t="n">
        <v>0</v>
      </c>
      <c r="L38" s="136" t="n">
        <v>0</v>
      </c>
      <c r="M38" s="136" t="n">
        <v>0</v>
      </c>
      <c r="N38" s="137" t="n">
        <v>0</v>
      </c>
      <c r="O38" s="138">
        <f>IFERROR(AVERAGEIF(Tabella01MarzoInverter[[#This Row],[Active power TX1-INV-1]:[Active power TX1-INV-12]], "&gt;0"), 0)</f>
        <v/>
      </c>
      <c r="P38" s="136">
        <f>MAX(Tabella01MarzoInverter[[#This Row],[Active power TX1-INV-1]:[Active power TX1-INV-12]])</f>
        <v/>
      </c>
      <c r="Q38" s="139">
        <f>MIN(Tabella01MarzoInverter[[#This Row],[Active power TX1-INV-1]:[Active power TX1-INV-12]])</f>
        <v/>
      </c>
      <c r="R38" s="140" t="n">
        <v>0</v>
      </c>
      <c r="S38" s="136" t="n">
        <v>0</v>
      </c>
      <c r="T38" s="136" t="n">
        <v>0</v>
      </c>
      <c r="U38" s="136" t="n">
        <v>0</v>
      </c>
      <c r="V38" s="136" t="n">
        <v>0</v>
      </c>
      <c r="W38" s="136" t="n">
        <v>0</v>
      </c>
      <c r="X38" s="136" t="n">
        <v>0</v>
      </c>
      <c r="Y38" s="136" t="n">
        <v>0</v>
      </c>
      <c r="Z38" s="136" t="n">
        <v>0</v>
      </c>
      <c r="AA38" s="136" t="n">
        <v>0</v>
      </c>
      <c r="AB38" s="136" t="n">
        <v>0</v>
      </c>
      <c r="AC38" s="137" t="n">
        <v>0</v>
      </c>
      <c r="AD38" s="138">
        <f>IFERROR(AVERAGEIF(Tabella01MarzoInverter[[#This Row],[Active power TX2-INV-1]:[Active power TX2-INV-12]], "&gt;0"), 0)</f>
        <v/>
      </c>
      <c r="AE38" s="136">
        <f>MAX(Tabella01MarzoInverter[[#This Row],[Active power TX2-INV-1]:[Active power TX2-INV-12]])</f>
        <v/>
      </c>
      <c r="AF38" s="139">
        <f>MIN(Tabella01MarzoInverter[[#This Row],[Active power TX2-INV-1]:[Active power TX2-INV-12]])</f>
        <v/>
      </c>
      <c r="AG38" s="140" t="n">
        <v>0</v>
      </c>
      <c r="AH38" s="136" t="n">
        <v>0</v>
      </c>
      <c r="AI38" s="136" t="n">
        <v>0</v>
      </c>
      <c r="AJ38" s="136" t="n">
        <v>0</v>
      </c>
      <c r="AK38" s="136" t="n">
        <v>0</v>
      </c>
      <c r="AL38" s="136" t="n">
        <v>0</v>
      </c>
      <c r="AM38" s="136" t="n">
        <v>0</v>
      </c>
      <c r="AN38" s="136" t="n">
        <v>0</v>
      </c>
      <c r="AO38" s="136" t="n">
        <v>0</v>
      </c>
      <c r="AP38" s="136" t="n">
        <v>0</v>
      </c>
      <c r="AQ38" s="136" t="n">
        <v>0</v>
      </c>
      <c r="AR38" s="137" t="n">
        <v>0</v>
      </c>
      <c r="AS38" s="138">
        <f>IFERROR(AVERAGEIF(Tabella01MarzoInverter[[#This Row],[Active power TX3-INV-1]:[Active power TX3-INV-12]], "&gt;0"), 0)</f>
        <v/>
      </c>
      <c r="AT38" s="136">
        <f>MAX(Tabella01MarzoInverter[[#This Row],[Active power TX3-INV-1]:[Active power TX3-INV-12]])</f>
        <v/>
      </c>
      <c r="AU38" s="139">
        <f>MIN(Tabella01MarzoInverter[[#This Row],[Active power TX3-INV-1]:[Active power TX3-INV-12]])</f>
        <v/>
      </c>
    </row>
    <row r="39">
      <c r="A39" s="135" t="n">
        <v>46143</v>
      </c>
      <c r="B39" s="39" t="inlineStr">
        <is>
          <t>06:00:00.000</t>
        </is>
      </c>
      <c r="C39" s="136" t="n">
        <v>0</v>
      </c>
      <c r="D39" s="136" t="n">
        <v>0</v>
      </c>
      <c r="E39" s="136" t="n">
        <v>0</v>
      </c>
      <c r="F39" s="136" t="n">
        <v>0</v>
      </c>
      <c r="G39" s="136" t="n">
        <v>0</v>
      </c>
      <c r="H39" s="136" t="n">
        <v>0</v>
      </c>
      <c r="I39" s="136" t="n">
        <v>0</v>
      </c>
      <c r="J39" s="136" t="n">
        <v>0</v>
      </c>
      <c r="K39" s="136" t="n">
        <v>0</v>
      </c>
      <c r="L39" s="136" t="n">
        <v>0</v>
      </c>
      <c r="M39" s="136" t="n">
        <v>0</v>
      </c>
      <c r="N39" s="137" t="n">
        <v>0</v>
      </c>
      <c r="O39" s="138">
        <f>IFERROR(AVERAGEIF(Tabella01MarzoInverter[[#This Row],[Active power TX1-INV-1]:[Active power TX1-INV-12]], "&gt;0"), 0)</f>
        <v/>
      </c>
      <c r="P39" s="136">
        <f>MAX(Tabella01MarzoInverter[[#This Row],[Active power TX1-INV-1]:[Active power TX1-INV-12]])</f>
        <v/>
      </c>
      <c r="Q39" s="139">
        <f>MIN(Tabella01MarzoInverter[[#This Row],[Active power TX1-INV-1]:[Active power TX1-INV-12]])</f>
        <v/>
      </c>
      <c r="R39" s="140" t="n">
        <v>0</v>
      </c>
      <c r="S39" s="136" t="n">
        <v>0</v>
      </c>
      <c r="T39" s="136" t="n">
        <v>0</v>
      </c>
      <c r="U39" s="136" t="n">
        <v>0</v>
      </c>
      <c r="V39" s="136" t="n">
        <v>0</v>
      </c>
      <c r="W39" s="136" t="n">
        <v>0</v>
      </c>
      <c r="X39" s="136" t="n">
        <v>0</v>
      </c>
      <c r="Y39" s="136" t="n">
        <v>0</v>
      </c>
      <c r="Z39" s="136" t="n">
        <v>0</v>
      </c>
      <c r="AA39" s="136" t="n">
        <v>0</v>
      </c>
      <c r="AB39" s="136" t="n">
        <v>0</v>
      </c>
      <c r="AC39" s="137" t="n">
        <v>0</v>
      </c>
      <c r="AD39" s="138">
        <f>IFERROR(AVERAGEIF(Tabella01MarzoInverter[[#This Row],[Active power TX2-INV-1]:[Active power TX2-INV-12]], "&gt;0"), 0)</f>
        <v/>
      </c>
      <c r="AE39" s="136">
        <f>MAX(Tabella01MarzoInverter[[#This Row],[Active power TX2-INV-1]:[Active power TX2-INV-12]])</f>
        <v/>
      </c>
      <c r="AF39" s="139">
        <f>MIN(Tabella01MarzoInverter[[#This Row],[Active power TX2-INV-1]:[Active power TX2-INV-12]])</f>
        <v/>
      </c>
      <c r="AG39" s="140" t="n">
        <v>0</v>
      </c>
      <c r="AH39" s="136" t="n">
        <v>0</v>
      </c>
      <c r="AI39" s="136" t="n">
        <v>0</v>
      </c>
      <c r="AJ39" s="136" t="n">
        <v>0</v>
      </c>
      <c r="AK39" s="136" t="n">
        <v>0</v>
      </c>
      <c r="AL39" s="136" t="n">
        <v>0</v>
      </c>
      <c r="AM39" s="136" t="n">
        <v>0</v>
      </c>
      <c r="AN39" s="136" t="n">
        <v>0</v>
      </c>
      <c r="AO39" s="136" t="n">
        <v>0</v>
      </c>
      <c r="AP39" s="136" t="n">
        <v>0</v>
      </c>
      <c r="AQ39" s="136" t="n">
        <v>0</v>
      </c>
      <c r="AR39" s="137" t="n">
        <v>0</v>
      </c>
      <c r="AS39" s="138">
        <f>IFERROR(AVERAGEIF(Tabella01MarzoInverter[[#This Row],[Active power TX3-INV-1]:[Active power TX3-INV-12]], "&gt;0"), 0)</f>
        <v/>
      </c>
      <c r="AT39" s="136">
        <f>MAX(Tabella01MarzoInverter[[#This Row],[Active power TX3-INV-1]:[Active power TX3-INV-12]])</f>
        <v/>
      </c>
      <c r="AU39" s="139">
        <f>MIN(Tabella01MarzoInverter[[#This Row],[Active power TX3-INV-1]:[Active power TX3-INV-12]])</f>
        <v/>
      </c>
    </row>
    <row r="40">
      <c r="A40" s="135" t="n">
        <v>46143</v>
      </c>
      <c r="B40" s="45" t="inlineStr">
        <is>
          <t>06:15:00.000</t>
        </is>
      </c>
      <c r="C40" s="136" t="n">
        <v>0</v>
      </c>
      <c r="D40" s="136" t="n">
        <v>0</v>
      </c>
      <c r="E40" s="136" t="n">
        <v>0</v>
      </c>
      <c r="F40" s="136" t="n">
        <v>0</v>
      </c>
      <c r="G40" s="136" t="n">
        <v>0</v>
      </c>
      <c r="H40" s="136" t="n">
        <v>0</v>
      </c>
      <c r="I40" s="136" t="n">
        <v>0</v>
      </c>
      <c r="J40" s="136" t="n">
        <v>0</v>
      </c>
      <c r="K40" s="136" t="n">
        <v>0</v>
      </c>
      <c r="L40" s="136" t="n">
        <v>0</v>
      </c>
      <c r="M40" s="136" t="n">
        <v>0</v>
      </c>
      <c r="N40" s="137" t="n">
        <v>0</v>
      </c>
      <c r="O40" s="138">
        <f>IFERROR(AVERAGEIF(Tabella01MarzoInverter[[#This Row],[Active power TX1-INV-1]:[Active power TX1-INV-12]], "&gt;0"), 0)</f>
        <v/>
      </c>
      <c r="P40" s="136">
        <f>MAX(Tabella01MarzoInverter[[#This Row],[Active power TX1-INV-1]:[Active power TX1-INV-12]])</f>
        <v/>
      </c>
      <c r="Q40" s="139">
        <f>MIN(Tabella01MarzoInverter[[#This Row],[Active power TX1-INV-1]:[Active power TX1-INV-12]])</f>
        <v/>
      </c>
      <c r="R40" s="140" t="n">
        <v>0</v>
      </c>
      <c r="S40" s="136" t="n">
        <v>0</v>
      </c>
      <c r="T40" s="136" t="n">
        <v>0</v>
      </c>
      <c r="U40" s="136" t="n">
        <v>0</v>
      </c>
      <c r="V40" s="136" t="n">
        <v>0</v>
      </c>
      <c r="W40" s="136" t="n">
        <v>0</v>
      </c>
      <c r="X40" s="136" t="n">
        <v>0</v>
      </c>
      <c r="Y40" s="136" t="n">
        <v>0</v>
      </c>
      <c r="Z40" s="136" t="n">
        <v>0</v>
      </c>
      <c r="AA40" s="136" t="n">
        <v>0</v>
      </c>
      <c r="AB40" s="136" t="n">
        <v>0</v>
      </c>
      <c r="AC40" s="137" t="n">
        <v>0</v>
      </c>
      <c r="AD40" s="138">
        <f>IFERROR(AVERAGEIF(Tabella01MarzoInverter[[#This Row],[Active power TX2-INV-1]:[Active power TX2-INV-12]], "&gt;0"), 0)</f>
        <v/>
      </c>
      <c r="AE40" s="136">
        <f>MAX(Tabella01MarzoInverter[[#This Row],[Active power TX2-INV-1]:[Active power TX2-INV-12]])</f>
        <v/>
      </c>
      <c r="AF40" s="139">
        <f>MIN(Tabella01MarzoInverter[[#This Row],[Active power TX2-INV-1]:[Active power TX2-INV-12]])</f>
        <v/>
      </c>
      <c r="AG40" s="140" t="n">
        <v>0</v>
      </c>
      <c r="AH40" s="136" t="n">
        <v>0</v>
      </c>
      <c r="AI40" s="136" t="n">
        <v>0</v>
      </c>
      <c r="AJ40" s="136" t="n">
        <v>0</v>
      </c>
      <c r="AK40" s="136" t="n">
        <v>0</v>
      </c>
      <c r="AL40" s="136" t="n">
        <v>0</v>
      </c>
      <c r="AM40" s="136" t="n">
        <v>0</v>
      </c>
      <c r="AN40" s="136" t="n">
        <v>0</v>
      </c>
      <c r="AO40" s="136" t="n">
        <v>0</v>
      </c>
      <c r="AP40" s="136" t="n">
        <v>0</v>
      </c>
      <c r="AQ40" s="136" t="n">
        <v>0</v>
      </c>
      <c r="AR40" s="137" t="n">
        <v>0</v>
      </c>
      <c r="AS40" s="138">
        <f>IFERROR(AVERAGEIF(Tabella01MarzoInverter[[#This Row],[Active power TX3-INV-1]:[Active power TX3-INV-12]], "&gt;0"), 0)</f>
        <v/>
      </c>
      <c r="AT40" s="136">
        <f>MAX(Tabella01MarzoInverter[[#This Row],[Active power TX3-INV-1]:[Active power TX3-INV-12]])</f>
        <v/>
      </c>
      <c r="AU40" s="139">
        <f>MIN(Tabella01MarzoInverter[[#This Row],[Active power TX3-INV-1]:[Active power TX3-INV-12]])</f>
        <v/>
      </c>
    </row>
    <row r="41">
      <c r="A41" s="135" t="n">
        <v>46143</v>
      </c>
      <c r="B41" s="39" t="inlineStr">
        <is>
          <t>06:30:00.000</t>
        </is>
      </c>
      <c r="C41" s="136" t="n">
        <v>0.9</v>
      </c>
      <c r="D41" s="136" t="n">
        <v>0.7</v>
      </c>
      <c r="E41" s="136" t="n">
        <v>1</v>
      </c>
      <c r="F41" s="136" t="n">
        <v>1</v>
      </c>
      <c r="G41" s="136" t="n">
        <v>1.6</v>
      </c>
      <c r="H41" s="136" t="n">
        <v>0.8</v>
      </c>
      <c r="I41" s="136" t="n">
        <v>1</v>
      </c>
      <c r="J41" s="136" t="n">
        <v>1.1</v>
      </c>
      <c r="K41" s="136" t="n">
        <v>1.3</v>
      </c>
      <c r="L41" s="136" t="n">
        <v>0.9</v>
      </c>
      <c r="M41" s="136" t="n">
        <v>1.1</v>
      </c>
      <c r="N41" s="137" t="n">
        <v>1.4</v>
      </c>
      <c r="O41" s="138">
        <f>IFERROR(AVERAGEIF(Tabella01MarzoInverter[[#This Row],[Active power TX1-INV-1]:[Active power TX1-INV-12]], "&gt;0"), 0)</f>
        <v/>
      </c>
      <c r="P41" s="136">
        <f>MAX(Tabella01MarzoInverter[[#This Row],[Active power TX1-INV-1]:[Active power TX1-INV-12]])</f>
        <v/>
      </c>
      <c r="Q41" s="139">
        <f>MIN(Tabella01MarzoInverter[[#This Row],[Active power TX1-INV-1]:[Active power TX1-INV-12]])</f>
        <v/>
      </c>
      <c r="R41" s="140" t="n">
        <v>1.1</v>
      </c>
      <c r="S41" s="136" t="n">
        <v>1</v>
      </c>
      <c r="T41" s="136" t="n">
        <v>3.1</v>
      </c>
      <c r="U41" s="136" t="n">
        <v>1.2</v>
      </c>
      <c r="V41" s="136" t="n">
        <v>2.1</v>
      </c>
      <c r="W41" s="136" t="n">
        <v>1.3</v>
      </c>
      <c r="X41" s="136" t="n">
        <v>1.3</v>
      </c>
      <c r="Y41" s="136" t="n">
        <v>1.9</v>
      </c>
      <c r="Z41" s="136" t="n">
        <v>1.2</v>
      </c>
      <c r="AA41" s="136" t="n">
        <v>1.1</v>
      </c>
      <c r="AB41" s="136" t="n">
        <v>1.1</v>
      </c>
      <c r="AC41" s="137" t="n">
        <v>1.8</v>
      </c>
      <c r="AD41" s="138">
        <f>IFERROR(AVERAGEIF(Tabella01MarzoInverter[[#This Row],[Active power TX2-INV-1]:[Active power TX2-INV-12]], "&gt;0"), 0)</f>
        <v/>
      </c>
      <c r="AE41" s="136">
        <f>MAX(Tabella01MarzoInverter[[#This Row],[Active power TX2-INV-1]:[Active power TX2-INV-12]])</f>
        <v/>
      </c>
      <c r="AF41" s="139">
        <f>MIN(Tabella01MarzoInverter[[#This Row],[Active power TX2-INV-1]:[Active power TX2-INV-12]])</f>
        <v/>
      </c>
      <c r="AG41" s="140" t="n">
        <v>2.1</v>
      </c>
      <c r="AH41" s="136" t="n">
        <v>1.1</v>
      </c>
      <c r="AI41" s="136" t="n">
        <v>1.2</v>
      </c>
      <c r="AJ41" s="136" t="n">
        <v>1.2</v>
      </c>
      <c r="AK41" s="136" t="n">
        <v>1.2</v>
      </c>
      <c r="AL41" s="136" t="n">
        <v>1.2</v>
      </c>
      <c r="AM41" s="136" t="n">
        <v>1.3</v>
      </c>
      <c r="AN41" s="136" t="n">
        <v>1.1</v>
      </c>
      <c r="AO41" s="136" t="n">
        <v>1.1</v>
      </c>
      <c r="AP41" s="136" t="n">
        <v>0.9</v>
      </c>
      <c r="AQ41" s="136" t="n">
        <v>1.1</v>
      </c>
      <c r="AR41" s="137" t="n">
        <v>1.2</v>
      </c>
      <c r="AS41" s="138">
        <f>IFERROR(AVERAGEIF(Tabella01MarzoInverter[[#This Row],[Active power TX3-INV-1]:[Active power TX3-INV-12]], "&gt;0"), 0)</f>
        <v/>
      </c>
      <c r="AT41" s="136">
        <f>MAX(Tabella01MarzoInverter[[#This Row],[Active power TX3-INV-1]:[Active power TX3-INV-12]])</f>
        <v/>
      </c>
      <c r="AU41" s="139">
        <f>MIN(Tabella01MarzoInverter[[#This Row],[Active power TX3-INV-1]:[Active power TX3-INV-12]])</f>
        <v/>
      </c>
    </row>
    <row r="42">
      <c r="A42" s="135" t="n">
        <v>46143</v>
      </c>
      <c r="B42" s="45" t="inlineStr">
        <is>
          <t>06:45:00.000</t>
        </is>
      </c>
      <c r="C42" s="136" t="n">
        <v>4.9</v>
      </c>
      <c r="D42" s="136" t="n">
        <v>9.699999999999999</v>
      </c>
      <c r="E42" s="136" t="n">
        <v>10</v>
      </c>
      <c r="F42" s="136" t="n">
        <v>10.1</v>
      </c>
      <c r="G42" s="136" t="n">
        <v>4.3</v>
      </c>
      <c r="H42" s="136" t="n">
        <v>9.9</v>
      </c>
      <c r="I42" s="136" t="n">
        <v>10</v>
      </c>
      <c r="J42" s="136" t="n">
        <v>10</v>
      </c>
      <c r="K42" s="136" t="n">
        <v>10.3</v>
      </c>
      <c r="L42" s="136" t="n">
        <v>9.9</v>
      </c>
      <c r="M42" s="136" t="n">
        <v>10.4</v>
      </c>
      <c r="N42" s="137" t="n">
        <v>10.5</v>
      </c>
      <c r="O42" s="138">
        <f>IFERROR(AVERAGEIF(Tabella01MarzoInverter[[#This Row],[Active power TX1-INV-1]:[Active power TX1-INV-12]], "&gt;0"), 0)</f>
        <v/>
      </c>
      <c r="P42" s="136">
        <f>MAX(Tabella01MarzoInverter[[#This Row],[Active power TX1-INV-1]:[Active power TX1-INV-12]])</f>
        <v/>
      </c>
      <c r="Q42" s="139">
        <f>MIN(Tabella01MarzoInverter[[#This Row],[Active power TX1-INV-1]:[Active power TX1-INV-12]])</f>
        <v/>
      </c>
      <c r="R42" s="140" t="n">
        <v>9.699999999999999</v>
      </c>
      <c r="S42" s="136" t="n">
        <v>9.9</v>
      </c>
      <c r="T42" s="136" t="n">
        <v>10.2</v>
      </c>
      <c r="U42" s="136" t="n">
        <v>9.9</v>
      </c>
      <c r="V42" s="136" t="n">
        <v>9.800000000000001</v>
      </c>
      <c r="W42" s="136" t="n">
        <v>10.4</v>
      </c>
      <c r="X42" s="136" t="n">
        <v>10.5</v>
      </c>
      <c r="Y42" s="136" t="n">
        <v>10.8</v>
      </c>
      <c r="Z42" s="136" t="n">
        <v>10.8</v>
      </c>
      <c r="AA42" s="136" t="n">
        <v>10.2</v>
      </c>
      <c r="AB42" s="136" t="n">
        <v>10.9</v>
      </c>
      <c r="AC42" s="137" t="n">
        <v>10.7</v>
      </c>
      <c r="AD42" s="138">
        <f>IFERROR(AVERAGEIF(Tabella01MarzoInverter[[#This Row],[Active power TX2-INV-1]:[Active power TX2-INV-12]], "&gt;0"), 0)</f>
        <v/>
      </c>
      <c r="AE42" s="136">
        <f>MAX(Tabella01MarzoInverter[[#This Row],[Active power TX2-INV-1]:[Active power TX2-INV-12]])</f>
        <v/>
      </c>
      <c r="AF42" s="139">
        <f>MIN(Tabella01MarzoInverter[[#This Row],[Active power TX2-INV-1]:[Active power TX2-INV-12]])</f>
        <v/>
      </c>
      <c r="AG42" s="140" t="n">
        <v>10.6</v>
      </c>
      <c r="AH42" s="136" t="n">
        <v>10.3</v>
      </c>
      <c r="AI42" s="136" t="n">
        <v>9.800000000000001</v>
      </c>
      <c r="AJ42" s="136" t="n">
        <v>10</v>
      </c>
      <c r="AK42" s="136" t="n">
        <v>9.9</v>
      </c>
      <c r="AL42" s="136" t="n">
        <v>10.6</v>
      </c>
      <c r="AM42" s="136" t="n">
        <v>4.7</v>
      </c>
      <c r="AN42" s="136" t="n">
        <v>10.3</v>
      </c>
      <c r="AO42" s="136" t="n">
        <v>10</v>
      </c>
      <c r="AP42" s="136" t="n">
        <v>9.699999999999999</v>
      </c>
      <c r="AQ42" s="136" t="n">
        <v>10.5</v>
      </c>
      <c r="AR42" s="137" t="n">
        <v>9.5</v>
      </c>
      <c r="AS42" s="138">
        <f>IFERROR(AVERAGEIF(Tabella01MarzoInverter[[#This Row],[Active power TX3-INV-1]:[Active power TX3-INV-12]], "&gt;0"), 0)</f>
        <v/>
      </c>
      <c r="AT42" s="136">
        <f>MAX(Tabella01MarzoInverter[[#This Row],[Active power TX3-INV-1]:[Active power TX3-INV-12]])</f>
        <v/>
      </c>
      <c r="AU42" s="139">
        <f>MIN(Tabella01MarzoInverter[[#This Row],[Active power TX3-INV-1]:[Active power TX3-INV-12]])</f>
        <v/>
      </c>
    </row>
    <row r="43">
      <c r="A43" s="135" t="n">
        <v>46143</v>
      </c>
      <c r="B43" s="39" t="inlineStr">
        <is>
          <t>07:00:00.000</t>
        </is>
      </c>
      <c r="C43" s="136" t="n">
        <v>0</v>
      </c>
      <c r="D43" s="136" t="n">
        <v>20.2</v>
      </c>
      <c r="E43" s="136" t="n">
        <v>21.1</v>
      </c>
      <c r="F43" s="136" t="n">
        <v>21.1</v>
      </c>
      <c r="G43" s="136" t="n">
        <v>17</v>
      </c>
      <c r="H43" s="136" t="n">
        <v>20.4</v>
      </c>
      <c r="I43" s="136" t="n">
        <v>20.5</v>
      </c>
      <c r="J43" s="136" t="n">
        <v>20.5</v>
      </c>
      <c r="K43" s="136" t="n">
        <v>20.9</v>
      </c>
      <c r="L43" s="136" t="n">
        <v>20.9</v>
      </c>
      <c r="M43" s="136" t="n">
        <v>21.4</v>
      </c>
      <c r="N43" s="137" t="n">
        <v>21.2</v>
      </c>
      <c r="O43" s="138">
        <f>IFERROR(AVERAGEIF(Tabella01MarzoInverter[[#This Row],[Active power TX1-INV-1]:[Active power TX1-INV-12]], "&gt;0"), 0)</f>
        <v/>
      </c>
      <c r="P43" s="136">
        <f>MAX(Tabella01MarzoInverter[[#This Row],[Active power TX1-INV-1]:[Active power TX1-INV-12]])</f>
        <v/>
      </c>
      <c r="Q43" s="139">
        <f>MIN(Tabella01MarzoInverter[[#This Row],[Active power TX1-INV-1]:[Active power TX1-INV-12]])</f>
        <v/>
      </c>
      <c r="R43" s="140" t="n">
        <v>19.6</v>
      </c>
      <c r="S43" s="136" t="n">
        <v>19.3</v>
      </c>
      <c r="T43" s="136" t="n">
        <v>20</v>
      </c>
      <c r="U43" s="136" t="n">
        <v>20.3</v>
      </c>
      <c r="V43" s="136" t="n">
        <v>20.1</v>
      </c>
      <c r="W43" s="136" t="n">
        <v>21.3</v>
      </c>
      <c r="X43" s="136" t="n">
        <v>21.1</v>
      </c>
      <c r="Y43" s="136" t="n">
        <v>21.6</v>
      </c>
      <c r="Z43" s="136" t="n">
        <v>21.9</v>
      </c>
      <c r="AA43" s="136" t="n">
        <v>20.7</v>
      </c>
      <c r="AB43" s="136" t="n">
        <v>22.1</v>
      </c>
      <c r="AC43" s="137" t="n">
        <v>21.1</v>
      </c>
      <c r="AD43" s="138">
        <f>IFERROR(AVERAGEIF(Tabella01MarzoInverter[[#This Row],[Active power TX2-INV-1]:[Active power TX2-INV-12]], "&gt;0"), 0)</f>
        <v/>
      </c>
      <c r="AE43" s="136">
        <f>MAX(Tabella01MarzoInverter[[#This Row],[Active power TX2-INV-1]:[Active power TX2-INV-12]])</f>
        <v/>
      </c>
      <c r="AF43" s="139">
        <f>MIN(Tabella01MarzoInverter[[#This Row],[Active power TX2-INV-1]:[Active power TX2-INV-12]])</f>
        <v/>
      </c>
      <c r="AG43" s="140" t="n">
        <v>22.6</v>
      </c>
      <c r="AH43" s="136" t="n">
        <v>20.9</v>
      </c>
      <c r="AI43" s="136" t="n">
        <v>21.5</v>
      </c>
      <c r="AJ43" s="136" t="n">
        <v>22.6</v>
      </c>
      <c r="AK43" s="136" t="n">
        <v>22.2</v>
      </c>
      <c r="AL43" s="136" t="n">
        <v>23.6</v>
      </c>
      <c r="AM43" s="136" t="n">
        <v>18.2</v>
      </c>
      <c r="AN43" s="136" t="n">
        <v>22.5</v>
      </c>
      <c r="AO43" s="136" t="n">
        <v>21.9</v>
      </c>
      <c r="AP43" s="136" t="n">
        <v>20.8</v>
      </c>
      <c r="AQ43" s="136" t="n">
        <v>22.8</v>
      </c>
      <c r="AR43" s="137" t="n">
        <v>21.4</v>
      </c>
      <c r="AS43" s="138">
        <f>IFERROR(AVERAGEIF(Tabella01MarzoInverter[[#This Row],[Active power TX3-INV-1]:[Active power TX3-INV-12]], "&gt;0"), 0)</f>
        <v/>
      </c>
      <c r="AT43" s="136">
        <f>MAX(Tabella01MarzoInverter[[#This Row],[Active power TX3-INV-1]:[Active power TX3-INV-12]])</f>
        <v/>
      </c>
      <c r="AU43" s="139">
        <f>MIN(Tabella01MarzoInverter[[#This Row],[Active power TX3-INV-1]:[Active power TX3-INV-12]])</f>
        <v/>
      </c>
    </row>
    <row r="44">
      <c r="A44" s="135" t="n">
        <v>46143</v>
      </c>
      <c r="B44" s="45" t="inlineStr">
        <is>
          <t>07:15:00.000</t>
        </is>
      </c>
      <c r="C44" s="136" t="n">
        <v>26.4</v>
      </c>
      <c r="D44" s="136" t="n">
        <v>38.1</v>
      </c>
      <c r="E44" s="136" t="n">
        <v>39.8</v>
      </c>
      <c r="F44" s="136" t="n">
        <v>39.3</v>
      </c>
      <c r="G44" s="136" t="n">
        <v>39.6</v>
      </c>
      <c r="H44" s="136" t="n">
        <v>38.2</v>
      </c>
      <c r="I44" s="136" t="n">
        <v>37.9</v>
      </c>
      <c r="J44" s="136" t="n">
        <v>38.9</v>
      </c>
      <c r="K44" s="136" t="n">
        <v>39.4</v>
      </c>
      <c r="L44" s="136" t="n">
        <v>39.3</v>
      </c>
      <c r="M44" s="136" t="n">
        <v>40.5</v>
      </c>
      <c r="N44" s="137" t="n">
        <v>39.7</v>
      </c>
      <c r="O44" s="138">
        <f>IFERROR(AVERAGEIF(Tabella01MarzoInverter[[#This Row],[Active power TX1-INV-1]:[Active power TX1-INV-12]], "&gt;0"), 0)</f>
        <v/>
      </c>
      <c r="P44" s="136">
        <f>MAX(Tabella01MarzoInverter[[#This Row],[Active power TX1-INV-1]:[Active power TX1-INV-12]])</f>
        <v/>
      </c>
      <c r="Q44" s="139">
        <f>MIN(Tabella01MarzoInverter[[#This Row],[Active power TX1-INV-1]:[Active power TX1-INV-12]])</f>
        <v/>
      </c>
      <c r="R44" s="140" t="n">
        <v>36.3</v>
      </c>
      <c r="S44" s="136" t="n">
        <v>35.8</v>
      </c>
      <c r="T44" s="136" t="n">
        <v>37.1</v>
      </c>
      <c r="U44" s="136" t="n">
        <v>37.8</v>
      </c>
      <c r="V44" s="136" t="n">
        <v>37.5</v>
      </c>
      <c r="W44" s="136" t="n">
        <v>39.7</v>
      </c>
      <c r="X44" s="136" t="n">
        <v>39.3</v>
      </c>
      <c r="Y44" s="136" t="n">
        <v>40.3</v>
      </c>
      <c r="Z44" s="136" t="n">
        <v>41.3</v>
      </c>
      <c r="AA44" s="136" t="n">
        <v>38.9</v>
      </c>
      <c r="AB44" s="136" t="n">
        <v>41.3</v>
      </c>
      <c r="AC44" s="137" t="n">
        <v>40.9</v>
      </c>
      <c r="AD44" s="138">
        <f>IFERROR(AVERAGEIF(Tabella01MarzoInverter[[#This Row],[Active power TX2-INV-1]:[Active power TX2-INV-12]], "&gt;0"), 0)</f>
        <v/>
      </c>
      <c r="AE44" s="136">
        <f>MAX(Tabella01MarzoInverter[[#This Row],[Active power TX2-INV-1]:[Active power TX2-INV-12]])</f>
        <v/>
      </c>
      <c r="AF44" s="139">
        <f>MIN(Tabella01MarzoInverter[[#This Row],[Active power TX2-INV-1]:[Active power TX2-INV-12]])</f>
        <v/>
      </c>
      <c r="AG44" s="140" t="n">
        <v>42</v>
      </c>
      <c r="AH44" s="136" t="n">
        <v>38.9</v>
      </c>
      <c r="AI44" s="136" t="n">
        <v>40.5</v>
      </c>
      <c r="AJ44" s="136" t="n">
        <v>42.3</v>
      </c>
      <c r="AK44" s="136" t="n">
        <v>42</v>
      </c>
      <c r="AL44" s="136" t="n">
        <v>43.7</v>
      </c>
      <c r="AM44" s="136" t="n">
        <v>42.8</v>
      </c>
      <c r="AN44" s="136" t="n">
        <v>42</v>
      </c>
      <c r="AO44" s="136" t="n">
        <v>40.9</v>
      </c>
      <c r="AP44" s="136" t="n">
        <v>39.3</v>
      </c>
      <c r="AQ44" s="136" t="n">
        <v>42.3</v>
      </c>
      <c r="AR44" s="137" t="n">
        <v>39.6</v>
      </c>
      <c r="AS44" s="138">
        <f>IFERROR(AVERAGEIF(Tabella01MarzoInverter[[#This Row],[Active power TX3-INV-1]:[Active power TX3-INV-12]], "&gt;0"), 0)</f>
        <v/>
      </c>
      <c r="AT44" s="136">
        <f>MAX(Tabella01MarzoInverter[[#This Row],[Active power TX3-INV-1]:[Active power TX3-INV-12]])</f>
        <v/>
      </c>
      <c r="AU44" s="139">
        <f>MIN(Tabella01MarzoInverter[[#This Row],[Active power TX3-INV-1]:[Active power TX3-INV-12]])</f>
        <v/>
      </c>
    </row>
    <row r="45">
      <c r="A45" s="135" t="n">
        <v>46143</v>
      </c>
      <c r="B45" s="39" t="inlineStr">
        <is>
          <t>07:30:00.000</t>
        </is>
      </c>
      <c r="C45" s="136" t="n">
        <v>65.5</v>
      </c>
      <c r="D45" s="136" t="n">
        <v>65.2</v>
      </c>
      <c r="E45" s="136" t="n">
        <v>67.2</v>
      </c>
      <c r="F45" s="136" t="n">
        <v>66.7</v>
      </c>
      <c r="G45" s="136" t="n">
        <v>66.90000000000001</v>
      </c>
      <c r="H45" s="136" t="n">
        <v>65.5</v>
      </c>
      <c r="I45" s="136" t="n">
        <v>65.2</v>
      </c>
      <c r="J45" s="136" t="n">
        <v>67.7</v>
      </c>
      <c r="K45" s="136" t="n">
        <v>68</v>
      </c>
      <c r="L45" s="136" t="n">
        <v>66</v>
      </c>
      <c r="M45" s="136" t="n">
        <v>69.40000000000001</v>
      </c>
      <c r="N45" s="137" t="n">
        <v>68.3</v>
      </c>
      <c r="O45" s="138">
        <f>IFERROR(AVERAGEIF(Tabella01MarzoInverter[[#This Row],[Active power TX1-INV-1]:[Active power TX1-INV-12]], "&gt;0"), 0)</f>
        <v/>
      </c>
      <c r="P45" s="136">
        <f>MAX(Tabella01MarzoInverter[[#This Row],[Active power TX1-INV-1]:[Active power TX1-INV-12]])</f>
        <v/>
      </c>
      <c r="Q45" s="139">
        <f>MIN(Tabella01MarzoInverter[[#This Row],[Active power TX1-INV-1]:[Active power TX1-INV-12]])</f>
        <v/>
      </c>
      <c r="R45" s="140" t="n">
        <v>62.7</v>
      </c>
      <c r="S45" s="136" t="n">
        <v>62.6</v>
      </c>
      <c r="T45" s="136" t="n">
        <v>64.2</v>
      </c>
      <c r="U45" s="136" t="n">
        <v>64.7</v>
      </c>
      <c r="V45" s="136" t="n">
        <v>64.5</v>
      </c>
      <c r="W45" s="136" t="n">
        <v>68.7</v>
      </c>
      <c r="X45" s="136" t="n">
        <v>67.5</v>
      </c>
      <c r="Y45" s="136" t="n">
        <v>69.40000000000001</v>
      </c>
      <c r="Z45" s="136" t="n">
        <v>71</v>
      </c>
      <c r="AA45" s="136" t="n">
        <v>67.09999999999999</v>
      </c>
      <c r="AB45" s="136" t="n">
        <v>71.09999999999999</v>
      </c>
      <c r="AC45" s="137" t="n">
        <v>70.3</v>
      </c>
      <c r="AD45" s="138">
        <f>IFERROR(AVERAGEIF(Tabella01MarzoInverter[[#This Row],[Active power TX2-INV-1]:[Active power TX2-INV-12]], "&gt;0"), 0)</f>
        <v/>
      </c>
      <c r="AE45" s="136">
        <f>MAX(Tabella01MarzoInverter[[#This Row],[Active power TX2-INV-1]:[Active power TX2-INV-12]])</f>
        <v/>
      </c>
      <c r="AF45" s="139">
        <f>MIN(Tabella01MarzoInverter[[#This Row],[Active power TX2-INV-1]:[Active power TX2-INV-12]])</f>
        <v/>
      </c>
      <c r="AG45" s="140" t="n">
        <v>71.7</v>
      </c>
      <c r="AH45" s="136" t="n">
        <v>67.7</v>
      </c>
      <c r="AI45" s="136" t="n">
        <v>69.7</v>
      </c>
      <c r="AJ45" s="136" t="n">
        <v>71.8</v>
      </c>
      <c r="AK45" s="136" t="n">
        <v>70.8</v>
      </c>
      <c r="AL45" s="136" t="n">
        <v>72.90000000000001</v>
      </c>
      <c r="AM45" s="136" t="n">
        <v>71.5</v>
      </c>
      <c r="AN45" s="136" t="n">
        <v>70.40000000000001</v>
      </c>
      <c r="AO45" s="136" t="n">
        <v>69.40000000000001</v>
      </c>
      <c r="AP45" s="136" t="n">
        <v>67.2</v>
      </c>
      <c r="AQ45" s="136" t="n">
        <v>71.8</v>
      </c>
      <c r="AR45" s="137" t="n">
        <v>66</v>
      </c>
      <c r="AS45" s="138">
        <f>IFERROR(AVERAGEIF(Tabella01MarzoInverter[[#This Row],[Active power TX3-INV-1]:[Active power TX3-INV-12]], "&gt;0"), 0)</f>
        <v/>
      </c>
      <c r="AT45" s="136">
        <f>MAX(Tabella01MarzoInverter[[#This Row],[Active power TX3-INV-1]:[Active power TX3-INV-12]])</f>
        <v/>
      </c>
      <c r="AU45" s="139">
        <f>MIN(Tabella01MarzoInverter[[#This Row],[Active power TX3-INV-1]:[Active power TX3-INV-12]])</f>
        <v/>
      </c>
    </row>
    <row r="46">
      <c r="A46" s="135" t="n">
        <v>46143</v>
      </c>
      <c r="B46" s="45" t="inlineStr">
        <is>
          <t>07:45:00.000</t>
        </is>
      </c>
      <c r="C46" s="136" t="n">
        <v>105.4</v>
      </c>
      <c r="D46" s="136" t="n">
        <v>104.5</v>
      </c>
      <c r="E46" s="136" t="n">
        <v>105.6</v>
      </c>
      <c r="F46" s="136" t="n">
        <v>103.7</v>
      </c>
      <c r="G46" s="136" t="n">
        <v>101.8</v>
      </c>
      <c r="H46" s="136" t="n">
        <v>99.09999999999999</v>
      </c>
      <c r="I46" s="136" t="n">
        <v>97.90000000000001</v>
      </c>
      <c r="J46" s="136" t="n">
        <v>108.9</v>
      </c>
      <c r="K46" s="136" t="n">
        <v>106.5</v>
      </c>
      <c r="L46" s="136" t="n">
        <v>104.1</v>
      </c>
      <c r="M46" s="136" t="n">
        <v>104.4</v>
      </c>
      <c r="N46" s="137" t="n">
        <v>101.4</v>
      </c>
      <c r="O46" s="138">
        <f>IFERROR(AVERAGEIF(Tabella01MarzoInverter[[#This Row],[Active power TX1-INV-1]:[Active power TX1-INV-12]], "&gt;0"), 0)</f>
        <v/>
      </c>
      <c r="P46" s="136">
        <f>MAX(Tabella01MarzoInverter[[#This Row],[Active power TX1-INV-1]:[Active power TX1-INV-12]])</f>
        <v/>
      </c>
      <c r="Q46" s="139">
        <f>MIN(Tabella01MarzoInverter[[#This Row],[Active power TX1-INV-1]:[Active power TX1-INV-12]])</f>
        <v/>
      </c>
      <c r="R46" s="140" t="n">
        <v>92.90000000000001</v>
      </c>
      <c r="S46" s="136" t="n">
        <v>93.8</v>
      </c>
      <c r="T46" s="136" t="n">
        <v>93.8</v>
      </c>
      <c r="U46" s="136" t="n">
        <v>92.09999999999999</v>
      </c>
      <c r="V46" s="136" t="n">
        <v>91</v>
      </c>
      <c r="W46" s="136" t="n">
        <v>102</v>
      </c>
      <c r="X46" s="136" t="n">
        <v>97.5</v>
      </c>
      <c r="Y46" s="136" t="n">
        <v>99.2</v>
      </c>
      <c r="Z46" s="136" t="n">
        <v>99.3</v>
      </c>
      <c r="AA46" s="136" t="n">
        <v>93.2</v>
      </c>
      <c r="AB46" s="136" t="n">
        <v>96.8</v>
      </c>
      <c r="AC46" s="137" t="n">
        <v>94.2</v>
      </c>
      <c r="AD46" s="138">
        <f>IFERROR(AVERAGEIF(Tabella01MarzoInverter[[#This Row],[Active power TX2-INV-1]:[Active power TX2-INV-12]], "&gt;0"), 0)</f>
        <v/>
      </c>
      <c r="AE46" s="136">
        <f>MAX(Tabella01MarzoInverter[[#This Row],[Active power TX2-INV-1]:[Active power TX2-INV-12]])</f>
        <v/>
      </c>
      <c r="AF46" s="139">
        <f>MIN(Tabella01MarzoInverter[[#This Row],[Active power TX2-INV-1]:[Active power TX2-INV-12]])</f>
        <v/>
      </c>
      <c r="AG46" s="140" t="n">
        <v>108.5</v>
      </c>
      <c r="AH46" s="136" t="n">
        <v>106.4</v>
      </c>
      <c r="AI46" s="136" t="n">
        <v>108.6</v>
      </c>
      <c r="AJ46" s="136" t="n">
        <v>110.2</v>
      </c>
      <c r="AK46" s="136" t="n">
        <v>108.7</v>
      </c>
      <c r="AL46" s="136" t="n">
        <v>110.2</v>
      </c>
      <c r="AM46" s="136" t="n">
        <v>110.5</v>
      </c>
      <c r="AN46" s="136" t="n">
        <v>108.7</v>
      </c>
      <c r="AO46" s="136" t="n">
        <v>108.7</v>
      </c>
      <c r="AP46" s="136" t="n">
        <v>106.6</v>
      </c>
      <c r="AQ46" s="136" t="n">
        <v>113</v>
      </c>
      <c r="AR46" s="137" t="n">
        <v>102.6</v>
      </c>
      <c r="AS46" s="138">
        <f>IFERROR(AVERAGEIF(Tabella01MarzoInverter[[#This Row],[Active power TX3-INV-1]:[Active power TX3-INV-12]], "&gt;0"), 0)</f>
        <v/>
      </c>
      <c r="AT46" s="136">
        <f>MAX(Tabella01MarzoInverter[[#This Row],[Active power TX3-INV-1]:[Active power TX3-INV-12]])</f>
        <v/>
      </c>
      <c r="AU46" s="139">
        <f>MIN(Tabella01MarzoInverter[[#This Row],[Active power TX3-INV-1]:[Active power TX3-INV-12]])</f>
        <v/>
      </c>
    </row>
    <row r="47">
      <c r="A47" s="135" t="n">
        <v>46143</v>
      </c>
      <c r="B47" s="39" t="inlineStr">
        <is>
          <t>08:00:00.000</t>
        </is>
      </c>
      <c r="C47" s="136" t="n">
        <v>105.2</v>
      </c>
      <c r="D47" s="136" t="n">
        <v>104.1</v>
      </c>
      <c r="E47" s="136" t="n">
        <v>105.3</v>
      </c>
      <c r="F47" s="136" t="n">
        <v>104.9</v>
      </c>
      <c r="G47" s="136" t="n">
        <v>103.1</v>
      </c>
      <c r="H47" s="136" t="n">
        <v>101.9</v>
      </c>
      <c r="I47" s="136" t="n">
        <v>102.5</v>
      </c>
      <c r="J47" s="136" t="n">
        <v>109.8</v>
      </c>
      <c r="K47" s="136" t="n">
        <v>108.3</v>
      </c>
      <c r="L47" s="136" t="n">
        <v>107.1</v>
      </c>
      <c r="M47" s="136" t="n">
        <v>108.1</v>
      </c>
      <c r="N47" s="137" t="n">
        <v>105.4</v>
      </c>
      <c r="O47" s="138">
        <f>IFERROR(AVERAGEIF(Tabella01MarzoInverter[[#This Row],[Active power TX1-INV-1]:[Active power TX1-INV-12]], "&gt;0"), 0)</f>
        <v/>
      </c>
      <c r="P47" s="136">
        <f>MAX(Tabella01MarzoInverter[[#This Row],[Active power TX1-INV-1]:[Active power TX1-INV-12]])</f>
        <v/>
      </c>
      <c r="Q47" s="139">
        <f>MIN(Tabella01MarzoInverter[[#This Row],[Active power TX1-INV-1]:[Active power TX1-INV-12]])</f>
        <v/>
      </c>
      <c r="R47" s="140" t="n">
        <v>97.3</v>
      </c>
      <c r="S47" s="136" t="n">
        <v>98.90000000000001</v>
      </c>
      <c r="T47" s="136" t="n">
        <v>99.3</v>
      </c>
      <c r="U47" s="136" t="n">
        <v>96.7</v>
      </c>
      <c r="V47" s="136" t="n">
        <v>96.3</v>
      </c>
      <c r="W47" s="136" t="n">
        <v>109.2</v>
      </c>
      <c r="X47" s="136" t="n">
        <v>104.8</v>
      </c>
      <c r="Y47" s="136" t="n">
        <v>107.6</v>
      </c>
      <c r="Z47" s="136" t="n">
        <v>107.9</v>
      </c>
      <c r="AA47" s="136" t="n">
        <v>101.9</v>
      </c>
      <c r="AB47" s="136" t="n">
        <v>104.9</v>
      </c>
      <c r="AC47" s="137" t="n">
        <v>104.9</v>
      </c>
      <c r="AD47" s="138">
        <f>IFERROR(AVERAGEIF(Tabella01MarzoInverter[[#This Row],[Active power TX2-INV-1]:[Active power TX2-INV-12]], "&gt;0"), 0)</f>
        <v/>
      </c>
      <c r="AE47" s="136">
        <f>MAX(Tabella01MarzoInverter[[#This Row],[Active power TX2-INV-1]:[Active power TX2-INV-12]])</f>
        <v/>
      </c>
      <c r="AF47" s="139">
        <f>MIN(Tabella01MarzoInverter[[#This Row],[Active power TX2-INV-1]:[Active power TX2-INV-12]])</f>
        <v/>
      </c>
      <c r="AG47" s="140" t="n">
        <v>113.2</v>
      </c>
      <c r="AH47" s="136" t="n">
        <v>108.3</v>
      </c>
      <c r="AI47" s="136" t="n">
        <v>108.3</v>
      </c>
      <c r="AJ47" s="136" t="n">
        <v>104.7</v>
      </c>
      <c r="AK47" s="136" t="n">
        <v>103.5</v>
      </c>
      <c r="AL47" s="136" t="n">
        <v>111</v>
      </c>
      <c r="AM47" s="136" t="n">
        <v>112.7</v>
      </c>
      <c r="AN47" s="136" t="n">
        <v>110.1</v>
      </c>
      <c r="AO47" s="136" t="n">
        <v>109.2</v>
      </c>
      <c r="AP47" s="136" t="n">
        <v>107.4</v>
      </c>
      <c r="AQ47" s="136" t="n">
        <v>112.3</v>
      </c>
      <c r="AR47" s="137" t="n">
        <v>101.8</v>
      </c>
      <c r="AS47" s="138">
        <f>IFERROR(AVERAGEIF(Tabella01MarzoInverter[[#This Row],[Active power TX3-INV-1]:[Active power TX3-INV-12]], "&gt;0"), 0)</f>
        <v/>
      </c>
      <c r="AT47" s="136">
        <f>MAX(Tabella01MarzoInverter[[#This Row],[Active power TX3-INV-1]:[Active power TX3-INV-12]])</f>
        <v/>
      </c>
      <c r="AU47" s="139">
        <f>MIN(Tabella01MarzoInverter[[#This Row],[Active power TX3-INV-1]:[Active power TX3-INV-12]])</f>
        <v/>
      </c>
    </row>
    <row r="48">
      <c r="A48" s="135" t="n">
        <v>46143</v>
      </c>
      <c r="B48" s="45" t="inlineStr">
        <is>
          <t>08:15:00.000</t>
        </is>
      </c>
      <c r="C48" s="136" t="n">
        <v>80</v>
      </c>
      <c r="D48" s="136" t="n">
        <v>79.09999999999999</v>
      </c>
      <c r="E48" s="136" t="n">
        <v>81.7</v>
      </c>
      <c r="F48" s="136" t="n">
        <v>82.3</v>
      </c>
      <c r="G48" s="136" t="n">
        <v>79.40000000000001</v>
      </c>
      <c r="H48" s="136" t="n">
        <v>76.09999999999999</v>
      </c>
      <c r="I48" s="136" t="n">
        <v>76.5</v>
      </c>
      <c r="J48" s="136" t="n">
        <v>86.09999999999999</v>
      </c>
      <c r="K48" s="136" t="n">
        <v>87.40000000000001</v>
      </c>
      <c r="L48" s="136" t="n">
        <v>87.09999999999999</v>
      </c>
      <c r="M48" s="136" t="n">
        <v>86.90000000000001</v>
      </c>
      <c r="N48" s="137" t="n">
        <v>85.40000000000001</v>
      </c>
      <c r="O48" s="138">
        <f>IFERROR(AVERAGEIF(Tabella01MarzoInverter[[#This Row],[Active power TX1-INV-1]:[Active power TX1-INV-12]], "&gt;0"), 0)</f>
        <v/>
      </c>
      <c r="P48" s="136">
        <f>MAX(Tabella01MarzoInverter[[#This Row],[Active power TX1-INV-1]:[Active power TX1-INV-12]])</f>
        <v/>
      </c>
      <c r="Q48" s="139">
        <f>MIN(Tabella01MarzoInverter[[#This Row],[Active power TX1-INV-1]:[Active power TX1-INV-12]])</f>
        <v/>
      </c>
      <c r="R48" s="140" t="n">
        <v>73.5</v>
      </c>
      <c r="S48" s="136" t="n">
        <v>76</v>
      </c>
      <c r="T48" s="136" t="n">
        <v>76.2</v>
      </c>
      <c r="U48" s="136" t="n">
        <v>74.59999999999999</v>
      </c>
      <c r="V48" s="136" t="n">
        <v>74.90000000000001</v>
      </c>
      <c r="W48" s="136" t="n">
        <v>91.3</v>
      </c>
      <c r="X48" s="136" t="n">
        <v>86.40000000000001</v>
      </c>
      <c r="Y48" s="136" t="n">
        <v>88.59999999999999</v>
      </c>
      <c r="Z48" s="136" t="n">
        <v>87.8</v>
      </c>
      <c r="AA48" s="136" t="n">
        <v>82.5</v>
      </c>
      <c r="AB48" s="136" t="n">
        <v>85.2</v>
      </c>
      <c r="AC48" s="137" t="n">
        <v>86.59999999999999</v>
      </c>
      <c r="AD48" s="138">
        <f>IFERROR(AVERAGEIF(Tabella01MarzoInverter[[#This Row],[Active power TX2-INV-1]:[Active power TX2-INV-12]], "&gt;0"), 0)</f>
        <v/>
      </c>
      <c r="AE48" s="136">
        <f>MAX(Tabella01MarzoInverter[[#This Row],[Active power TX2-INV-1]:[Active power TX2-INV-12]])</f>
        <v/>
      </c>
      <c r="AF48" s="139">
        <f>MIN(Tabella01MarzoInverter[[#This Row],[Active power TX2-INV-1]:[Active power TX2-INV-12]])</f>
        <v/>
      </c>
      <c r="AG48" s="140" t="n">
        <v>92.8</v>
      </c>
      <c r="AH48" s="136" t="n">
        <v>85.90000000000001</v>
      </c>
      <c r="AI48" s="136" t="n">
        <v>95.8</v>
      </c>
      <c r="AJ48" s="136" t="n">
        <v>100.6</v>
      </c>
      <c r="AK48" s="136" t="n">
        <v>98.3</v>
      </c>
      <c r="AL48" s="136" t="n">
        <v>97.5</v>
      </c>
      <c r="AM48" s="136" t="n">
        <v>95</v>
      </c>
      <c r="AN48" s="136" t="n">
        <v>91.59999999999999</v>
      </c>
      <c r="AO48" s="136" t="n">
        <v>90.8</v>
      </c>
      <c r="AP48" s="136" t="n">
        <v>89.8</v>
      </c>
      <c r="AQ48" s="136" t="n">
        <v>87.7</v>
      </c>
      <c r="AR48" s="137" t="n">
        <v>85</v>
      </c>
      <c r="AS48" s="138">
        <f>IFERROR(AVERAGEIF(Tabella01MarzoInverter[[#This Row],[Active power TX3-INV-1]:[Active power TX3-INV-12]], "&gt;0"), 0)</f>
        <v/>
      </c>
      <c r="AT48" s="136">
        <f>MAX(Tabella01MarzoInverter[[#This Row],[Active power TX3-INV-1]:[Active power TX3-INV-12]])</f>
        <v/>
      </c>
      <c r="AU48" s="139">
        <f>MIN(Tabella01MarzoInverter[[#This Row],[Active power TX3-INV-1]:[Active power TX3-INV-12]])</f>
        <v/>
      </c>
    </row>
    <row r="49">
      <c r="A49" s="135" t="n">
        <v>46143</v>
      </c>
      <c r="B49" s="39" t="inlineStr">
        <is>
          <t>08:30:00.000</t>
        </is>
      </c>
      <c r="C49" s="136" t="n">
        <v>174.2</v>
      </c>
      <c r="D49" s="136" t="n">
        <v>172.9</v>
      </c>
      <c r="E49" s="136" t="n">
        <v>175.3</v>
      </c>
      <c r="F49" s="136" t="n">
        <v>176.1</v>
      </c>
      <c r="G49" s="136" t="n">
        <v>175.5</v>
      </c>
      <c r="H49" s="136" t="n">
        <v>172.9</v>
      </c>
      <c r="I49" s="136" t="n">
        <v>173.4</v>
      </c>
      <c r="J49" s="136" t="n">
        <v>184.8</v>
      </c>
      <c r="K49" s="136" t="n">
        <v>182.5</v>
      </c>
      <c r="L49" s="136" t="n">
        <v>182.7</v>
      </c>
      <c r="M49" s="136" t="n">
        <v>183</v>
      </c>
      <c r="N49" s="137" t="n">
        <v>179.6</v>
      </c>
      <c r="O49" s="138">
        <f>IFERROR(AVERAGEIF(Tabella01MarzoInverter[[#This Row],[Active power TX1-INV-1]:[Active power TX1-INV-12]], "&gt;0"), 0)</f>
        <v/>
      </c>
      <c r="P49" s="136">
        <f>MAX(Tabella01MarzoInverter[[#This Row],[Active power TX1-INV-1]:[Active power TX1-INV-12]])</f>
        <v/>
      </c>
      <c r="Q49" s="139">
        <f>MIN(Tabella01MarzoInverter[[#This Row],[Active power TX1-INV-1]:[Active power TX1-INV-12]])</f>
        <v/>
      </c>
      <c r="R49" s="140" t="n">
        <v>166.2</v>
      </c>
      <c r="S49" s="136" t="n">
        <v>167.4</v>
      </c>
      <c r="T49" s="136" t="n">
        <v>171.9</v>
      </c>
      <c r="U49" s="136" t="n">
        <v>168.3</v>
      </c>
      <c r="V49" s="136" t="n">
        <v>168.8</v>
      </c>
      <c r="W49" s="136" t="n">
        <v>185.7</v>
      </c>
      <c r="X49" s="136" t="n">
        <v>178.2</v>
      </c>
      <c r="Y49" s="136" t="n">
        <v>183</v>
      </c>
      <c r="Z49" s="136" t="n">
        <v>183.5</v>
      </c>
      <c r="AA49" s="136" t="n">
        <v>175.1</v>
      </c>
      <c r="AB49" s="136" t="n">
        <v>183.2</v>
      </c>
      <c r="AC49" s="137" t="n">
        <v>181.2</v>
      </c>
      <c r="AD49" s="138">
        <f>IFERROR(AVERAGEIF(Tabella01MarzoInverter[[#This Row],[Active power TX2-INV-1]:[Active power TX2-INV-12]], "&gt;0"), 0)</f>
        <v/>
      </c>
      <c r="AE49" s="136">
        <f>MAX(Tabella01MarzoInverter[[#This Row],[Active power TX2-INV-1]:[Active power TX2-INV-12]])</f>
        <v/>
      </c>
      <c r="AF49" s="139">
        <f>MIN(Tabella01MarzoInverter[[#This Row],[Active power TX2-INV-1]:[Active power TX2-INV-12]])</f>
        <v/>
      </c>
      <c r="AG49" s="140" t="n">
        <v>186.3</v>
      </c>
      <c r="AH49" s="136" t="n">
        <v>185.8</v>
      </c>
      <c r="AI49" s="136" t="n">
        <v>187.4</v>
      </c>
      <c r="AJ49" s="136" t="n">
        <v>190.4</v>
      </c>
      <c r="AK49" s="136" t="n">
        <v>190.1</v>
      </c>
      <c r="AL49" s="136" t="n">
        <v>190.9</v>
      </c>
      <c r="AM49" s="136" t="n">
        <v>188.4</v>
      </c>
      <c r="AN49" s="136" t="n">
        <v>183.9</v>
      </c>
      <c r="AO49" s="136" t="n">
        <v>178.4</v>
      </c>
      <c r="AP49" s="136" t="n">
        <v>184</v>
      </c>
      <c r="AQ49" s="136" t="n">
        <v>188.4</v>
      </c>
      <c r="AR49" s="137" t="n">
        <v>155.9</v>
      </c>
      <c r="AS49" s="138">
        <f>IFERROR(AVERAGEIF(Tabella01MarzoInverter[[#This Row],[Active power TX3-INV-1]:[Active power TX3-INV-12]], "&gt;0"), 0)</f>
        <v/>
      </c>
      <c r="AT49" s="136">
        <f>MAX(Tabella01MarzoInverter[[#This Row],[Active power TX3-INV-1]:[Active power TX3-INV-12]])</f>
        <v/>
      </c>
      <c r="AU49" s="139">
        <f>MIN(Tabella01MarzoInverter[[#This Row],[Active power TX3-INV-1]:[Active power TX3-INV-12]])</f>
        <v/>
      </c>
    </row>
    <row r="50">
      <c r="A50" s="135" t="n">
        <v>46143</v>
      </c>
      <c r="B50" s="45" t="inlineStr">
        <is>
          <t>08:45:00.000</t>
        </is>
      </c>
      <c r="C50" s="136" t="n">
        <v>211.9</v>
      </c>
      <c r="D50" s="136" t="n">
        <v>209.6</v>
      </c>
      <c r="E50" s="136" t="n">
        <v>212.2</v>
      </c>
      <c r="F50" s="136" t="n">
        <v>213.5</v>
      </c>
      <c r="G50" s="136" t="n">
        <v>212.8</v>
      </c>
      <c r="H50" s="136" t="n">
        <v>211.7</v>
      </c>
      <c r="I50" s="136" t="n">
        <v>213.9</v>
      </c>
      <c r="J50" s="136" t="n">
        <v>224.1</v>
      </c>
      <c r="K50" s="136" t="n">
        <v>220.7</v>
      </c>
      <c r="L50" s="136" t="n">
        <v>219.3</v>
      </c>
      <c r="M50" s="136" t="n">
        <v>220.3</v>
      </c>
      <c r="N50" s="137" t="n">
        <v>215.2</v>
      </c>
      <c r="O50" s="138">
        <f>IFERROR(AVERAGEIF(Tabella01MarzoInverter[[#This Row],[Active power TX1-INV-1]:[Active power TX1-INV-12]], "&gt;0"), 0)</f>
        <v/>
      </c>
      <c r="P50" s="136">
        <f>MAX(Tabella01MarzoInverter[[#This Row],[Active power TX1-INV-1]:[Active power TX1-INV-12]])</f>
        <v/>
      </c>
      <c r="Q50" s="139">
        <f>MIN(Tabella01MarzoInverter[[#This Row],[Active power TX1-INV-1]:[Active power TX1-INV-12]])</f>
        <v/>
      </c>
      <c r="R50" s="140" t="n">
        <v>203.3</v>
      </c>
      <c r="S50" s="136" t="n">
        <v>210.5</v>
      </c>
      <c r="T50" s="136" t="n">
        <v>210.4</v>
      </c>
      <c r="U50" s="136" t="n">
        <v>203.5</v>
      </c>
      <c r="V50" s="136" t="n">
        <v>204.2</v>
      </c>
      <c r="W50" s="136" t="n">
        <v>223.5</v>
      </c>
      <c r="X50" s="136" t="n">
        <v>212.6</v>
      </c>
      <c r="Y50" s="136" t="n">
        <v>220</v>
      </c>
      <c r="Z50" s="136" t="n">
        <v>219.3</v>
      </c>
      <c r="AA50" s="136" t="n">
        <v>202.4</v>
      </c>
      <c r="AB50" s="136" t="n">
        <v>218.4</v>
      </c>
      <c r="AC50" s="137" t="n">
        <v>215.9</v>
      </c>
      <c r="AD50" s="138">
        <f>IFERROR(AVERAGEIF(Tabella01MarzoInverter[[#This Row],[Active power TX2-INV-1]:[Active power TX2-INV-12]], "&gt;0"), 0)</f>
        <v/>
      </c>
      <c r="AE50" s="136">
        <f>MAX(Tabella01MarzoInverter[[#This Row],[Active power TX2-INV-1]:[Active power TX2-INV-12]])</f>
        <v/>
      </c>
      <c r="AF50" s="139">
        <f>MIN(Tabella01MarzoInverter[[#This Row],[Active power TX2-INV-1]:[Active power TX2-INV-12]])</f>
        <v/>
      </c>
      <c r="AG50" s="140" t="n">
        <v>222.4</v>
      </c>
      <c r="AH50" s="136" t="n">
        <v>221.8</v>
      </c>
      <c r="AI50" s="136" t="n">
        <v>223.4</v>
      </c>
      <c r="AJ50" s="136" t="n">
        <v>226.8</v>
      </c>
      <c r="AK50" s="136" t="n">
        <v>226.8</v>
      </c>
      <c r="AL50" s="136" t="n">
        <v>227.4</v>
      </c>
      <c r="AM50" s="136" t="n">
        <v>228.5</v>
      </c>
      <c r="AN50" s="136" t="n">
        <v>222.1</v>
      </c>
      <c r="AO50" s="136" t="n">
        <v>221.9</v>
      </c>
      <c r="AP50" s="136" t="n">
        <v>220.9</v>
      </c>
      <c r="AQ50" s="136" t="n">
        <v>217.1</v>
      </c>
      <c r="AR50" s="137" t="n">
        <v>206.5</v>
      </c>
      <c r="AS50" s="138">
        <f>IFERROR(AVERAGEIF(Tabella01MarzoInverter[[#This Row],[Active power TX3-INV-1]:[Active power TX3-INV-12]], "&gt;0"), 0)</f>
        <v/>
      </c>
      <c r="AT50" s="136">
        <f>MAX(Tabella01MarzoInverter[[#This Row],[Active power TX3-INV-1]:[Active power TX3-INV-12]])</f>
        <v/>
      </c>
      <c r="AU50" s="139">
        <f>MIN(Tabella01MarzoInverter[[#This Row],[Active power TX3-INV-1]:[Active power TX3-INV-12]])</f>
        <v/>
      </c>
    </row>
    <row r="51">
      <c r="A51" s="135" t="n">
        <v>46143</v>
      </c>
      <c r="B51" s="39" t="inlineStr">
        <is>
          <t>09:00:00.000</t>
        </is>
      </c>
      <c r="C51" s="136" t="n">
        <v>242.2</v>
      </c>
      <c r="D51" s="136" t="n">
        <v>238.6</v>
      </c>
      <c r="E51" s="136" t="n">
        <v>240.2</v>
      </c>
      <c r="F51" s="136" t="n">
        <v>241.3</v>
      </c>
      <c r="G51" s="136" t="n">
        <v>240.2</v>
      </c>
      <c r="H51" s="136" t="n">
        <v>239.4</v>
      </c>
      <c r="I51" s="136" t="n">
        <v>243.9</v>
      </c>
      <c r="J51" s="136" t="n">
        <v>255.1</v>
      </c>
      <c r="K51" s="136" t="n">
        <v>248.3</v>
      </c>
      <c r="L51" s="136" t="n">
        <v>244.4</v>
      </c>
      <c r="M51" s="136" t="n">
        <v>245.3</v>
      </c>
      <c r="N51" s="137" t="n">
        <v>241.4</v>
      </c>
      <c r="O51" s="138">
        <f>IFERROR(AVERAGEIF(Tabella01MarzoInverter[[#This Row],[Active power TX1-INV-1]:[Active power TX1-INV-12]], "&gt;0"), 0)</f>
        <v/>
      </c>
      <c r="P51" s="136">
        <f>MAX(Tabella01MarzoInverter[[#This Row],[Active power TX1-INV-1]:[Active power TX1-INV-12]])</f>
        <v/>
      </c>
      <c r="Q51" s="139">
        <f>MIN(Tabella01MarzoInverter[[#This Row],[Active power TX1-INV-1]:[Active power TX1-INV-12]])</f>
        <v/>
      </c>
      <c r="R51" s="140" t="n">
        <v>232</v>
      </c>
      <c r="S51" s="136" t="n">
        <v>241.1</v>
      </c>
      <c r="T51" s="136" t="n">
        <v>240.5</v>
      </c>
      <c r="U51" s="136" t="n">
        <v>232.2</v>
      </c>
      <c r="V51" s="136" t="n">
        <v>233.2</v>
      </c>
      <c r="W51" s="136" t="n">
        <v>250.1</v>
      </c>
      <c r="X51" s="136" t="n">
        <v>240.4</v>
      </c>
      <c r="Y51" s="136" t="n">
        <v>249.4</v>
      </c>
      <c r="Z51" s="136" t="n">
        <v>248.3</v>
      </c>
      <c r="AA51" s="136" t="n">
        <v>237.3</v>
      </c>
      <c r="AB51" s="136" t="n">
        <v>247.7</v>
      </c>
      <c r="AC51" s="137" t="n">
        <v>243.2</v>
      </c>
      <c r="AD51" s="138">
        <f>IFERROR(AVERAGEIF(Tabella01MarzoInverter[[#This Row],[Active power TX2-INV-1]:[Active power TX2-INV-12]], "&gt;0"), 0)</f>
        <v/>
      </c>
      <c r="AE51" s="136">
        <f>MAX(Tabella01MarzoInverter[[#This Row],[Active power TX2-INV-1]:[Active power TX2-INV-12]])</f>
        <v/>
      </c>
      <c r="AF51" s="139">
        <f>MIN(Tabella01MarzoInverter[[#This Row],[Active power TX2-INV-1]:[Active power TX2-INV-12]])</f>
        <v/>
      </c>
      <c r="AG51" s="140" t="n">
        <v>250.5</v>
      </c>
      <c r="AH51" s="136" t="n">
        <v>252.2</v>
      </c>
      <c r="AI51" s="136" t="n">
        <v>252.6</v>
      </c>
      <c r="AJ51" s="136" t="n">
        <v>256.6</v>
      </c>
      <c r="AK51" s="136" t="n">
        <v>256.4</v>
      </c>
      <c r="AL51" s="136" t="n">
        <v>256.1</v>
      </c>
      <c r="AM51" s="136" t="n">
        <v>259.3</v>
      </c>
      <c r="AN51" s="136" t="n">
        <v>251</v>
      </c>
      <c r="AO51" s="136" t="n">
        <v>251.7</v>
      </c>
      <c r="AP51" s="136" t="n">
        <v>251</v>
      </c>
      <c r="AQ51" s="136" t="n">
        <v>254.4</v>
      </c>
      <c r="AR51" s="137" t="n">
        <v>233.5</v>
      </c>
      <c r="AS51" s="138">
        <f>IFERROR(AVERAGEIF(Tabella01MarzoInverter[[#This Row],[Active power TX3-INV-1]:[Active power TX3-INV-12]], "&gt;0"), 0)</f>
        <v/>
      </c>
      <c r="AT51" s="136">
        <f>MAX(Tabella01MarzoInverter[[#This Row],[Active power TX3-INV-1]:[Active power TX3-INV-12]])</f>
        <v/>
      </c>
      <c r="AU51" s="139">
        <f>MIN(Tabella01MarzoInverter[[#This Row],[Active power TX3-INV-1]:[Active power TX3-INV-12]])</f>
        <v/>
      </c>
    </row>
    <row r="52">
      <c r="A52" s="135" t="n">
        <v>46143</v>
      </c>
      <c r="B52" s="45" t="inlineStr">
        <is>
          <t>09:15:00.000</t>
        </is>
      </c>
      <c r="C52" s="136" t="n">
        <v>235.5</v>
      </c>
      <c r="D52" s="136" t="n">
        <v>245.3</v>
      </c>
      <c r="E52" s="136" t="n">
        <v>246.5</v>
      </c>
      <c r="F52" s="136" t="n">
        <v>255.5</v>
      </c>
      <c r="G52" s="136" t="n">
        <v>255.2</v>
      </c>
      <c r="H52" s="136" t="n">
        <v>254.7</v>
      </c>
      <c r="I52" s="136" t="n">
        <v>259.4</v>
      </c>
      <c r="J52" s="136" t="n">
        <v>270.2</v>
      </c>
      <c r="K52" s="136" t="n">
        <v>267.2</v>
      </c>
      <c r="L52" s="136" t="n">
        <v>263</v>
      </c>
      <c r="M52" s="136" t="n">
        <v>261.9</v>
      </c>
      <c r="N52" s="137" t="n">
        <v>255.8</v>
      </c>
      <c r="O52" s="138">
        <f>IFERROR(AVERAGEIF(Tabella01MarzoInverter[[#This Row],[Active power TX1-INV-1]:[Active power TX1-INV-12]], "&gt;0"), 0)</f>
        <v/>
      </c>
      <c r="P52" s="136">
        <f>MAX(Tabella01MarzoInverter[[#This Row],[Active power TX1-INV-1]:[Active power TX1-INV-12]])</f>
        <v/>
      </c>
      <c r="Q52" s="139">
        <f>MIN(Tabella01MarzoInverter[[#This Row],[Active power TX1-INV-1]:[Active power TX1-INV-12]])</f>
        <v/>
      </c>
      <c r="R52" s="140" t="n">
        <v>237.4</v>
      </c>
      <c r="S52" s="136" t="n">
        <v>255.1</v>
      </c>
      <c r="T52" s="136" t="n">
        <v>252.7</v>
      </c>
      <c r="U52" s="136" t="n">
        <v>241.4</v>
      </c>
      <c r="V52" s="136" t="n">
        <v>239.8</v>
      </c>
      <c r="W52" s="136" t="n">
        <v>261.7</v>
      </c>
      <c r="X52" s="136" t="n">
        <v>247.3</v>
      </c>
      <c r="Y52" s="136" t="n">
        <v>246.8</v>
      </c>
      <c r="Z52" s="136" t="n">
        <v>253.5</v>
      </c>
      <c r="AA52" s="136" t="n">
        <v>241.5</v>
      </c>
      <c r="AB52" s="136" t="n">
        <v>246.9</v>
      </c>
      <c r="AC52" s="137" t="n">
        <v>241.4</v>
      </c>
      <c r="AD52" s="138">
        <f>IFERROR(AVERAGEIF(Tabella01MarzoInverter[[#This Row],[Active power TX2-INV-1]:[Active power TX2-INV-12]], "&gt;0"), 0)</f>
        <v/>
      </c>
      <c r="AE52" s="136">
        <f>MAX(Tabella01MarzoInverter[[#This Row],[Active power TX2-INV-1]:[Active power TX2-INV-12]])</f>
        <v/>
      </c>
      <c r="AF52" s="139">
        <f>MIN(Tabella01MarzoInverter[[#This Row],[Active power TX2-INV-1]:[Active power TX2-INV-12]])</f>
        <v/>
      </c>
      <c r="AG52" s="140" t="n">
        <v>256.2</v>
      </c>
      <c r="AH52" s="136" t="n">
        <v>255.1</v>
      </c>
      <c r="AI52" s="136" t="n">
        <v>253.5</v>
      </c>
      <c r="AJ52" s="136" t="n">
        <v>254.8</v>
      </c>
      <c r="AK52" s="136" t="n">
        <v>252.6</v>
      </c>
      <c r="AL52" s="136" t="n">
        <v>246.6</v>
      </c>
      <c r="AM52" s="136" t="n">
        <v>260.2</v>
      </c>
      <c r="AN52" s="136" t="n">
        <v>252.9</v>
      </c>
      <c r="AO52" s="136" t="n">
        <v>256.8</v>
      </c>
      <c r="AP52" s="136" t="n">
        <v>257</v>
      </c>
      <c r="AQ52" s="136" t="n">
        <v>255.2</v>
      </c>
      <c r="AR52" s="137" t="n">
        <v>220.2</v>
      </c>
      <c r="AS52" s="138">
        <f>IFERROR(AVERAGEIF(Tabella01MarzoInverter[[#This Row],[Active power TX3-INV-1]:[Active power TX3-INV-12]], "&gt;0"), 0)</f>
        <v/>
      </c>
      <c r="AT52" s="136">
        <f>MAX(Tabella01MarzoInverter[[#This Row],[Active power TX3-INV-1]:[Active power TX3-INV-12]])</f>
        <v/>
      </c>
      <c r="AU52" s="139">
        <f>MIN(Tabella01MarzoInverter[[#This Row],[Active power TX3-INV-1]:[Active power TX3-INV-12]])</f>
        <v/>
      </c>
    </row>
    <row r="53">
      <c r="A53" s="135" t="n">
        <v>46143</v>
      </c>
      <c r="B53" s="39" t="inlineStr">
        <is>
          <t>09:30:00.000</t>
        </is>
      </c>
      <c r="C53" s="136" t="n">
        <v>185.3</v>
      </c>
      <c r="D53" s="136" t="n">
        <v>176.8</v>
      </c>
      <c r="E53" s="136" t="n">
        <v>178.4</v>
      </c>
      <c r="F53" s="136" t="n">
        <v>187.1</v>
      </c>
      <c r="G53" s="136" t="n">
        <v>189.2</v>
      </c>
      <c r="H53" s="136" t="n">
        <v>191.8</v>
      </c>
      <c r="I53" s="136" t="n">
        <v>192.8</v>
      </c>
      <c r="J53" s="136" t="n">
        <v>190.6</v>
      </c>
      <c r="K53" s="136" t="n">
        <v>191.8</v>
      </c>
      <c r="L53" s="136" t="n">
        <v>189.8</v>
      </c>
      <c r="M53" s="136" t="n">
        <v>190.3</v>
      </c>
      <c r="N53" s="137" t="n">
        <v>190.4</v>
      </c>
      <c r="O53" s="138">
        <f>IFERROR(AVERAGEIF(Tabella01MarzoInverter[[#This Row],[Active power TX1-INV-1]:[Active power TX1-INV-12]], "&gt;0"), 0)</f>
        <v/>
      </c>
      <c r="P53" s="136">
        <f>MAX(Tabella01MarzoInverter[[#This Row],[Active power TX1-INV-1]:[Active power TX1-INV-12]])</f>
        <v/>
      </c>
      <c r="Q53" s="139">
        <f>MIN(Tabella01MarzoInverter[[#This Row],[Active power TX1-INV-1]:[Active power TX1-INV-12]])</f>
        <v/>
      </c>
      <c r="R53" s="140" t="n">
        <v>194</v>
      </c>
      <c r="S53" s="136" t="n">
        <v>198.1</v>
      </c>
      <c r="T53" s="136" t="n">
        <v>197.3</v>
      </c>
      <c r="U53" s="136" t="n">
        <v>192.5</v>
      </c>
      <c r="V53" s="136" t="n">
        <v>193.6</v>
      </c>
      <c r="W53" s="136" t="n">
        <v>200.9</v>
      </c>
      <c r="X53" s="136" t="n">
        <v>199.5</v>
      </c>
      <c r="Y53" s="136" t="n">
        <v>201.7</v>
      </c>
      <c r="Z53" s="136" t="n">
        <v>204.2</v>
      </c>
      <c r="AA53" s="136" t="n">
        <v>200.5</v>
      </c>
      <c r="AB53" s="136" t="n">
        <v>200.9</v>
      </c>
      <c r="AC53" s="137" t="n">
        <v>202.9</v>
      </c>
      <c r="AD53" s="138">
        <f>IFERROR(AVERAGEIF(Tabella01MarzoInverter[[#This Row],[Active power TX2-INV-1]:[Active power TX2-INV-12]], "&gt;0"), 0)</f>
        <v/>
      </c>
      <c r="AE53" s="136">
        <f>MAX(Tabella01MarzoInverter[[#This Row],[Active power TX2-INV-1]:[Active power TX2-INV-12]])</f>
        <v/>
      </c>
      <c r="AF53" s="139">
        <f>MIN(Tabella01MarzoInverter[[#This Row],[Active power TX2-INV-1]:[Active power TX2-INV-12]])</f>
        <v/>
      </c>
      <c r="AG53" s="140" t="n">
        <v>195.4</v>
      </c>
      <c r="AH53" s="136" t="n">
        <v>196.5</v>
      </c>
      <c r="AI53" s="136" t="n">
        <v>191.7</v>
      </c>
      <c r="AJ53" s="136" t="n">
        <v>207.9</v>
      </c>
      <c r="AK53" s="136" t="n">
        <v>198.2</v>
      </c>
      <c r="AL53" s="136" t="n">
        <v>195.7</v>
      </c>
      <c r="AM53" s="136" t="n">
        <v>191.2</v>
      </c>
      <c r="AN53" s="136" t="n">
        <v>193.6</v>
      </c>
      <c r="AO53" s="136" t="n">
        <v>192.6</v>
      </c>
      <c r="AP53" s="136" t="n">
        <v>187.3</v>
      </c>
      <c r="AQ53" s="136" t="n">
        <v>195.2</v>
      </c>
      <c r="AR53" s="137" t="n">
        <v>206.2</v>
      </c>
      <c r="AS53" s="138">
        <f>IFERROR(AVERAGEIF(Tabella01MarzoInverter[[#This Row],[Active power TX3-INV-1]:[Active power TX3-INV-12]], "&gt;0"), 0)</f>
        <v/>
      </c>
      <c r="AT53" s="136">
        <f>MAX(Tabella01MarzoInverter[[#This Row],[Active power TX3-INV-1]:[Active power TX3-INV-12]])</f>
        <v/>
      </c>
      <c r="AU53" s="139">
        <f>MIN(Tabella01MarzoInverter[[#This Row],[Active power TX3-INV-1]:[Active power TX3-INV-12]])</f>
        <v/>
      </c>
    </row>
    <row r="54">
      <c r="A54" s="135" t="n">
        <v>46143</v>
      </c>
      <c r="B54" s="45" t="inlineStr">
        <is>
          <t>09:45:00.000</t>
        </is>
      </c>
      <c r="C54" s="136" t="n">
        <v>271.6</v>
      </c>
      <c r="D54" s="136" t="n">
        <v>270.9</v>
      </c>
      <c r="E54" s="136" t="n">
        <v>271.3</v>
      </c>
      <c r="F54" s="136" t="n">
        <v>269.1</v>
      </c>
      <c r="G54" s="136" t="n">
        <v>257.3</v>
      </c>
      <c r="H54" s="136" t="n">
        <v>250.3</v>
      </c>
      <c r="I54" s="136" t="n">
        <v>240.2</v>
      </c>
      <c r="J54" s="136" t="n">
        <v>269.6</v>
      </c>
      <c r="K54" s="136" t="n">
        <v>261.4</v>
      </c>
      <c r="L54" s="136" t="n">
        <v>253.1</v>
      </c>
      <c r="M54" s="136" t="n">
        <v>244.8</v>
      </c>
      <c r="N54" s="137" t="n">
        <v>236.6</v>
      </c>
      <c r="O54" s="138">
        <f>IFERROR(AVERAGEIF(Tabella01MarzoInverter[[#This Row],[Active power TX1-INV-1]:[Active power TX1-INV-12]], "&gt;0"), 0)</f>
        <v/>
      </c>
      <c r="P54" s="136">
        <f>MAX(Tabella01MarzoInverter[[#This Row],[Active power TX1-INV-1]:[Active power TX1-INV-12]])</f>
        <v/>
      </c>
      <c r="Q54" s="139">
        <f>MIN(Tabella01MarzoInverter[[#This Row],[Active power TX1-INV-1]:[Active power TX1-INV-12]])</f>
        <v/>
      </c>
      <c r="R54" s="140" t="n">
        <v>231.3</v>
      </c>
      <c r="S54" s="136" t="n">
        <v>230.5</v>
      </c>
      <c r="T54" s="136" t="n">
        <v>223.9</v>
      </c>
      <c r="U54" s="136" t="n">
        <v>217.6</v>
      </c>
      <c r="V54" s="136" t="n">
        <v>211.3</v>
      </c>
      <c r="W54" s="136" t="n">
        <v>226.8</v>
      </c>
      <c r="X54" s="136" t="n">
        <v>215.8</v>
      </c>
      <c r="Y54" s="136" t="n">
        <v>210.1</v>
      </c>
      <c r="Z54" s="136" t="n">
        <v>200.7</v>
      </c>
      <c r="AA54" s="136" t="n">
        <v>202.4</v>
      </c>
      <c r="AB54" s="136" t="n">
        <v>205.1</v>
      </c>
      <c r="AC54" s="137" t="n">
        <v>199.2</v>
      </c>
      <c r="AD54" s="138">
        <f>IFERROR(AVERAGEIF(Tabella01MarzoInverter[[#This Row],[Active power TX2-INV-1]:[Active power TX2-INV-12]], "&gt;0"), 0)</f>
        <v/>
      </c>
      <c r="AE54" s="136">
        <f>MAX(Tabella01MarzoInverter[[#This Row],[Active power TX2-INV-1]:[Active power TX2-INV-12]])</f>
        <v/>
      </c>
      <c r="AF54" s="139">
        <f>MIN(Tabella01MarzoInverter[[#This Row],[Active power TX2-INV-1]:[Active power TX2-INV-12]])</f>
        <v/>
      </c>
      <c r="AG54" s="140" t="n">
        <v>246.9</v>
      </c>
      <c r="AH54" s="136" t="n">
        <v>251</v>
      </c>
      <c r="AI54" s="136" t="n">
        <v>263.7</v>
      </c>
      <c r="AJ54" s="136" t="n">
        <v>263.7</v>
      </c>
      <c r="AK54" s="136" t="n">
        <v>263.9</v>
      </c>
      <c r="AL54" s="136" t="n">
        <v>262.6</v>
      </c>
      <c r="AM54" s="136" t="n">
        <v>275.4</v>
      </c>
      <c r="AN54" s="136" t="n">
        <v>270.2</v>
      </c>
      <c r="AO54" s="136" t="n">
        <v>259.4</v>
      </c>
      <c r="AP54" s="136" t="n">
        <v>265.8</v>
      </c>
      <c r="AQ54" s="136" t="n">
        <v>268.6</v>
      </c>
      <c r="AR54" s="137" t="n">
        <v>261.2</v>
      </c>
      <c r="AS54" s="138">
        <f>IFERROR(AVERAGEIF(Tabella01MarzoInverter[[#This Row],[Active power TX3-INV-1]:[Active power TX3-INV-12]], "&gt;0"), 0)</f>
        <v/>
      </c>
      <c r="AT54" s="136">
        <f>MAX(Tabella01MarzoInverter[[#This Row],[Active power TX3-INV-1]:[Active power TX3-INV-12]])</f>
        <v/>
      </c>
      <c r="AU54" s="139">
        <f>MIN(Tabella01MarzoInverter[[#This Row],[Active power TX3-INV-1]:[Active power TX3-INV-12]])</f>
        <v/>
      </c>
    </row>
    <row r="55">
      <c r="A55" s="135" t="n">
        <v>46143</v>
      </c>
      <c r="B55" s="39" t="inlineStr">
        <is>
          <t>10:00:00.000</t>
        </is>
      </c>
      <c r="C55" s="136" t="n">
        <v>268.7</v>
      </c>
      <c r="D55" s="136" t="n">
        <v>250.1</v>
      </c>
      <c r="E55" s="136" t="n">
        <v>238</v>
      </c>
      <c r="F55" s="136" t="n">
        <v>229.3</v>
      </c>
      <c r="G55" s="136" t="n">
        <v>220.5</v>
      </c>
      <c r="H55" s="136" t="n">
        <v>214.4</v>
      </c>
      <c r="I55" s="136" t="n">
        <v>203.6</v>
      </c>
      <c r="J55" s="136" t="n">
        <v>237.5</v>
      </c>
      <c r="K55" s="136" t="n">
        <v>223.8</v>
      </c>
      <c r="L55" s="136" t="n">
        <v>216.2</v>
      </c>
      <c r="M55" s="136" t="n">
        <v>214.1</v>
      </c>
      <c r="N55" s="137" t="n">
        <v>210.1</v>
      </c>
      <c r="O55" s="138">
        <f>IFERROR(AVERAGEIF(Tabella01MarzoInverter[[#This Row],[Active power TX1-INV-1]:[Active power TX1-INV-12]], "&gt;0"), 0)</f>
        <v/>
      </c>
      <c r="P55" s="136">
        <f>MAX(Tabella01MarzoInverter[[#This Row],[Active power TX1-INV-1]:[Active power TX1-INV-12]])</f>
        <v/>
      </c>
      <c r="Q55" s="139">
        <f>MIN(Tabella01MarzoInverter[[#This Row],[Active power TX1-INV-1]:[Active power TX1-INV-12]])</f>
        <v/>
      </c>
      <c r="R55" s="140" t="n">
        <v>193.5</v>
      </c>
      <c r="S55" s="136" t="n">
        <v>194</v>
      </c>
      <c r="T55" s="136" t="n">
        <v>191.5</v>
      </c>
      <c r="U55" s="136" t="n">
        <v>188.4</v>
      </c>
      <c r="V55" s="136" t="n">
        <v>188.4</v>
      </c>
      <c r="W55" s="136" t="n">
        <v>207.5</v>
      </c>
      <c r="X55" s="136" t="n">
        <v>180.9</v>
      </c>
      <c r="Y55" s="136" t="n">
        <v>199.5</v>
      </c>
      <c r="Z55" s="136" t="n">
        <v>198.1</v>
      </c>
      <c r="AA55" s="136" t="n">
        <v>193.7</v>
      </c>
      <c r="AB55" s="136" t="n">
        <v>191.9</v>
      </c>
      <c r="AC55" s="137" t="n">
        <v>191</v>
      </c>
      <c r="AD55" s="138">
        <f>IFERROR(AVERAGEIF(Tabella01MarzoInverter[[#This Row],[Active power TX2-INV-1]:[Active power TX2-INV-12]], "&gt;0"), 0)</f>
        <v/>
      </c>
      <c r="AE55" s="136">
        <f>MAX(Tabella01MarzoInverter[[#This Row],[Active power TX2-INV-1]:[Active power TX2-INV-12]])</f>
        <v/>
      </c>
      <c r="AF55" s="139">
        <f>MIN(Tabella01MarzoInverter[[#This Row],[Active power TX2-INV-1]:[Active power TX2-INV-12]])</f>
        <v/>
      </c>
      <c r="AG55" s="140" t="n">
        <v>223</v>
      </c>
      <c r="AH55" s="136" t="n">
        <v>230.6</v>
      </c>
      <c r="AI55" s="136" t="n">
        <v>227.1</v>
      </c>
      <c r="AJ55" s="136" t="n">
        <v>245.6</v>
      </c>
      <c r="AK55" s="136" t="n">
        <v>260.6</v>
      </c>
      <c r="AL55" s="136" t="n">
        <v>277.9</v>
      </c>
      <c r="AM55" s="136" t="n">
        <v>276.2</v>
      </c>
      <c r="AN55" s="136" t="n">
        <v>275.2</v>
      </c>
      <c r="AO55" s="136" t="n">
        <v>267.6</v>
      </c>
      <c r="AP55" s="136" t="n">
        <v>248.4</v>
      </c>
      <c r="AQ55" s="136" t="n">
        <v>240.3</v>
      </c>
      <c r="AR55" s="137" t="n">
        <v>263.7</v>
      </c>
      <c r="AS55" s="138">
        <f>IFERROR(AVERAGEIF(Tabella01MarzoInverter[[#This Row],[Active power TX3-INV-1]:[Active power TX3-INV-12]], "&gt;0"), 0)</f>
        <v/>
      </c>
      <c r="AT55" s="136">
        <f>MAX(Tabella01MarzoInverter[[#This Row],[Active power TX3-INV-1]:[Active power TX3-INV-12]])</f>
        <v/>
      </c>
      <c r="AU55" s="139">
        <f>MIN(Tabella01MarzoInverter[[#This Row],[Active power TX3-INV-1]:[Active power TX3-INV-12]])</f>
        <v/>
      </c>
    </row>
    <row r="56">
      <c r="A56" s="135" t="n">
        <v>46143</v>
      </c>
      <c r="B56" s="45" t="inlineStr">
        <is>
          <t>10:15:00.000</t>
        </is>
      </c>
      <c r="C56" s="136" t="n">
        <v>263.5</v>
      </c>
      <c r="D56" s="136" t="n">
        <v>263.8</v>
      </c>
      <c r="E56" s="136" t="n">
        <v>263.1</v>
      </c>
      <c r="F56" s="136" t="n">
        <v>260.1</v>
      </c>
      <c r="G56" s="136" t="n">
        <v>258.4</v>
      </c>
      <c r="H56" s="136" t="n">
        <v>262.5</v>
      </c>
      <c r="I56" s="136" t="n">
        <v>267.4</v>
      </c>
      <c r="J56" s="136" t="n">
        <v>256.9</v>
      </c>
      <c r="K56" s="136" t="n">
        <v>261</v>
      </c>
      <c r="L56" s="136" t="n">
        <v>260.8</v>
      </c>
      <c r="M56" s="136" t="n">
        <v>262.8</v>
      </c>
      <c r="N56" s="137" t="n">
        <v>263.7</v>
      </c>
      <c r="O56" s="138">
        <f>IFERROR(AVERAGEIF(Tabella01MarzoInverter[[#This Row],[Active power TX1-INV-1]:[Active power TX1-INV-12]], "&gt;0"), 0)</f>
        <v/>
      </c>
      <c r="P56" s="136">
        <f>MAX(Tabella01MarzoInverter[[#This Row],[Active power TX1-INV-1]:[Active power TX1-INV-12]])</f>
        <v/>
      </c>
      <c r="Q56" s="139">
        <f>MIN(Tabella01MarzoInverter[[#This Row],[Active power TX1-INV-1]:[Active power TX1-INV-12]])</f>
        <v/>
      </c>
      <c r="R56" s="140" t="n">
        <v>265.4</v>
      </c>
      <c r="S56" s="136" t="n">
        <v>270.4</v>
      </c>
      <c r="T56" s="136" t="n">
        <v>269.7</v>
      </c>
      <c r="U56" s="136" t="n">
        <v>265.8</v>
      </c>
      <c r="V56" s="136" t="n">
        <v>261.8</v>
      </c>
      <c r="W56" s="136" t="n">
        <v>260.9</v>
      </c>
      <c r="X56" s="136" t="n">
        <v>252.6</v>
      </c>
      <c r="Y56" s="136" t="n">
        <v>251.3</v>
      </c>
      <c r="Z56" s="136" t="n">
        <v>250.3</v>
      </c>
      <c r="AA56" s="136" t="n">
        <v>239.4</v>
      </c>
      <c r="AB56" s="136" t="n">
        <v>249.7</v>
      </c>
      <c r="AC56" s="137" t="n">
        <v>249.9</v>
      </c>
      <c r="AD56" s="138">
        <f>IFERROR(AVERAGEIF(Tabella01MarzoInverter[[#This Row],[Active power TX2-INV-1]:[Active power TX2-INV-12]], "&gt;0"), 0)</f>
        <v/>
      </c>
      <c r="AE56" s="136">
        <f>MAX(Tabella01MarzoInverter[[#This Row],[Active power TX2-INV-1]:[Active power TX2-INV-12]])</f>
        <v/>
      </c>
      <c r="AF56" s="139">
        <f>MIN(Tabella01MarzoInverter[[#This Row],[Active power TX2-INV-1]:[Active power TX2-INV-12]])</f>
        <v/>
      </c>
      <c r="AG56" s="140" t="n">
        <v>264.5</v>
      </c>
      <c r="AH56" s="136" t="n">
        <v>271.9</v>
      </c>
      <c r="AI56" s="136" t="n">
        <v>271.9</v>
      </c>
      <c r="AJ56" s="136" t="n">
        <v>268.6</v>
      </c>
      <c r="AK56" s="136" t="n">
        <v>265.3</v>
      </c>
      <c r="AL56" s="136" t="n">
        <v>263.1</v>
      </c>
      <c r="AM56" s="136" t="n">
        <v>266.5</v>
      </c>
      <c r="AN56" s="136" t="n">
        <v>257.4</v>
      </c>
      <c r="AO56" s="136" t="n">
        <v>258.6</v>
      </c>
      <c r="AP56" s="136" t="n">
        <v>258.7</v>
      </c>
      <c r="AQ56" s="136" t="n">
        <v>250.3</v>
      </c>
      <c r="AR56" s="137" t="n">
        <v>268.7</v>
      </c>
      <c r="AS56" s="138">
        <f>IFERROR(AVERAGEIF(Tabella01MarzoInverter[[#This Row],[Active power TX3-INV-1]:[Active power TX3-INV-12]], "&gt;0"), 0)</f>
        <v/>
      </c>
      <c r="AT56" s="136">
        <f>MAX(Tabella01MarzoInverter[[#This Row],[Active power TX3-INV-1]:[Active power TX3-INV-12]])</f>
        <v/>
      </c>
      <c r="AU56" s="139">
        <f>MIN(Tabella01MarzoInverter[[#This Row],[Active power TX3-INV-1]:[Active power TX3-INV-12]])</f>
        <v/>
      </c>
    </row>
    <row r="57">
      <c r="A57" s="135" t="n">
        <v>46143</v>
      </c>
      <c r="B57" s="39" t="inlineStr">
        <is>
          <t>10:30:00.000</t>
        </is>
      </c>
      <c r="C57" s="136" t="n">
        <v>227.8</v>
      </c>
      <c r="D57" s="136" t="n">
        <v>226.6</v>
      </c>
      <c r="E57" s="136" t="n">
        <v>236.5</v>
      </c>
      <c r="F57" s="136" t="n">
        <v>246.1</v>
      </c>
      <c r="G57" s="136" t="n">
        <v>252</v>
      </c>
      <c r="H57" s="136" t="n">
        <v>258</v>
      </c>
      <c r="I57" s="136" t="n">
        <v>260.4</v>
      </c>
      <c r="J57" s="136" t="n">
        <v>247.4</v>
      </c>
      <c r="K57" s="136" t="n">
        <v>251.2</v>
      </c>
      <c r="L57" s="136" t="n">
        <v>254.8</v>
      </c>
      <c r="M57" s="136" t="n">
        <v>258.5</v>
      </c>
      <c r="N57" s="137" t="n">
        <v>262.7</v>
      </c>
      <c r="O57" s="138">
        <f>IFERROR(AVERAGEIF(Tabella01MarzoInverter[[#This Row],[Active power TX1-INV-1]:[Active power TX1-INV-12]], "&gt;0"), 0)</f>
        <v/>
      </c>
      <c r="P57" s="136">
        <f>MAX(Tabella01MarzoInverter[[#This Row],[Active power TX1-INV-1]:[Active power TX1-INV-12]])</f>
        <v/>
      </c>
      <c r="Q57" s="139">
        <f>MIN(Tabella01MarzoInverter[[#This Row],[Active power TX1-INV-1]:[Active power TX1-INV-12]])</f>
        <v/>
      </c>
      <c r="R57" s="140" t="n">
        <v>266.3</v>
      </c>
      <c r="S57" s="136" t="n">
        <v>263.6</v>
      </c>
      <c r="T57" s="136" t="n">
        <v>260.8</v>
      </c>
      <c r="U57" s="136" t="n">
        <v>255.3</v>
      </c>
      <c r="V57" s="136" t="n">
        <v>252.6</v>
      </c>
      <c r="W57" s="136" t="n">
        <v>257.6</v>
      </c>
      <c r="X57" s="136" t="n">
        <v>260.5</v>
      </c>
      <c r="Y57" s="136" t="n">
        <v>255.9</v>
      </c>
      <c r="Z57" s="136" t="n">
        <v>258.1</v>
      </c>
      <c r="AA57" s="136" t="n">
        <v>258.7</v>
      </c>
      <c r="AB57" s="136" t="n">
        <v>265</v>
      </c>
      <c r="AC57" s="137" t="n">
        <v>271.5</v>
      </c>
      <c r="AD57" s="138">
        <f>IFERROR(AVERAGEIF(Tabella01MarzoInverter[[#This Row],[Active power TX2-INV-1]:[Active power TX2-INV-12]], "&gt;0"), 0)</f>
        <v/>
      </c>
      <c r="AE57" s="136">
        <f>MAX(Tabella01MarzoInverter[[#This Row],[Active power TX2-INV-1]:[Active power TX2-INV-12]])</f>
        <v/>
      </c>
      <c r="AF57" s="139">
        <f>MIN(Tabella01MarzoInverter[[#This Row],[Active power TX2-INV-1]:[Active power TX2-INV-12]])</f>
        <v/>
      </c>
      <c r="AG57" s="140" t="n">
        <v>250</v>
      </c>
      <c r="AH57" s="136" t="n">
        <v>247.9</v>
      </c>
      <c r="AI57" s="136" t="n">
        <v>244.9</v>
      </c>
      <c r="AJ57" s="136" t="n">
        <v>215.8</v>
      </c>
      <c r="AK57" s="136" t="n">
        <v>213.6</v>
      </c>
      <c r="AL57" s="136" t="n">
        <v>216.6</v>
      </c>
      <c r="AM57" s="136" t="n">
        <v>224.3</v>
      </c>
      <c r="AN57" s="136" t="n">
        <v>226.8</v>
      </c>
      <c r="AO57" s="136" t="n">
        <v>226.1</v>
      </c>
      <c r="AP57" s="136" t="n">
        <v>231.5</v>
      </c>
      <c r="AQ57" s="136" t="n">
        <v>237.6</v>
      </c>
      <c r="AR57" s="137" t="n">
        <v>146.8</v>
      </c>
      <c r="AS57" s="138">
        <f>IFERROR(AVERAGEIF(Tabella01MarzoInverter[[#This Row],[Active power TX3-INV-1]:[Active power TX3-INV-12]], "&gt;0"), 0)</f>
        <v/>
      </c>
      <c r="AT57" s="136">
        <f>MAX(Tabella01MarzoInverter[[#This Row],[Active power TX3-INV-1]:[Active power TX3-INV-12]])</f>
        <v/>
      </c>
      <c r="AU57" s="139">
        <f>MIN(Tabella01MarzoInverter[[#This Row],[Active power TX3-INV-1]:[Active power TX3-INV-12]])</f>
        <v/>
      </c>
    </row>
    <row r="58">
      <c r="A58" s="135" t="n">
        <v>46143</v>
      </c>
      <c r="B58" s="45" t="inlineStr">
        <is>
          <t>10:45:00.000</t>
        </is>
      </c>
      <c r="C58" s="136" t="n">
        <v>268.8</v>
      </c>
      <c r="D58" s="136" t="n">
        <v>272</v>
      </c>
      <c r="E58" s="136" t="n">
        <v>269.3</v>
      </c>
      <c r="F58" s="136" t="n">
        <v>272.6</v>
      </c>
      <c r="G58" s="136" t="n">
        <v>275.7</v>
      </c>
      <c r="H58" s="136" t="n">
        <v>276.7</v>
      </c>
      <c r="I58" s="136" t="n">
        <v>275.9</v>
      </c>
      <c r="J58" s="136" t="n">
        <v>277.4</v>
      </c>
      <c r="K58" s="136" t="n">
        <v>278.3</v>
      </c>
      <c r="L58" s="136" t="n">
        <v>271.6</v>
      </c>
      <c r="M58" s="136" t="n">
        <v>271.8</v>
      </c>
      <c r="N58" s="137" t="n">
        <v>273.1</v>
      </c>
      <c r="O58" s="138">
        <f>IFERROR(AVERAGEIF(Tabella01MarzoInverter[[#This Row],[Active power TX1-INV-1]:[Active power TX1-INV-12]], "&gt;0"), 0)</f>
        <v/>
      </c>
      <c r="P58" s="136">
        <f>MAX(Tabella01MarzoInverter[[#This Row],[Active power TX1-INV-1]:[Active power TX1-INV-12]])</f>
        <v/>
      </c>
      <c r="Q58" s="139">
        <f>MIN(Tabella01MarzoInverter[[#This Row],[Active power TX1-INV-1]:[Active power TX1-INV-12]])</f>
        <v/>
      </c>
      <c r="R58" s="140" t="n">
        <v>273.6</v>
      </c>
      <c r="S58" s="136" t="n">
        <v>276.3</v>
      </c>
      <c r="T58" s="136" t="n">
        <v>276.2</v>
      </c>
      <c r="U58" s="136" t="n">
        <v>278.7</v>
      </c>
      <c r="V58" s="136" t="n">
        <v>280</v>
      </c>
      <c r="W58" s="136" t="n">
        <v>271</v>
      </c>
      <c r="X58" s="136" t="n">
        <v>271.4</v>
      </c>
      <c r="Y58" s="136" t="n">
        <v>273.3</v>
      </c>
      <c r="Z58" s="136" t="n">
        <v>272.6</v>
      </c>
      <c r="AA58" s="136" t="n">
        <v>271.3</v>
      </c>
      <c r="AB58" s="136" t="n">
        <v>272.3</v>
      </c>
      <c r="AC58" s="137" t="n">
        <v>269.4</v>
      </c>
      <c r="AD58" s="138">
        <f>IFERROR(AVERAGEIF(Tabella01MarzoInverter[[#This Row],[Active power TX2-INV-1]:[Active power TX2-INV-12]], "&gt;0"), 0)</f>
        <v/>
      </c>
      <c r="AE58" s="136">
        <f>MAX(Tabella01MarzoInverter[[#This Row],[Active power TX2-INV-1]:[Active power TX2-INV-12]])</f>
        <v/>
      </c>
      <c r="AF58" s="139">
        <f>MIN(Tabella01MarzoInverter[[#This Row],[Active power TX2-INV-1]:[Active power TX2-INV-12]])</f>
        <v/>
      </c>
      <c r="AG58" s="140" t="n">
        <v>268.9</v>
      </c>
      <c r="AH58" s="136" t="n">
        <v>268.8</v>
      </c>
      <c r="AI58" s="136" t="n">
        <v>276.5</v>
      </c>
      <c r="AJ58" s="136" t="n">
        <v>274.6</v>
      </c>
      <c r="AK58" s="136" t="n">
        <v>268.5</v>
      </c>
      <c r="AL58" s="136" t="n">
        <v>261.7</v>
      </c>
      <c r="AM58" s="136" t="n">
        <v>268.5</v>
      </c>
      <c r="AN58" s="136" t="n">
        <v>266.3</v>
      </c>
      <c r="AO58" s="136" t="n">
        <v>266.3</v>
      </c>
      <c r="AP58" s="136" t="n">
        <v>270.7</v>
      </c>
      <c r="AQ58" s="136" t="n">
        <v>272.1</v>
      </c>
      <c r="AR58" s="137" t="n">
        <v>267.6</v>
      </c>
      <c r="AS58" s="138">
        <f>IFERROR(AVERAGEIF(Tabella01MarzoInverter[[#This Row],[Active power TX3-INV-1]:[Active power TX3-INV-12]], "&gt;0"), 0)</f>
        <v/>
      </c>
      <c r="AT58" s="136">
        <f>MAX(Tabella01MarzoInverter[[#This Row],[Active power TX3-INV-1]:[Active power TX3-INV-12]])</f>
        <v/>
      </c>
      <c r="AU58" s="139">
        <f>MIN(Tabella01MarzoInverter[[#This Row],[Active power TX3-INV-1]:[Active power TX3-INV-12]])</f>
        <v/>
      </c>
    </row>
    <row r="59">
      <c r="A59" s="135" t="n">
        <v>46143</v>
      </c>
      <c r="B59" s="39" t="inlineStr">
        <is>
          <t>11:00:00.000</t>
        </is>
      </c>
      <c r="C59" s="136" t="n">
        <v>162.9</v>
      </c>
      <c r="D59" s="136" t="n">
        <v>163.5</v>
      </c>
      <c r="E59" s="136" t="n">
        <v>167.8</v>
      </c>
      <c r="F59" s="136" t="n">
        <v>179.4</v>
      </c>
      <c r="G59" s="136" t="n">
        <v>182.6</v>
      </c>
      <c r="H59" s="136" t="n">
        <v>183</v>
      </c>
      <c r="I59" s="136" t="n">
        <v>200.9</v>
      </c>
      <c r="J59" s="136" t="n">
        <v>180.6</v>
      </c>
      <c r="K59" s="136" t="n">
        <v>179.4</v>
      </c>
      <c r="L59" s="136" t="n">
        <v>190.4</v>
      </c>
      <c r="M59" s="136" t="n">
        <v>196.6</v>
      </c>
      <c r="N59" s="137" t="n">
        <v>188.8</v>
      </c>
      <c r="O59" s="138">
        <f>IFERROR(AVERAGEIF(Tabella01MarzoInverter[[#This Row],[Active power TX1-INV-1]:[Active power TX1-INV-12]], "&gt;0"), 0)</f>
        <v/>
      </c>
      <c r="P59" s="136">
        <f>MAX(Tabella01MarzoInverter[[#This Row],[Active power TX1-INV-1]:[Active power TX1-INV-12]])</f>
        <v/>
      </c>
      <c r="Q59" s="139">
        <f>MIN(Tabella01MarzoInverter[[#This Row],[Active power TX1-INV-1]:[Active power TX1-INV-12]])</f>
        <v/>
      </c>
      <c r="R59" s="140" t="n">
        <v>198.3</v>
      </c>
      <c r="S59" s="136" t="n">
        <v>201.1</v>
      </c>
      <c r="T59" s="136" t="n">
        <v>195.8</v>
      </c>
      <c r="U59" s="136" t="n">
        <v>194.6</v>
      </c>
      <c r="V59" s="136" t="n">
        <v>199.4</v>
      </c>
      <c r="W59" s="136" t="n">
        <v>194.8</v>
      </c>
      <c r="X59" s="136" t="n">
        <v>194.6</v>
      </c>
      <c r="Y59" s="136" t="n">
        <v>203.3</v>
      </c>
      <c r="Z59" s="136" t="n">
        <v>205.3</v>
      </c>
      <c r="AA59" s="136" t="n">
        <v>204.8</v>
      </c>
      <c r="AB59" s="136" t="n">
        <v>206</v>
      </c>
      <c r="AC59" s="137" t="n">
        <v>207.7</v>
      </c>
      <c r="AD59" s="138">
        <f>IFERROR(AVERAGEIF(Tabella01MarzoInverter[[#This Row],[Active power TX2-INV-1]:[Active power TX2-INV-12]], "&gt;0"), 0)</f>
        <v/>
      </c>
      <c r="AE59" s="136">
        <f>MAX(Tabella01MarzoInverter[[#This Row],[Active power TX2-INV-1]:[Active power TX2-INV-12]])</f>
        <v/>
      </c>
      <c r="AF59" s="139">
        <f>MIN(Tabella01MarzoInverter[[#This Row],[Active power TX2-INV-1]:[Active power TX2-INV-12]])</f>
        <v/>
      </c>
      <c r="AG59" s="140" t="n">
        <v>185.4</v>
      </c>
      <c r="AH59" s="136" t="n">
        <v>179.9</v>
      </c>
      <c r="AI59" s="136" t="n">
        <v>171.5</v>
      </c>
      <c r="AJ59" s="136" t="n">
        <v>165</v>
      </c>
      <c r="AK59" s="136" t="n">
        <v>161</v>
      </c>
      <c r="AL59" s="136" t="n">
        <v>162.5</v>
      </c>
      <c r="AM59" s="136" t="n">
        <v>165.3</v>
      </c>
      <c r="AN59" s="136" t="n">
        <v>167.1</v>
      </c>
      <c r="AO59" s="136" t="n">
        <v>164.2</v>
      </c>
      <c r="AP59" s="136" t="n">
        <v>165</v>
      </c>
      <c r="AQ59" s="136" t="n">
        <v>169.7</v>
      </c>
      <c r="AR59" s="137" t="n">
        <v>134.3</v>
      </c>
      <c r="AS59" s="138">
        <f>IFERROR(AVERAGEIF(Tabella01MarzoInverter[[#This Row],[Active power TX3-INV-1]:[Active power TX3-INV-12]], "&gt;0"), 0)</f>
        <v/>
      </c>
      <c r="AT59" s="136">
        <f>MAX(Tabella01MarzoInverter[[#This Row],[Active power TX3-INV-1]:[Active power TX3-INV-12]])</f>
        <v/>
      </c>
      <c r="AU59" s="139">
        <f>MIN(Tabella01MarzoInverter[[#This Row],[Active power TX3-INV-1]:[Active power TX3-INV-12]])</f>
        <v/>
      </c>
    </row>
    <row r="60">
      <c r="A60" s="135" t="n">
        <v>46143</v>
      </c>
      <c r="B60" s="45" t="inlineStr">
        <is>
          <t>11:15:00.000</t>
        </is>
      </c>
      <c r="C60" s="136" t="n">
        <v>260.2</v>
      </c>
      <c r="D60" s="136" t="n">
        <v>251.9</v>
      </c>
      <c r="E60" s="136" t="n">
        <v>249.4</v>
      </c>
      <c r="F60" s="136" t="n">
        <v>241.7</v>
      </c>
      <c r="G60" s="136" t="n">
        <v>230.2</v>
      </c>
      <c r="H60" s="136" t="n">
        <v>214.4</v>
      </c>
      <c r="I60" s="136" t="n">
        <v>213.6</v>
      </c>
      <c r="J60" s="136" t="n">
        <v>251.5</v>
      </c>
      <c r="K60" s="136" t="n">
        <v>228.4</v>
      </c>
      <c r="L60" s="136" t="n">
        <v>225.9</v>
      </c>
      <c r="M60" s="136" t="n">
        <v>218.3</v>
      </c>
      <c r="N60" s="137" t="n">
        <v>205.8</v>
      </c>
      <c r="O60" s="138">
        <f>IFERROR(AVERAGEIF(Tabella01MarzoInverter[[#This Row],[Active power TX1-INV-1]:[Active power TX1-INV-12]], "&gt;0"), 0)</f>
        <v/>
      </c>
      <c r="P60" s="136">
        <f>MAX(Tabella01MarzoInverter[[#This Row],[Active power TX1-INV-1]:[Active power TX1-INV-12]])</f>
        <v/>
      </c>
      <c r="Q60" s="139">
        <f>MIN(Tabella01MarzoInverter[[#This Row],[Active power TX1-INV-1]:[Active power TX1-INV-12]])</f>
        <v/>
      </c>
      <c r="R60" s="140" t="n">
        <v>199.1</v>
      </c>
      <c r="S60" s="136" t="n">
        <v>203.6</v>
      </c>
      <c r="T60" s="136" t="n">
        <v>197</v>
      </c>
      <c r="U60" s="136" t="n">
        <v>184.9</v>
      </c>
      <c r="V60" s="136" t="n">
        <v>176.3</v>
      </c>
      <c r="W60" s="136" t="n">
        <v>201.8</v>
      </c>
      <c r="X60" s="136" t="n">
        <v>190.6</v>
      </c>
      <c r="Y60" s="136" t="n">
        <v>187.9</v>
      </c>
      <c r="Z60" s="136" t="n">
        <v>181.8</v>
      </c>
      <c r="AA60" s="136" t="n">
        <v>174.6</v>
      </c>
      <c r="AB60" s="136" t="n">
        <v>175</v>
      </c>
      <c r="AC60" s="137" t="n">
        <v>171.6</v>
      </c>
      <c r="AD60" s="138">
        <f>IFERROR(AVERAGEIF(Tabella01MarzoInverter[[#This Row],[Active power TX2-INV-1]:[Active power TX2-INV-12]], "&gt;0"), 0)</f>
        <v/>
      </c>
      <c r="AE60" s="136">
        <f>MAX(Tabella01MarzoInverter[[#This Row],[Active power TX2-INV-1]:[Active power TX2-INV-12]])</f>
        <v/>
      </c>
      <c r="AF60" s="139">
        <f>MIN(Tabella01MarzoInverter[[#This Row],[Active power TX2-INV-1]:[Active power TX2-INV-12]])</f>
        <v/>
      </c>
      <c r="AG60" s="140" t="n">
        <v>223</v>
      </c>
      <c r="AH60" s="136" t="n">
        <v>228.2</v>
      </c>
      <c r="AI60" s="136" t="n">
        <v>255.3</v>
      </c>
      <c r="AJ60" s="136" t="n">
        <v>271.1</v>
      </c>
      <c r="AK60" s="136" t="n">
        <v>263</v>
      </c>
      <c r="AL60" s="136" t="n">
        <v>277.4</v>
      </c>
      <c r="AM60" s="136" t="n">
        <v>273.9</v>
      </c>
      <c r="AN60" s="136" t="n">
        <v>265</v>
      </c>
      <c r="AO60" s="136" t="n">
        <v>262.2</v>
      </c>
      <c r="AP60" s="136" t="n">
        <v>267.1</v>
      </c>
      <c r="AQ60" s="136" t="n">
        <v>255.7</v>
      </c>
      <c r="AR60" s="137" t="n">
        <v>269.1</v>
      </c>
      <c r="AS60" s="138">
        <f>IFERROR(AVERAGEIF(Tabella01MarzoInverter[[#This Row],[Active power TX3-INV-1]:[Active power TX3-INV-12]], "&gt;0"), 0)</f>
        <v/>
      </c>
      <c r="AT60" s="136">
        <f>MAX(Tabella01MarzoInverter[[#This Row],[Active power TX3-INV-1]:[Active power TX3-INV-12]])</f>
        <v/>
      </c>
      <c r="AU60" s="139">
        <f>MIN(Tabella01MarzoInverter[[#This Row],[Active power TX3-INV-1]:[Active power TX3-INV-12]])</f>
        <v/>
      </c>
    </row>
    <row r="61">
      <c r="A61" s="135" t="n">
        <v>46143</v>
      </c>
      <c r="B61" s="39" t="inlineStr">
        <is>
          <t>11:30:00.000</t>
        </is>
      </c>
      <c r="C61" s="136" t="n">
        <v>279.5</v>
      </c>
      <c r="D61" s="136" t="n">
        <v>279.6</v>
      </c>
      <c r="E61" s="136" t="n">
        <v>271.3</v>
      </c>
      <c r="F61" s="136" t="n">
        <v>265.2</v>
      </c>
      <c r="G61" s="136" t="n">
        <v>263.7</v>
      </c>
      <c r="H61" s="136" t="n">
        <v>264.7</v>
      </c>
      <c r="I61" s="136" t="n">
        <v>265.2</v>
      </c>
      <c r="J61" s="136" t="n">
        <v>262.9</v>
      </c>
      <c r="K61" s="136" t="n">
        <v>270.5</v>
      </c>
      <c r="L61" s="136" t="n">
        <v>273.7</v>
      </c>
      <c r="M61" s="136" t="n">
        <v>261.7</v>
      </c>
      <c r="N61" s="137" t="n">
        <v>269.1</v>
      </c>
      <c r="O61" s="138">
        <f>IFERROR(AVERAGEIF(Tabella01MarzoInverter[[#This Row],[Active power TX1-INV-1]:[Active power TX1-INV-12]], "&gt;0"), 0)</f>
        <v/>
      </c>
      <c r="P61" s="136">
        <f>MAX(Tabella01MarzoInverter[[#This Row],[Active power TX1-INV-1]:[Active power TX1-INV-12]])</f>
        <v/>
      </c>
      <c r="Q61" s="139">
        <f>MIN(Tabella01MarzoInverter[[#This Row],[Active power TX1-INV-1]:[Active power TX1-INV-12]])</f>
        <v/>
      </c>
      <c r="R61" s="140" t="n">
        <v>264.4</v>
      </c>
      <c r="S61" s="136" t="n">
        <v>264.5</v>
      </c>
      <c r="T61" s="136" t="n">
        <v>261.2</v>
      </c>
      <c r="U61" s="136" t="n">
        <v>258.4</v>
      </c>
      <c r="V61" s="136" t="n">
        <v>256.5</v>
      </c>
      <c r="W61" s="136" t="n">
        <v>271.2</v>
      </c>
      <c r="X61" s="136" t="n">
        <v>268.8</v>
      </c>
      <c r="Y61" s="136" t="n">
        <v>269.6</v>
      </c>
      <c r="Z61" s="136" t="n">
        <v>271.3</v>
      </c>
      <c r="AA61" s="136" t="n">
        <v>266.3</v>
      </c>
      <c r="AB61" s="136" t="n">
        <v>263.8</v>
      </c>
      <c r="AC61" s="137" t="n">
        <v>255.3</v>
      </c>
      <c r="AD61" s="138">
        <f>IFERROR(AVERAGEIF(Tabella01MarzoInverter[[#This Row],[Active power TX2-INV-1]:[Active power TX2-INV-12]], "&gt;0"), 0)</f>
        <v/>
      </c>
      <c r="AE61" s="136">
        <f>MAX(Tabella01MarzoInverter[[#This Row],[Active power TX2-INV-1]:[Active power TX2-INV-12]])</f>
        <v/>
      </c>
      <c r="AF61" s="139">
        <f>MIN(Tabella01MarzoInverter[[#This Row],[Active power TX2-INV-1]:[Active power TX2-INV-12]])</f>
        <v/>
      </c>
      <c r="AG61" s="140" t="n">
        <v>272.9</v>
      </c>
      <c r="AH61" s="136" t="n">
        <v>273</v>
      </c>
      <c r="AI61" s="136" t="n">
        <v>273.1</v>
      </c>
      <c r="AJ61" s="136" t="n">
        <v>271.7</v>
      </c>
      <c r="AK61" s="136" t="n">
        <v>275.2</v>
      </c>
      <c r="AL61" s="136" t="n">
        <v>274.5</v>
      </c>
      <c r="AM61" s="136" t="n">
        <v>275.1</v>
      </c>
      <c r="AN61" s="136" t="n">
        <v>273</v>
      </c>
      <c r="AO61" s="136" t="n">
        <v>274</v>
      </c>
      <c r="AP61" s="136" t="n">
        <v>273.5</v>
      </c>
      <c r="AQ61" s="136" t="n">
        <v>257.6</v>
      </c>
      <c r="AR61" s="137" t="n">
        <v>271.4</v>
      </c>
      <c r="AS61" s="138">
        <f>IFERROR(AVERAGEIF(Tabella01MarzoInverter[[#This Row],[Active power TX3-INV-1]:[Active power TX3-INV-12]], "&gt;0"), 0)</f>
        <v/>
      </c>
      <c r="AT61" s="136">
        <f>MAX(Tabella01MarzoInverter[[#This Row],[Active power TX3-INV-1]:[Active power TX3-INV-12]])</f>
        <v/>
      </c>
      <c r="AU61" s="139">
        <f>MIN(Tabella01MarzoInverter[[#This Row],[Active power TX3-INV-1]:[Active power TX3-INV-12]])</f>
        <v/>
      </c>
    </row>
    <row r="62">
      <c r="A62" s="135" t="n">
        <v>46143</v>
      </c>
      <c r="B62" s="45" t="inlineStr">
        <is>
          <t>11:45:00.000</t>
        </is>
      </c>
      <c r="C62" s="136" t="n">
        <v>270</v>
      </c>
      <c r="D62" s="136" t="n">
        <v>268.6</v>
      </c>
      <c r="E62" s="136" t="n">
        <v>263.4</v>
      </c>
      <c r="F62" s="136" t="n">
        <v>268.4</v>
      </c>
      <c r="G62" s="136" t="n">
        <v>251.5</v>
      </c>
      <c r="H62" s="136" t="n">
        <v>258.2</v>
      </c>
      <c r="I62" s="136" t="n">
        <v>265.8</v>
      </c>
      <c r="J62" s="136" t="n">
        <v>267</v>
      </c>
      <c r="K62" s="136" t="n">
        <v>266.8</v>
      </c>
      <c r="L62" s="136" t="n">
        <v>259.9</v>
      </c>
      <c r="M62" s="136" t="n">
        <v>261.7</v>
      </c>
      <c r="N62" s="137" t="n">
        <v>265.9</v>
      </c>
      <c r="O62" s="138">
        <f>IFERROR(AVERAGEIF(Tabella01MarzoInverter[[#This Row],[Active power TX1-INV-1]:[Active power TX1-INV-12]], "&gt;0"), 0)</f>
        <v/>
      </c>
      <c r="P62" s="136">
        <f>MAX(Tabella01MarzoInverter[[#This Row],[Active power TX1-INV-1]:[Active power TX1-INV-12]])</f>
        <v/>
      </c>
      <c r="Q62" s="139">
        <f>MIN(Tabella01MarzoInverter[[#This Row],[Active power TX1-INV-1]:[Active power TX1-INV-12]])</f>
        <v/>
      </c>
      <c r="R62" s="140" t="n">
        <v>262.3</v>
      </c>
      <c r="S62" s="136" t="n">
        <v>266.7</v>
      </c>
      <c r="T62" s="136" t="n">
        <v>269</v>
      </c>
      <c r="U62" s="136" t="n">
        <v>260.7</v>
      </c>
      <c r="V62" s="136" t="n">
        <v>263.7</v>
      </c>
      <c r="W62" s="136" t="n">
        <v>269.9</v>
      </c>
      <c r="X62" s="136" t="n">
        <v>264.2</v>
      </c>
      <c r="Y62" s="136" t="n">
        <v>259.3</v>
      </c>
      <c r="Z62" s="136" t="n">
        <v>262.6</v>
      </c>
      <c r="AA62" s="136" t="n">
        <v>260.7</v>
      </c>
      <c r="AB62" s="136" t="n">
        <v>266.4</v>
      </c>
      <c r="AC62" s="137" t="n">
        <v>266.6</v>
      </c>
      <c r="AD62" s="138">
        <f>IFERROR(AVERAGEIF(Tabella01MarzoInverter[[#This Row],[Active power TX2-INV-1]:[Active power TX2-INV-12]], "&gt;0"), 0)</f>
        <v/>
      </c>
      <c r="AE62" s="136">
        <f>MAX(Tabella01MarzoInverter[[#This Row],[Active power TX2-INV-1]:[Active power TX2-INV-12]])</f>
        <v/>
      </c>
      <c r="AF62" s="139">
        <f>MIN(Tabella01MarzoInverter[[#This Row],[Active power TX2-INV-1]:[Active power TX2-INV-12]])</f>
        <v/>
      </c>
      <c r="AG62" s="140" t="n">
        <v>274.2</v>
      </c>
      <c r="AH62" s="136" t="n">
        <v>267.9</v>
      </c>
      <c r="AI62" s="136" t="n">
        <v>272.1</v>
      </c>
      <c r="AJ62" s="136" t="n">
        <v>268.2</v>
      </c>
      <c r="AK62" s="136" t="n">
        <v>266.7</v>
      </c>
      <c r="AL62" s="136" t="n">
        <v>268.2</v>
      </c>
      <c r="AM62" s="136" t="n">
        <v>270.7</v>
      </c>
      <c r="AN62" s="136" t="n">
        <v>265.3</v>
      </c>
      <c r="AO62" s="136" t="n">
        <v>261.8</v>
      </c>
      <c r="AP62" s="136" t="n">
        <v>270.9</v>
      </c>
      <c r="AQ62" s="136" t="n">
        <v>266.3</v>
      </c>
      <c r="AR62" s="137" t="n">
        <v>259.2</v>
      </c>
      <c r="AS62" s="138">
        <f>IFERROR(AVERAGEIF(Tabella01MarzoInverter[[#This Row],[Active power TX3-INV-1]:[Active power TX3-INV-12]], "&gt;0"), 0)</f>
        <v/>
      </c>
      <c r="AT62" s="136">
        <f>MAX(Tabella01MarzoInverter[[#This Row],[Active power TX3-INV-1]:[Active power TX3-INV-12]])</f>
        <v/>
      </c>
      <c r="AU62" s="139">
        <f>MIN(Tabella01MarzoInverter[[#This Row],[Active power TX3-INV-1]:[Active power TX3-INV-12]])</f>
        <v/>
      </c>
    </row>
    <row r="63">
      <c r="A63" s="135" t="n">
        <v>46143</v>
      </c>
      <c r="B63" s="39" t="inlineStr">
        <is>
          <t>12:00:00.000</t>
        </is>
      </c>
      <c r="C63" s="136" t="n">
        <v>0.1</v>
      </c>
      <c r="D63" s="136" t="n">
        <v>0.1</v>
      </c>
      <c r="E63" s="136" t="n">
        <v>0.1</v>
      </c>
      <c r="F63" s="136" t="n">
        <v>0.1</v>
      </c>
      <c r="G63" s="136" t="n">
        <v>0.1</v>
      </c>
      <c r="H63" s="136" t="n">
        <v>0.1</v>
      </c>
      <c r="I63" s="136" t="n">
        <v>0.1</v>
      </c>
      <c r="J63" s="136" t="n">
        <v>0.1</v>
      </c>
      <c r="K63" s="136" t="n">
        <v>0.1</v>
      </c>
      <c r="L63" s="136" t="n">
        <v>0.1</v>
      </c>
      <c r="M63" s="136" t="n">
        <v>0.1</v>
      </c>
      <c r="N63" s="137" t="n">
        <v>0.1</v>
      </c>
      <c r="O63" s="138">
        <f>IFERROR(AVERAGEIF(Tabella01MarzoInverter[[#This Row],[Active power TX1-INV-1]:[Active power TX1-INV-12]], "&gt;0"), 0)</f>
        <v/>
      </c>
      <c r="P63" s="136">
        <f>MAX(Tabella01MarzoInverter[[#This Row],[Active power TX1-INV-1]:[Active power TX1-INV-12]])</f>
        <v/>
      </c>
      <c r="Q63" s="139">
        <f>MIN(Tabella01MarzoInverter[[#This Row],[Active power TX1-INV-1]:[Active power TX1-INV-12]])</f>
        <v/>
      </c>
      <c r="R63" s="140" t="n">
        <v>0.1</v>
      </c>
      <c r="S63" s="136" t="n">
        <v>0.1</v>
      </c>
      <c r="T63" s="136" t="n">
        <v>0.1</v>
      </c>
      <c r="U63" s="136" t="n">
        <v>0.1</v>
      </c>
      <c r="V63" s="136" t="n">
        <v>0.1</v>
      </c>
      <c r="W63" s="136" t="n">
        <v>0.1</v>
      </c>
      <c r="X63" s="136" t="n">
        <v>0.1</v>
      </c>
      <c r="Y63" s="136" t="n">
        <v>0.1</v>
      </c>
      <c r="Z63" s="136" t="n">
        <v>0.1</v>
      </c>
      <c r="AA63" s="136" t="n">
        <v>0.1</v>
      </c>
      <c r="AB63" s="136" t="n">
        <v>0.1</v>
      </c>
      <c r="AC63" s="137" t="n">
        <v>0.1</v>
      </c>
      <c r="AD63" s="138">
        <f>IFERROR(AVERAGEIF(Tabella01MarzoInverter[[#This Row],[Active power TX2-INV-1]:[Active power TX2-INV-12]], "&gt;0"), 0)</f>
        <v/>
      </c>
      <c r="AE63" s="136">
        <f>MAX(Tabella01MarzoInverter[[#This Row],[Active power TX2-INV-1]:[Active power TX2-INV-12]])</f>
        <v/>
      </c>
      <c r="AF63" s="139">
        <f>MIN(Tabella01MarzoInverter[[#This Row],[Active power TX2-INV-1]:[Active power TX2-INV-12]])</f>
        <v/>
      </c>
      <c r="AG63" s="140" t="n">
        <v>0.1</v>
      </c>
      <c r="AH63" s="136" t="n">
        <v>0.1</v>
      </c>
      <c r="AI63" s="136" t="n">
        <v>0.1</v>
      </c>
      <c r="AJ63" s="136" t="n">
        <v>0.1</v>
      </c>
      <c r="AK63" s="136" t="n">
        <v>0.1</v>
      </c>
      <c r="AL63" s="136" t="n">
        <v>0.1</v>
      </c>
      <c r="AM63" s="136" t="n">
        <v>0.1</v>
      </c>
      <c r="AN63" s="136" t="n">
        <v>0.1</v>
      </c>
      <c r="AO63" s="136" t="n">
        <v>0.1</v>
      </c>
      <c r="AP63" s="136" t="n">
        <v>0.1</v>
      </c>
      <c r="AQ63" s="136" t="n">
        <v>0.1</v>
      </c>
      <c r="AR63" s="137" t="n">
        <v>0.1</v>
      </c>
      <c r="AS63" s="138">
        <f>IFERROR(AVERAGEIF(Tabella01MarzoInverter[[#This Row],[Active power TX3-INV-1]:[Active power TX3-INV-12]], "&gt;0"), 0)</f>
        <v/>
      </c>
      <c r="AT63" s="136">
        <f>MAX(Tabella01MarzoInverter[[#This Row],[Active power TX3-INV-1]:[Active power TX3-INV-12]])</f>
        <v/>
      </c>
      <c r="AU63" s="139">
        <f>MIN(Tabella01MarzoInverter[[#This Row],[Active power TX3-INV-1]:[Active power TX3-INV-12]])</f>
        <v/>
      </c>
    </row>
    <row r="64">
      <c r="A64" s="135" t="n">
        <v>46143</v>
      </c>
      <c r="B64" s="45" t="inlineStr">
        <is>
          <t>12:15:00.000</t>
        </is>
      </c>
      <c r="C64" s="136" t="n">
        <v>0.1</v>
      </c>
      <c r="D64" s="136" t="n">
        <v>0.1</v>
      </c>
      <c r="E64" s="136" t="n">
        <v>0.1</v>
      </c>
      <c r="F64" s="136" t="n">
        <v>0.1</v>
      </c>
      <c r="G64" s="136" t="n">
        <v>0.1</v>
      </c>
      <c r="H64" s="136" t="n">
        <v>0.1</v>
      </c>
      <c r="I64" s="136" t="n">
        <v>0.1</v>
      </c>
      <c r="J64" s="136" t="n">
        <v>0.1</v>
      </c>
      <c r="K64" s="136" t="n">
        <v>0.1</v>
      </c>
      <c r="L64" s="136" t="n">
        <v>0.1</v>
      </c>
      <c r="M64" s="136" t="n">
        <v>0.1</v>
      </c>
      <c r="N64" s="137" t="n">
        <v>0.1</v>
      </c>
      <c r="O64" s="138">
        <f>IFERROR(AVERAGEIF(Tabella01MarzoInverter[[#This Row],[Active power TX1-INV-1]:[Active power TX1-INV-12]], "&gt;0"), 0)</f>
        <v/>
      </c>
      <c r="P64" s="136">
        <f>MAX(Tabella01MarzoInverter[[#This Row],[Active power TX1-INV-1]:[Active power TX1-INV-12]])</f>
        <v/>
      </c>
      <c r="Q64" s="139">
        <f>MIN(Tabella01MarzoInverter[[#This Row],[Active power TX1-INV-1]:[Active power TX1-INV-12]])</f>
        <v/>
      </c>
      <c r="R64" s="140" t="n">
        <v>0.1</v>
      </c>
      <c r="S64" s="136" t="n">
        <v>0.1</v>
      </c>
      <c r="T64" s="136" t="n">
        <v>0.1</v>
      </c>
      <c r="U64" s="136" t="n">
        <v>0.1</v>
      </c>
      <c r="V64" s="136" t="n">
        <v>0.1</v>
      </c>
      <c r="W64" s="136" t="n">
        <v>0.1</v>
      </c>
      <c r="X64" s="136" t="n">
        <v>0.1</v>
      </c>
      <c r="Y64" s="136" t="n">
        <v>0.1</v>
      </c>
      <c r="Z64" s="136" t="n">
        <v>0.1</v>
      </c>
      <c r="AA64" s="136" t="n">
        <v>0.1</v>
      </c>
      <c r="AB64" s="136" t="n">
        <v>0.1</v>
      </c>
      <c r="AC64" s="137" t="n">
        <v>0.1</v>
      </c>
      <c r="AD64" s="138">
        <f>IFERROR(AVERAGEIF(Tabella01MarzoInverter[[#This Row],[Active power TX2-INV-1]:[Active power TX2-INV-12]], "&gt;0"), 0)</f>
        <v/>
      </c>
      <c r="AE64" s="136">
        <f>MAX(Tabella01MarzoInverter[[#This Row],[Active power TX2-INV-1]:[Active power TX2-INV-12]])</f>
        <v/>
      </c>
      <c r="AF64" s="139">
        <f>MIN(Tabella01MarzoInverter[[#This Row],[Active power TX2-INV-1]:[Active power TX2-INV-12]])</f>
        <v/>
      </c>
      <c r="AG64" s="140" t="n">
        <v>0.1</v>
      </c>
      <c r="AH64" s="136" t="n">
        <v>0.1</v>
      </c>
      <c r="AI64" s="136" t="n">
        <v>0.1</v>
      </c>
      <c r="AJ64" s="136" t="n">
        <v>0.1</v>
      </c>
      <c r="AK64" s="136" t="n">
        <v>0.1</v>
      </c>
      <c r="AL64" s="136" t="n">
        <v>0.1</v>
      </c>
      <c r="AM64" s="136" t="n">
        <v>0.1</v>
      </c>
      <c r="AN64" s="136" t="n">
        <v>0.1</v>
      </c>
      <c r="AO64" s="136" t="n">
        <v>0.1</v>
      </c>
      <c r="AP64" s="136" t="n">
        <v>0.1</v>
      </c>
      <c r="AQ64" s="136" t="n">
        <v>0.1</v>
      </c>
      <c r="AR64" s="137" t="n">
        <v>0.1</v>
      </c>
      <c r="AS64" s="138">
        <f>IFERROR(AVERAGEIF(Tabella01MarzoInverter[[#This Row],[Active power TX3-INV-1]:[Active power TX3-INV-12]], "&gt;0"), 0)</f>
        <v/>
      </c>
      <c r="AT64" s="136">
        <f>MAX(Tabella01MarzoInverter[[#This Row],[Active power TX3-INV-1]:[Active power TX3-INV-12]])</f>
        <v/>
      </c>
      <c r="AU64" s="139">
        <f>MIN(Tabella01MarzoInverter[[#This Row],[Active power TX3-INV-1]:[Active power TX3-INV-12]])</f>
        <v/>
      </c>
    </row>
    <row r="65">
      <c r="A65" s="135" t="n">
        <v>46143</v>
      </c>
      <c r="B65" s="39" t="inlineStr">
        <is>
          <t>12:30:00.000</t>
        </is>
      </c>
      <c r="C65" s="136" t="n">
        <v>0.1</v>
      </c>
      <c r="D65" s="136" t="n">
        <v>0.1</v>
      </c>
      <c r="E65" s="136" t="n">
        <v>0.1</v>
      </c>
      <c r="F65" s="136" t="n">
        <v>0.1</v>
      </c>
      <c r="G65" s="136" t="n">
        <v>0.1</v>
      </c>
      <c r="H65" s="136" t="n">
        <v>0.1</v>
      </c>
      <c r="I65" s="136" t="n">
        <v>0.1</v>
      </c>
      <c r="J65" s="136" t="n">
        <v>0.1</v>
      </c>
      <c r="K65" s="136" t="n">
        <v>0.1</v>
      </c>
      <c r="L65" s="136" t="n">
        <v>0.1</v>
      </c>
      <c r="M65" s="136" t="n">
        <v>0.1</v>
      </c>
      <c r="N65" s="137" t="n">
        <v>0.1</v>
      </c>
      <c r="O65" s="138">
        <f>IFERROR(AVERAGEIF(Tabella01MarzoInverter[[#This Row],[Active power TX1-INV-1]:[Active power TX1-INV-12]], "&gt;0"), 0)</f>
        <v/>
      </c>
      <c r="P65" s="136">
        <f>MAX(Tabella01MarzoInverter[[#This Row],[Active power TX1-INV-1]:[Active power TX1-INV-12]])</f>
        <v/>
      </c>
      <c r="Q65" s="139">
        <f>MIN(Tabella01MarzoInverter[[#This Row],[Active power TX1-INV-1]:[Active power TX1-INV-12]])</f>
        <v/>
      </c>
      <c r="R65" s="140" t="n">
        <v>0.1</v>
      </c>
      <c r="S65" s="136" t="n">
        <v>0.1</v>
      </c>
      <c r="T65" s="136" t="n">
        <v>0.1</v>
      </c>
      <c r="U65" s="136" t="n">
        <v>0.1</v>
      </c>
      <c r="V65" s="136" t="n">
        <v>0.1</v>
      </c>
      <c r="W65" s="136" t="n">
        <v>0.1</v>
      </c>
      <c r="X65" s="136" t="n">
        <v>0.1</v>
      </c>
      <c r="Y65" s="136" t="n">
        <v>0.1</v>
      </c>
      <c r="Z65" s="136" t="n">
        <v>0.1</v>
      </c>
      <c r="AA65" s="136" t="n">
        <v>0.1</v>
      </c>
      <c r="AB65" s="136" t="n">
        <v>0.1</v>
      </c>
      <c r="AC65" s="137" t="n">
        <v>0.1</v>
      </c>
      <c r="AD65" s="138">
        <f>IFERROR(AVERAGEIF(Tabella01MarzoInverter[[#This Row],[Active power TX2-INV-1]:[Active power TX2-INV-12]], "&gt;0"), 0)</f>
        <v/>
      </c>
      <c r="AE65" s="136">
        <f>MAX(Tabella01MarzoInverter[[#This Row],[Active power TX2-INV-1]:[Active power TX2-INV-12]])</f>
        <v/>
      </c>
      <c r="AF65" s="139">
        <f>MIN(Tabella01MarzoInverter[[#This Row],[Active power TX2-INV-1]:[Active power TX2-INV-12]])</f>
        <v/>
      </c>
      <c r="AG65" s="140" t="n">
        <v>0.1</v>
      </c>
      <c r="AH65" s="136" t="n">
        <v>0.1</v>
      </c>
      <c r="AI65" s="136" t="n">
        <v>0.1</v>
      </c>
      <c r="AJ65" s="136" t="n">
        <v>0.1</v>
      </c>
      <c r="AK65" s="136" t="n">
        <v>0.1</v>
      </c>
      <c r="AL65" s="136" t="n">
        <v>0.1</v>
      </c>
      <c r="AM65" s="136" t="n">
        <v>0.1</v>
      </c>
      <c r="AN65" s="136" t="n">
        <v>0.1</v>
      </c>
      <c r="AO65" s="136" t="n">
        <v>0.1</v>
      </c>
      <c r="AP65" s="136" t="n">
        <v>0.1</v>
      </c>
      <c r="AQ65" s="136" t="n">
        <v>0.1</v>
      </c>
      <c r="AR65" s="137" t="n">
        <v>0.1</v>
      </c>
      <c r="AS65" s="138">
        <f>IFERROR(AVERAGEIF(Tabella01MarzoInverter[[#This Row],[Active power TX3-INV-1]:[Active power TX3-INV-12]], "&gt;0"), 0)</f>
        <v/>
      </c>
      <c r="AT65" s="136">
        <f>MAX(Tabella01MarzoInverter[[#This Row],[Active power TX3-INV-1]:[Active power TX3-INV-12]])</f>
        <v/>
      </c>
      <c r="AU65" s="139">
        <f>MIN(Tabella01MarzoInverter[[#This Row],[Active power TX3-INV-1]:[Active power TX3-INV-12]])</f>
        <v/>
      </c>
    </row>
    <row r="66">
      <c r="A66" s="135" t="n">
        <v>46143</v>
      </c>
      <c r="B66" s="45" t="inlineStr">
        <is>
          <t>12:45:00.000</t>
        </is>
      </c>
      <c r="C66" s="136" t="n">
        <v>0.1</v>
      </c>
      <c r="D66" s="136" t="n">
        <v>0.1</v>
      </c>
      <c r="E66" s="136" t="n">
        <v>0.1</v>
      </c>
      <c r="F66" s="136" t="n">
        <v>0.1</v>
      </c>
      <c r="G66" s="136" t="n">
        <v>0.1</v>
      </c>
      <c r="H66" s="136" t="n">
        <v>0.1</v>
      </c>
      <c r="I66" s="136" t="n">
        <v>0.1</v>
      </c>
      <c r="J66" s="136" t="n">
        <v>0.1</v>
      </c>
      <c r="K66" s="136" t="n">
        <v>0.1</v>
      </c>
      <c r="L66" s="136" t="n">
        <v>0.1</v>
      </c>
      <c r="M66" s="136" t="n">
        <v>0.1</v>
      </c>
      <c r="N66" s="137" t="n">
        <v>0.1</v>
      </c>
      <c r="O66" s="138">
        <f>IFERROR(AVERAGEIF(Tabella01MarzoInverter[[#This Row],[Active power TX1-INV-1]:[Active power TX1-INV-12]], "&gt;0"), 0)</f>
        <v/>
      </c>
      <c r="P66" s="136">
        <f>MAX(Tabella01MarzoInverter[[#This Row],[Active power TX1-INV-1]:[Active power TX1-INV-12]])</f>
        <v/>
      </c>
      <c r="Q66" s="139">
        <f>MIN(Tabella01MarzoInverter[[#This Row],[Active power TX1-INV-1]:[Active power TX1-INV-12]])</f>
        <v/>
      </c>
      <c r="R66" s="140" t="n">
        <v>0.1</v>
      </c>
      <c r="S66" s="136" t="n">
        <v>0.1</v>
      </c>
      <c r="T66" s="136" t="n">
        <v>0.1</v>
      </c>
      <c r="U66" s="136" t="n">
        <v>0.1</v>
      </c>
      <c r="V66" s="136" t="n">
        <v>0.1</v>
      </c>
      <c r="W66" s="136" t="n">
        <v>0.1</v>
      </c>
      <c r="X66" s="136" t="n">
        <v>0.1</v>
      </c>
      <c r="Y66" s="136" t="n">
        <v>0.1</v>
      </c>
      <c r="Z66" s="136" t="n">
        <v>0.1</v>
      </c>
      <c r="AA66" s="136" t="n">
        <v>0.1</v>
      </c>
      <c r="AB66" s="136" t="n">
        <v>0.1</v>
      </c>
      <c r="AC66" s="137" t="n">
        <v>0.1</v>
      </c>
      <c r="AD66" s="138">
        <f>IFERROR(AVERAGEIF(Tabella01MarzoInverter[[#This Row],[Active power TX2-INV-1]:[Active power TX2-INV-12]], "&gt;0"), 0)</f>
        <v/>
      </c>
      <c r="AE66" s="136">
        <f>MAX(Tabella01MarzoInverter[[#This Row],[Active power TX2-INV-1]:[Active power TX2-INV-12]])</f>
        <v/>
      </c>
      <c r="AF66" s="139">
        <f>MIN(Tabella01MarzoInverter[[#This Row],[Active power TX2-INV-1]:[Active power TX2-INV-12]])</f>
        <v/>
      </c>
      <c r="AG66" s="140" t="n">
        <v>0.1</v>
      </c>
      <c r="AH66" s="136" t="n">
        <v>0.1</v>
      </c>
      <c r="AI66" s="136" t="n">
        <v>0.1</v>
      </c>
      <c r="AJ66" s="136" t="n">
        <v>0.1</v>
      </c>
      <c r="AK66" s="136" t="n">
        <v>0.1</v>
      </c>
      <c r="AL66" s="136" t="n">
        <v>0.1</v>
      </c>
      <c r="AM66" s="136" t="n">
        <v>0.1</v>
      </c>
      <c r="AN66" s="136" t="n">
        <v>0.1</v>
      </c>
      <c r="AO66" s="136" t="n">
        <v>0.1</v>
      </c>
      <c r="AP66" s="136" t="n">
        <v>0.1</v>
      </c>
      <c r="AQ66" s="136" t="n">
        <v>0.1</v>
      </c>
      <c r="AR66" s="137" t="n">
        <v>0.1</v>
      </c>
      <c r="AS66" s="138">
        <f>IFERROR(AVERAGEIF(Tabella01MarzoInverter[[#This Row],[Active power TX3-INV-1]:[Active power TX3-INV-12]], "&gt;0"), 0)</f>
        <v/>
      </c>
      <c r="AT66" s="136">
        <f>MAX(Tabella01MarzoInverter[[#This Row],[Active power TX3-INV-1]:[Active power TX3-INV-12]])</f>
        <v/>
      </c>
      <c r="AU66" s="139">
        <f>MIN(Tabella01MarzoInverter[[#This Row],[Active power TX3-INV-1]:[Active power TX3-INV-12]])</f>
        <v/>
      </c>
    </row>
    <row r="67">
      <c r="A67" s="135" t="n">
        <v>46143</v>
      </c>
      <c r="B67" s="39" t="inlineStr">
        <is>
          <t>13:00:00.000</t>
        </is>
      </c>
      <c r="C67" s="136" t="n">
        <v>0.1</v>
      </c>
      <c r="D67" s="136" t="n">
        <v>0.1</v>
      </c>
      <c r="E67" s="136" t="n">
        <v>0.1</v>
      </c>
      <c r="F67" s="136" t="n">
        <v>0.1</v>
      </c>
      <c r="G67" s="136" t="n">
        <v>0.1</v>
      </c>
      <c r="H67" s="136" t="n">
        <v>0.1</v>
      </c>
      <c r="I67" s="136" t="n">
        <v>0.1</v>
      </c>
      <c r="J67" s="136" t="n">
        <v>0.1</v>
      </c>
      <c r="K67" s="136" t="n">
        <v>0.1</v>
      </c>
      <c r="L67" s="136" t="n">
        <v>0.1</v>
      </c>
      <c r="M67" s="136" t="n">
        <v>0.1</v>
      </c>
      <c r="N67" s="137" t="n">
        <v>0.1</v>
      </c>
      <c r="O67" s="138">
        <f>IFERROR(AVERAGEIF(Tabella01MarzoInverter[[#This Row],[Active power TX1-INV-1]:[Active power TX1-INV-12]], "&gt;0"), 0)</f>
        <v/>
      </c>
      <c r="P67" s="136">
        <f>MAX(Tabella01MarzoInverter[[#This Row],[Active power TX1-INV-1]:[Active power TX1-INV-12]])</f>
        <v/>
      </c>
      <c r="Q67" s="139">
        <f>MIN(Tabella01MarzoInverter[[#This Row],[Active power TX1-INV-1]:[Active power TX1-INV-12]])</f>
        <v/>
      </c>
      <c r="R67" s="140" t="n">
        <v>0.1</v>
      </c>
      <c r="S67" s="136" t="n">
        <v>0.1</v>
      </c>
      <c r="T67" s="136" t="n">
        <v>0.1</v>
      </c>
      <c r="U67" s="136" t="n">
        <v>0.1</v>
      </c>
      <c r="V67" s="136" t="n">
        <v>0.1</v>
      </c>
      <c r="W67" s="136" t="n">
        <v>0.1</v>
      </c>
      <c r="X67" s="136" t="n">
        <v>0.1</v>
      </c>
      <c r="Y67" s="136" t="n">
        <v>0.1</v>
      </c>
      <c r="Z67" s="136" t="n">
        <v>0.1</v>
      </c>
      <c r="AA67" s="136" t="n">
        <v>0.1</v>
      </c>
      <c r="AB67" s="136" t="n">
        <v>0.1</v>
      </c>
      <c r="AC67" s="137" t="n">
        <v>0.1</v>
      </c>
      <c r="AD67" s="138">
        <f>IFERROR(AVERAGEIF(Tabella01MarzoInverter[[#This Row],[Active power TX2-INV-1]:[Active power TX2-INV-12]], "&gt;0"), 0)</f>
        <v/>
      </c>
      <c r="AE67" s="136">
        <f>MAX(Tabella01MarzoInverter[[#This Row],[Active power TX2-INV-1]:[Active power TX2-INV-12]])</f>
        <v/>
      </c>
      <c r="AF67" s="139">
        <f>MIN(Tabella01MarzoInverter[[#This Row],[Active power TX2-INV-1]:[Active power TX2-INV-12]])</f>
        <v/>
      </c>
      <c r="AG67" s="140" t="n">
        <v>0.1</v>
      </c>
      <c r="AH67" s="136" t="n">
        <v>0.1</v>
      </c>
      <c r="AI67" s="136" t="n">
        <v>0.1</v>
      </c>
      <c r="AJ67" s="136" t="n">
        <v>0.1</v>
      </c>
      <c r="AK67" s="136" t="n">
        <v>0.1</v>
      </c>
      <c r="AL67" s="136" t="n">
        <v>0.1</v>
      </c>
      <c r="AM67" s="136" t="n">
        <v>0.1</v>
      </c>
      <c r="AN67" s="136" t="n">
        <v>0.1</v>
      </c>
      <c r="AO67" s="136" t="n">
        <v>0.1</v>
      </c>
      <c r="AP67" s="136" t="n">
        <v>0.1</v>
      </c>
      <c r="AQ67" s="136" t="n">
        <v>0.1</v>
      </c>
      <c r="AR67" s="137" t="n">
        <v>0.1</v>
      </c>
      <c r="AS67" s="138">
        <f>IFERROR(AVERAGEIF(Tabella01MarzoInverter[[#This Row],[Active power TX3-INV-1]:[Active power TX3-INV-12]], "&gt;0"), 0)</f>
        <v/>
      </c>
      <c r="AT67" s="136">
        <f>MAX(Tabella01MarzoInverter[[#This Row],[Active power TX3-INV-1]:[Active power TX3-INV-12]])</f>
        <v/>
      </c>
      <c r="AU67" s="139">
        <f>MIN(Tabella01MarzoInverter[[#This Row],[Active power TX3-INV-1]:[Active power TX3-INV-12]])</f>
        <v/>
      </c>
    </row>
    <row r="68">
      <c r="A68" s="135" t="n">
        <v>46143</v>
      </c>
      <c r="B68" s="45" t="inlineStr">
        <is>
          <t>13:15:00.000</t>
        </is>
      </c>
      <c r="C68" s="136" t="n">
        <v>0.1</v>
      </c>
      <c r="D68" s="136" t="n">
        <v>0.1</v>
      </c>
      <c r="E68" s="136" t="n">
        <v>0.1</v>
      </c>
      <c r="F68" s="136" t="n">
        <v>0.1</v>
      </c>
      <c r="G68" s="136" t="n">
        <v>0.1</v>
      </c>
      <c r="H68" s="136" t="n">
        <v>0.1</v>
      </c>
      <c r="I68" s="136" t="n">
        <v>0.1</v>
      </c>
      <c r="J68" s="136" t="n">
        <v>0.1</v>
      </c>
      <c r="K68" s="136" t="n">
        <v>0.1</v>
      </c>
      <c r="L68" s="136" t="n">
        <v>0.1</v>
      </c>
      <c r="M68" s="136" t="n">
        <v>0.1</v>
      </c>
      <c r="N68" s="137" t="n">
        <v>0.1</v>
      </c>
      <c r="O68" s="138">
        <f>IFERROR(AVERAGEIF(Tabella01MarzoInverter[[#This Row],[Active power TX1-INV-1]:[Active power TX1-INV-12]], "&gt;0"), 0)</f>
        <v/>
      </c>
      <c r="P68" s="136">
        <f>MAX(Tabella01MarzoInverter[[#This Row],[Active power TX1-INV-1]:[Active power TX1-INV-12]])</f>
        <v/>
      </c>
      <c r="Q68" s="139">
        <f>MIN(Tabella01MarzoInverter[[#This Row],[Active power TX1-INV-1]:[Active power TX1-INV-12]])</f>
        <v/>
      </c>
      <c r="R68" s="140" t="n">
        <v>0.1</v>
      </c>
      <c r="S68" s="136" t="n">
        <v>0.1</v>
      </c>
      <c r="T68" s="136" t="n">
        <v>0.1</v>
      </c>
      <c r="U68" s="136" t="n">
        <v>0.1</v>
      </c>
      <c r="V68" s="136" t="n">
        <v>0.1</v>
      </c>
      <c r="W68" s="136" t="n">
        <v>0.1</v>
      </c>
      <c r="X68" s="136" t="n">
        <v>0.1</v>
      </c>
      <c r="Y68" s="136" t="n">
        <v>0.1</v>
      </c>
      <c r="Z68" s="136" t="n">
        <v>0.1</v>
      </c>
      <c r="AA68" s="136" t="n">
        <v>0.1</v>
      </c>
      <c r="AB68" s="136" t="n">
        <v>0.1</v>
      </c>
      <c r="AC68" s="137" t="n">
        <v>0.1</v>
      </c>
      <c r="AD68" s="138">
        <f>IFERROR(AVERAGEIF(Tabella01MarzoInverter[[#This Row],[Active power TX2-INV-1]:[Active power TX2-INV-12]], "&gt;0"), 0)</f>
        <v/>
      </c>
      <c r="AE68" s="136">
        <f>MAX(Tabella01MarzoInverter[[#This Row],[Active power TX2-INV-1]:[Active power TX2-INV-12]])</f>
        <v/>
      </c>
      <c r="AF68" s="139">
        <f>MIN(Tabella01MarzoInverter[[#This Row],[Active power TX2-INV-1]:[Active power TX2-INV-12]])</f>
        <v/>
      </c>
      <c r="AG68" s="140" t="n">
        <v>0.1</v>
      </c>
      <c r="AH68" s="136" t="n">
        <v>0.1</v>
      </c>
      <c r="AI68" s="136" t="n">
        <v>0.1</v>
      </c>
      <c r="AJ68" s="136" t="n">
        <v>0.1</v>
      </c>
      <c r="AK68" s="136" t="n">
        <v>0.1</v>
      </c>
      <c r="AL68" s="136" t="n">
        <v>0.1</v>
      </c>
      <c r="AM68" s="136" t="n">
        <v>0.1</v>
      </c>
      <c r="AN68" s="136" t="n">
        <v>0.1</v>
      </c>
      <c r="AO68" s="136" t="n">
        <v>0.1</v>
      </c>
      <c r="AP68" s="136" t="n">
        <v>0.1</v>
      </c>
      <c r="AQ68" s="136" t="n">
        <v>0.1</v>
      </c>
      <c r="AR68" s="137" t="n">
        <v>0.1</v>
      </c>
      <c r="AS68" s="138">
        <f>IFERROR(AVERAGEIF(Tabella01MarzoInverter[[#This Row],[Active power TX3-INV-1]:[Active power TX3-INV-12]], "&gt;0"), 0)</f>
        <v/>
      </c>
      <c r="AT68" s="136">
        <f>MAX(Tabella01MarzoInverter[[#This Row],[Active power TX3-INV-1]:[Active power TX3-INV-12]])</f>
        <v/>
      </c>
      <c r="AU68" s="139">
        <f>MIN(Tabella01MarzoInverter[[#This Row],[Active power TX3-INV-1]:[Active power TX3-INV-12]])</f>
        <v/>
      </c>
    </row>
    <row r="69">
      <c r="A69" s="135" t="n">
        <v>46143</v>
      </c>
      <c r="B69" s="39" t="inlineStr">
        <is>
          <t>13:30:00.000</t>
        </is>
      </c>
      <c r="C69" s="136" t="n">
        <v>0.1</v>
      </c>
      <c r="D69" s="136" t="n">
        <v>0.1</v>
      </c>
      <c r="E69" s="136" t="n">
        <v>0.1</v>
      </c>
      <c r="F69" s="136" t="n">
        <v>0.1</v>
      </c>
      <c r="G69" s="136" t="n">
        <v>0.1</v>
      </c>
      <c r="H69" s="136" t="n">
        <v>0.1</v>
      </c>
      <c r="I69" s="136" t="n">
        <v>0.1</v>
      </c>
      <c r="J69" s="136" t="n">
        <v>0.1</v>
      </c>
      <c r="K69" s="136" t="n">
        <v>0.1</v>
      </c>
      <c r="L69" s="136" t="n">
        <v>0.1</v>
      </c>
      <c r="M69" s="136" t="n">
        <v>0.1</v>
      </c>
      <c r="N69" s="137" t="n">
        <v>0.1</v>
      </c>
      <c r="O69" s="138">
        <f>IFERROR(AVERAGEIF(Tabella01MarzoInverter[[#This Row],[Active power TX1-INV-1]:[Active power TX1-INV-12]], "&gt;0"), 0)</f>
        <v/>
      </c>
      <c r="P69" s="136">
        <f>MAX(Tabella01MarzoInverter[[#This Row],[Active power TX1-INV-1]:[Active power TX1-INV-12]])</f>
        <v/>
      </c>
      <c r="Q69" s="139">
        <f>MIN(Tabella01MarzoInverter[[#This Row],[Active power TX1-INV-1]:[Active power TX1-INV-12]])</f>
        <v/>
      </c>
      <c r="R69" s="140" t="n">
        <v>0.1</v>
      </c>
      <c r="S69" s="136" t="n">
        <v>0.1</v>
      </c>
      <c r="T69" s="136" t="n">
        <v>0.1</v>
      </c>
      <c r="U69" s="136" t="n">
        <v>0.1</v>
      </c>
      <c r="V69" s="136" t="n">
        <v>0.1</v>
      </c>
      <c r="W69" s="136" t="n">
        <v>0.1</v>
      </c>
      <c r="X69" s="136" t="n">
        <v>0.1</v>
      </c>
      <c r="Y69" s="136" t="n">
        <v>0.1</v>
      </c>
      <c r="Z69" s="136" t="n">
        <v>0.1</v>
      </c>
      <c r="AA69" s="136" t="n">
        <v>0.1</v>
      </c>
      <c r="AB69" s="136" t="n">
        <v>0.1</v>
      </c>
      <c r="AC69" s="137" t="n">
        <v>0.1</v>
      </c>
      <c r="AD69" s="138">
        <f>IFERROR(AVERAGEIF(Tabella01MarzoInverter[[#This Row],[Active power TX2-INV-1]:[Active power TX2-INV-12]], "&gt;0"), 0)</f>
        <v/>
      </c>
      <c r="AE69" s="136">
        <f>MAX(Tabella01MarzoInverter[[#This Row],[Active power TX2-INV-1]:[Active power TX2-INV-12]])</f>
        <v/>
      </c>
      <c r="AF69" s="139">
        <f>MIN(Tabella01MarzoInverter[[#This Row],[Active power TX2-INV-1]:[Active power TX2-INV-12]])</f>
        <v/>
      </c>
      <c r="AG69" s="140" t="n">
        <v>0.1</v>
      </c>
      <c r="AH69" s="136" t="n">
        <v>0.1</v>
      </c>
      <c r="AI69" s="136" t="n">
        <v>0.1</v>
      </c>
      <c r="AJ69" s="136" t="n">
        <v>0.1</v>
      </c>
      <c r="AK69" s="136" t="n">
        <v>0.1</v>
      </c>
      <c r="AL69" s="136" t="n">
        <v>0.1</v>
      </c>
      <c r="AM69" s="136" t="n">
        <v>0.1</v>
      </c>
      <c r="AN69" s="136" t="n">
        <v>0.1</v>
      </c>
      <c r="AO69" s="136" t="n">
        <v>0.1</v>
      </c>
      <c r="AP69" s="136" t="n">
        <v>0.1</v>
      </c>
      <c r="AQ69" s="136" t="n">
        <v>0.1</v>
      </c>
      <c r="AR69" s="137" t="n">
        <v>0.1</v>
      </c>
      <c r="AS69" s="138">
        <f>IFERROR(AVERAGEIF(Tabella01MarzoInverter[[#This Row],[Active power TX3-INV-1]:[Active power TX3-INV-12]], "&gt;0"), 0)</f>
        <v/>
      </c>
      <c r="AT69" s="136">
        <f>MAX(Tabella01MarzoInverter[[#This Row],[Active power TX3-INV-1]:[Active power TX3-INV-12]])</f>
        <v/>
      </c>
      <c r="AU69" s="139">
        <f>MIN(Tabella01MarzoInverter[[#This Row],[Active power TX3-INV-1]:[Active power TX3-INV-12]])</f>
        <v/>
      </c>
    </row>
    <row r="70">
      <c r="A70" s="135" t="n">
        <v>46143</v>
      </c>
      <c r="B70" s="45" t="inlineStr">
        <is>
          <t>13:45:00.000</t>
        </is>
      </c>
      <c r="C70" s="136" t="n">
        <v>0.1</v>
      </c>
      <c r="D70" s="136" t="n">
        <v>0.1</v>
      </c>
      <c r="E70" s="136" t="n">
        <v>0.1</v>
      </c>
      <c r="F70" s="136" t="n">
        <v>0.1</v>
      </c>
      <c r="G70" s="136" t="n">
        <v>0.1</v>
      </c>
      <c r="H70" s="136" t="n">
        <v>0.1</v>
      </c>
      <c r="I70" s="136" t="n">
        <v>0.1</v>
      </c>
      <c r="J70" s="136" t="n">
        <v>0.1</v>
      </c>
      <c r="K70" s="136" t="n">
        <v>0.1</v>
      </c>
      <c r="L70" s="136" t="n">
        <v>0.1</v>
      </c>
      <c r="M70" s="136" t="n">
        <v>0.1</v>
      </c>
      <c r="N70" s="137" t="n">
        <v>0.1</v>
      </c>
      <c r="O70" s="138">
        <f>IFERROR(AVERAGEIF(Tabella01MarzoInverter[[#This Row],[Active power TX1-INV-1]:[Active power TX1-INV-12]], "&gt;0"), 0)</f>
        <v/>
      </c>
      <c r="P70" s="136">
        <f>MAX(Tabella01MarzoInverter[[#This Row],[Active power TX1-INV-1]:[Active power TX1-INV-12]])</f>
        <v/>
      </c>
      <c r="Q70" s="139">
        <f>MIN(Tabella01MarzoInverter[[#This Row],[Active power TX1-INV-1]:[Active power TX1-INV-12]])</f>
        <v/>
      </c>
      <c r="R70" s="140" t="n">
        <v>0.1</v>
      </c>
      <c r="S70" s="136" t="n">
        <v>0.1</v>
      </c>
      <c r="T70" s="136" t="n">
        <v>0.1</v>
      </c>
      <c r="U70" s="136" t="n">
        <v>0.1</v>
      </c>
      <c r="V70" s="136" t="n">
        <v>0.1</v>
      </c>
      <c r="W70" s="136" t="n">
        <v>0.1</v>
      </c>
      <c r="X70" s="136" t="n">
        <v>0.1</v>
      </c>
      <c r="Y70" s="136" t="n">
        <v>0.1</v>
      </c>
      <c r="Z70" s="136" t="n">
        <v>0.1</v>
      </c>
      <c r="AA70" s="136" t="n">
        <v>0.1</v>
      </c>
      <c r="AB70" s="136" t="n">
        <v>0.1</v>
      </c>
      <c r="AC70" s="137" t="n">
        <v>0.1</v>
      </c>
      <c r="AD70" s="138">
        <f>IFERROR(AVERAGEIF(Tabella01MarzoInverter[[#This Row],[Active power TX2-INV-1]:[Active power TX2-INV-12]], "&gt;0"), 0)</f>
        <v/>
      </c>
      <c r="AE70" s="136">
        <f>MAX(Tabella01MarzoInverter[[#This Row],[Active power TX2-INV-1]:[Active power TX2-INV-12]])</f>
        <v/>
      </c>
      <c r="AF70" s="139">
        <f>MIN(Tabella01MarzoInverter[[#This Row],[Active power TX2-INV-1]:[Active power TX2-INV-12]])</f>
        <v/>
      </c>
      <c r="AG70" s="140" t="n">
        <v>0.1</v>
      </c>
      <c r="AH70" s="136" t="n">
        <v>0.1</v>
      </c>
      <c r="AI70" s="136" t="n">
        <v>0.1</v>
      </c>
      <c r="AJ70" s="136" t="n">
        <v>0.1</v>
      </c>
      <c r="AK70" s="136" t="n">
        <v>0.1</v>
      </c>
      <c r="AL70" s="136" t="n">
        <v>0.1</v>
      </c>
      <c r="AM70" s="136" t="n">
        <v>0.1</v>
      </c>
      <c r="AN70" s="136" t="n">
        <v>0.1</v>
      </c>
      <c r="AO70" s="136" t="n">
        <v>0.1</v>
      </c>
      <c r="AP70" s="136" t="n">
        <v>0.1</v>
      </c>
      <c r="AQ70" s="136" t="n">
        <v>0.1</v>
      </c>
      <c r="AR70" s="137" t="n">
        <v>0.1</v>
      </c>
      <c r="AS70" s="138">
        <f>IFERROR(AVERAGEIF(Tabella01MarzoInverter[[#This Row],[Active power TX3-INV-1]:[Active power TX3-INV-12]], "&gt;0"), 0)</f>
        <v/>
      </c>
      <c r="AT70" s="136">
        <f>MAX(Tabella01MarzoInverter[[#This Row],[Active power TX3-INV-1]:[Active power TX3-INV-12]])</f>
        <v/>
      </c>
      <c r="AU70" s="139">
        <f>MIN(Tabella01MarzoInverter[[#This Row],[Active power TX3-INV-1]:[Active power TX3-INV-12]])</f>
        <v/>
      </c>
    </row>
    <row r="71">
      <c r="A71" s="135" t="n">
        <v>46143</v>
      </c>
      <c r="B71" s="39" t="inlineStr">
        <is>
          <t>14:00:00.000</t>
        </is>
      </c>
      <c r="C71" s="136" t="n">
        <v>0.1</v>
      </c>
      <c r="D71" s="136" t="n">
        <v>0.1</v>
      </c>
      <c r="E71" s="136" t="n">
        <v>0.1</v>
      </c>
      <c r="F71" s="136" t="n">
        <v>0.1</v>
      </c>
      <c r="G71" s="136" t="n">
        <v>0.1</v>
      </c>
      <c r="H71" s="136" t="n">
        <v>0.1</v>
      </c>
      <c r="I71" s="136" t="n">
        <v>0.1</v>
      </c>
      <c r="J71" s="136" t="n">
        <v>0.1</v>
      </c>
      <c r="K71" s="136" t="n">
        <v>0.1</v>
      </c>
      <c r="L71" s="136" t="n">
        <v>0.1</v>
      </c>
      <c r="M71" s="136" t="n">
        <v>0.1</v>
      </c>
      <c r="N71" s="137" t="n">
        <v>0.1</v>
      </c>
      <c r="O71" s="138">
        <f>IFERROR(AVERAGEIF(Tabella01MarzoInverter[[#This Row],[Active power TX1-INV-1]:[Active power TX1-INV-12]], "&gt;0"), 0)</f>
        <v/>
      </c>
      <c r="P71" s="136">
        <f>MAX(Tabella01MarzoInverter[[#This Row],[Active power TX1-INV-1]:[Active power TX1-INV-12]])</f>
        <v/>
      </c>
      <c r="Q71" s="139">
        <f>MIN(Tabella01MarzoInverter[[#This Row],[Active power TX1-INV-1]:[Active power TX1-INV-12]])</f>
        <v/>
      </c>
      <c r="R71" s="140" t="n">
        <v>0.1</v>
      </c>
      <c r="S71" s="136" t="n">
        <v>0.1</v>
      </c>
      <c r="T71" s="136" t="n">
        <v>0.1</v>
      </c>
      <c r="U71" s="136" t="n">
        <v>0.1</v>
      </c>
      <c r="V71" s="136" t="n">
        <v>0.1</v>
      </c>
      <c r="W71" s="136" t="n">
        <v>0.1</v>
      </c>
      <c r="X71" s="136" t="n">
        <v>0.1</v>
      </c>
      <c r="Y71" s="136" t="n">
        <v>0.1</v>
      </c>
      <c r="Z71" s="136" t="n">
        <v>0.1</v>
      </c>
      <c r="AA71" s="136" t="n">
        <v>0.1</v>
      </c>
      <c r="AB71" s="136" t="n">
        <v>0.1</v>
      </c>
      <c r="AC71" s="137" t="n">
        <v>0.1</v>
      </c>
      <c r="AD71" s="138">
        <f>IFERROR(AVERAGEIF(Tabella01MarzoInverter[[#This Row],[Active power TX2-INV-1]:[Active power TX2-INV-12]], "&gt;0"), 0)</f>
        <v/>
      </c>
      <c r="AE71" s="136">
        <f>MAX(Tabella01MarzoInverter[[#This Row],[Active power TX2-INV-1]:[Active power TX2-INV-12]])</f>
        <v/>
      </c>
      <c r="AF71" s="139">
        <f>MIN(Tabella01MarzoInverter[[#This Row],[Active power TX2-INV-1]:[Active power TX2-INV-12]])</f>
        <v/>
      </c>
      <c r="AG71" s="140" t="n">
        <v>0.1</v>
      </c>
      <c r="AH71" s="136" t="n">
        <v>0.1</v>
      </c>
      <c r="AI71" s="136" t="n">
        <v>0.1</v>
      </c>
      <c r="AJ71" s="136" t="n">
        <v>0.1</v>
      </c>
      <c r="AK71" s="136" t="n">
        <v>0.1</v>
      </c>
      <c r="AL71" s="136" t="n">
        <v>0.1</v>
      </c>
      <c r="AM71" s="136" t="n">
        <v>0.1</v>
      </c>
      <c r="AN71" s="136" t="n">
        <v>0.1</v>
      </c>
      <c r="AO71" s="136" t="n">
        <v>0.1</v>
      </c>
      <c r="AP71" s="136" t="n">
        <v>0.1</v>
      </c>
      <c r="AQ71" s="136" t="n">
        <v>0.1</v>
      </c>
      <c r="AR71" s="137" t="n">
        <v>0.1</v>
      </c>
      <c r="AS71" s="138">
        <f>IFERROR(AVERAGEIF(Tabella01MarzoInverter[[#This Row],[Active power TX3-INV-1]:[Active power TX3-INV-12]], "&gt;0"), 0)</f>
        <v/>
      </c>
      <c r="AT71" s="136">
        <f>MAX(Tabella01MarzoInverter[[#This Row],[Active power TX3-INV-1]:[Active power TX3-INV-12]])</f>
        <v/>
      </c>
      <c r="AU71" s="139">
        <f>MIN(Tabella01MarzoInverter[[#This Row],[Active power TX3-INV-1]:[Active power TX3-INV-12]])</f>
        <v/>
      </c>
    </row>
    <row r="72">
      <c r="A72" s="135" t="n">
        <v>46143</v>
      </c>
      <c r="B72" s="45" t="inlineStr">
        <is>
          <t>14:15:00.000</t>
        </is>
      </c>
      <c r="C72" s="136" t="n">
        <v>0.1</v>
      </c>
      <c r="D72" s="136" t="n">
        <v>0.1</v>
      </c>
      <c r="E72" s="136" t="n">
        <v>0.1</v>
      </c>
      <c r="F72" s="136" t="n">
        <v>0.1</v>
      </c>
      <c r="G72" s="136" t="n">
        <v>0.1</v>
      </c>
      <c r="H72" s="136" t="n">
        <v>0.1</v>
      </c>
      <c r="I72" s="136" t="n">
        <v>0.1</v>
      </c>
      <c r="J72" s="136" t="n">
        <v>0.1</v>
      </c>
      <c r="K72" s="136" t="n">
        <v>0.1</v>
      </c>
      <c r="L72" s="136" t="n">
        <v>0.1</v>
      </c>
      <c r="M72" s="136" t="n">
        <v>0.1</v>
      </c>
      <c r="N72" s="137" t="n">
        <v>0.1</v>
      </c>
      <c r="O72" s="138">
        <f>IFERROR(AVERAGEIF(Tabella01MarzoInverter[[#This Row],[Active power TX1-INV-1]:[Active power TX1-INV-12]], "&gt;0"), 0)</f>
        <v/>
      </c>
      <c r="P72" s="136">
        <f>MAX(Tabella01MarzoInverter[[#This Row],[Active power TX1-INV-1]:[Active power TX1-INV-12]])</f>
        <v/>
      </c>
      <c r="Q72" s="139">
        <f>MIN(Tabella01MarzoInverter[[#This Row],[Active power TX1-INV-1]:[Active power TX1-INV-12]])</f>
        <v/>
      </c>
      <c r="R72" s="140" t="n">
        <v>0.1</v>
      </c>
      <c r="S72" s="136" t="n">
        <v>0.1</v>
      </c>
      <c r="T72" s="136" t="n">
        <v>0.1</v>
      </c>
      <c r="U72" s="136" t="n">
        <v>0.1</v>
      </c>
      <c r="V72" s="136" t="n">
        <v>0.1</v>
      </c>
      <c r="W72" s="136" t="n">
        <v>0.1</v>
      </c>
      <c r="X72" s="136" t="n">
        <v>0.1</v>
      </c>
      <c r="Y72" s="136" t="n">
        <v>0.1</v>
      </c>
      <c r="Z72" s="136" t="n">
        <v>0.1</v>
      </c>
      <c r="AA72" s="136" t="n">
        <v>0.1</v>
      </c>
      <c r="AB72" s="136" t="n">
        <v>0.1</v>
      </c>
      <c r="AC72" s="137" t="n">
        <v>0.1</v>
      </c>
      <c r="AD72" s="138">
        <f>IFERROR(AVERAGEIF(Tabella01MarzoInverter[[#This Row],[Active power TX2-INV-1]:[Active power TX2-INV-12]], "&gt;0"), 0)</f>
        <v/>
      </c>
      <c r="AE72" s="136">
        <f>MAX(Tabella01MarzoInverter[[#This Row],[Active power TX2-INV-1]:[Active power TX2-INV-12]])</f>
        <v/>
      </c>
      <c r="AF72" s="139">
        <f>MIN(Tabella01MarzoInverter[[#This Row],[Active power TX2-INV-1]:[Active power TX2-INV-12]])</f>
        <v/>
      </c>
      <c r="AG72" s="140" t="n">
        <v>0.1</v>
      </c>
      <c r="AH72" s="136" t="n">
        <v>0.1</v>
      </c>
      <c r="AI72" s="136" t="n">
        <v>0.1</v>
      </c>
      <c r="AJ72" s="136" t="n">
        <v>0.1</v>
      </c>
      <c r="AK72" s="136" t="n">
        <v>0.1</v>
      </c>
      <c r="AL72" s="136" t="n">
        <v>0.1</v>
      </c>
      <c r="AM72" s="136" t="n">
        <v>0.1</v>
      </c>
      <c r="AN72" s="136" t="n">
        <v>0.1</v>
      </c>
      <c r="AO72" s="136" t="n">
        <v>0.1</v>
      </c>
      <c r="AP72" s="136" t="n">
        <v>0.1</v>
      </c>
      <c r="AQ72" s="136" t="n">
        <v>0.1</v>
      </c>
      <c r="AR72" s="137" t="n">
        <v>0.1</v>
      </c>
      <c r="AS72" s="138">
        <f>IFERROR(AVERAGEIF(Tabella01MarzoInverter[[#This Row],[Active power TX3-INV-1]:[Active power TX3-INV-12]], "&gt;0"), 0)</f>
        <v/>
      </c>
      <c r="AT72" s="136">
        <f>MAX(Tabella01MarzoInverter[[#This Row],[Active power TX3-INV-1]:[Active power TX3-INV-12]])</f>
        <v/>
      </c>
      <c r="AU72" s="139">
        <f>MIN(Tabella01MarzoInverter[[#This Row],[Active power TX3-INV-1]:[Active power TX3-INV-12]])</f>
        <v/>
      </c>
    </row>
    <row r="73">
      <c r="A73" s="135" t="n">
        <v>46143</v>
      </c>
      <c r="B73" s="39" t="inlineStr">
        <is>
          <t>14:30:00.000</t>
        </is>
      </c>
      <c r="C73" s="136" t="n">
        <v>0.1</v>
      </c>
      <c r="D73" s="136" t="n">
        <v>0.1</v>
      </c>
      <c r="E73" s="136" t="n">
        <v>0.1</v>
      </c>
      <c r="F73" s="136" t="n">
        <v>0.1</v>
      </c>
      <c r="G73" s="136" t="n">
        <v>0.1</v>
      </c>
      <c r="H73" s="136" t="n">
        <v>0.1</v>
      </c>
      <c r="I73" s="136" t="n">
        <v>0.1</v>
      </c>
      <c r="J73" s="136" t="n">
        <v>0.1</v>
      </c>
      <c r="K73" s="136" t="n">
        <v>0.1</v>
      </c>
      <c r="L73" s="136" t="n">
        <v>0.1</v>
      </c>
      <c r="M73" s="136" t="n">
        <v>0.1</v>
      </c>
      <c r="N73" s="137" t="n">
        <v>0.1</v>
      </c>
      <c r="O73" s="138">
        <f>IFERROR(AVERAGEIF(Tabella01MarzoInverter[[#This Row],[Active power TX1-INV-1]:[Active power TX1-INV-12]], "&gt;0"), 0)</f>
        <v/>
      </c>
      <c r="P73" s="136">
        <f>MAX(Tabella01MarzoInverter[[#This Row],[Active power TX1-INV-1]:[Active power TX1-INV-12]])</f>
        <v/>
      </c>
      <c r="Q73" s="139">
        <f>MIN(Tabella01MarzoInverter[[#This Row],[Active power TX1-INV-1]:[Active power TX1-INV-12]])</f>
        <v/>
      </c>
      <c r="R73" s="140" t="n">
        <v>0.1</v>
      </c>
      <c r="S73" s="136" t="n">
        <v>0.1</v>
      </c>
      <c r="T73" s="136" t="n">
        <v>0.1</v>
      </c>
      <c r="U73" s="136" t="n">
        <v>0.1</v>
      </c>
      <c r="V73" s="136" t="n">
        <v>0.1</v>
      </c>
      <c r="W73" s="136" t="n">
        <v>0.1</v>
      </c>
      <c r="X73" s="136" t="n">
        <v>0.1</v>
      </c>
      <c r="Y73" s="136" t="n">
        <v>0.1</v>
      </c>
      <c r="Z73" s="136" t="n">
        <v>0.1</v>
      </c>
      <c r="AA73" s="136" t="n">
        <v>0.1</v>
      </c>
      <c r="AB73" s="136" t="n">
        <v>0.1</v>
      </c>
      <c r="AC73" s="137" t="n">
        <v>0.1</v>
      </c>
      <c r="AD73" s="138">
        <f>IFERROR(AVERAGEIF(Tabella01MarzoInverter[[#This Row],[Active power TX2-INV-1]:[Active power TX2-INV-12]], "&gt;0"), 0)</f>
        <v/>
      </c>
      <c r="AE73" s="136">
        <f>MAX(Tabella01MarzoInverter[[#This Row],[Active power TX2-INV-1]:[Active power TX2-INV-12]])</f>
        <v/>
      </c>
      <c r="AF73" s="139">
        <f>MIN(Tabella01MarzoInverter[[#This Row],[Active power TX2-INV-1]:[Active power TX2-INV-12]])</f>
        <v/>
      </c>
      <c r="AG73" s="140" t="n">
        <v>0.1</v>
      </c>
      <c r="AH73" s="136" t="n">
        <v>0.1</v>
      </c>
      <c r="AI73" s="136" t="n">
        <v>0.1</v>
      </c>
      <c r="AJ73" s="136" t="n">
        <v>0.1</v>
      </c>
      <c r="AK73" s="136" t="n">
        <v>0.1</v>
      </c>
      <c r="AL73" s="136" t="n">
        <v>0.1</v>
      </c>
      <c r="AM73" s="136" t="n">
        <v>0.1</v>
      </c>
      <c r="AN73" s="136" t="n">
        <v>0.1</v>
      </c>
      <c r="AO73" s="136" t="n">
        <v>0.1</v>
      </c>
      <c r="AP73" s="136" t="n">
        <v>0.1</v>
      </c>
      <c r="AQ73" s="136" t="n">
        <v>0.1</v>
      </c>
      <c r="AR73" s="137" t="n">
        <v>0.1</v>
      </c>
      <c r="AS73" s="138">
        <f>IFERROR(AVERAGEIF(Tabella01MarzoInverter[[#This Row],[Active power TX3-INV-1]:[Active power TX3-INV-12]], "&gt;0"), 0)</f>
        <v/>
      </c>
      <c r="AT73" s="136">
        <f>MAX(Tabella01MarzoInverter[[#This Row],[Active power TX3-INV-1]:[Active power TX3-INV-12]])</f>
        <v/>
      </c>
      <c r="AU73" s="139">
        <f>MIN(Tabella01MarzoInverter[[#This Row],[Active power TX3-INV-1]:[Active power TX3-INV-12]])</f>
        <v/>
      </c>
    </row>
    <row r="74">
      <c r="A74" s="135" t="n">
        <v>46143</v>
      </c>
      <c r="B74" s="45" t="inlineStr">
        <is>
          <t>14:45:00.000</t>
        </is>
      </c>
      <c r="C74" s="136" t="n">
        <v>0.1</v>
      </c>
      <c r="D74" s="136" t="n">
        <v>0.1</v>
      </c>
      <c r="E74" s="136" t="n">
        <v>0.1</v>
      </c>
      <c r="F74" s="136" t="n">
        <v>0.1</v>
      </c>
      <c r="G74" s="136" t="n">
        <v>0.1</v>
      </c>
      <c r="H74" s="136" t="n">
        <v>0.1</v>
      </c>
      <c r="I74" s="136" t="n">
        <v>0.1</v>
      </c>
      <c r="J74" s="136" t="n">
        <v>0.1</v>
      </c>
      <c r="K74" s="136" t="n">
        <v>0.1</v>
      </c>
      <c r="L74" s="136" t="n">
        <v>0.1</v>
      </c>
      <c r="M74" s="136" t="n">
        <v>0.1</v>
      </c>
      <c r="N74" s="137" t="n">
        <v>0.1</v>
      </c>
      <c r="O74" s="138">
        <f>IFERROR(AVERAGEIF(Tabella01MarzoInverter[[#This Row],[Active power TX1-INV-1]:[Active power TX1-INV-12]], "&gt;0"), 0)</f>
        <v/>
      </c>
      <c r="P74" s="136">
        <f>MAX(Tabella01MarzoInverter[[#This Row],[Active power TX1-INV-1]:[Active power TX1-INV-12]])</f>
        <v/>
      </c>
      <c r="Q74" s="139">
        <f>MIN(Tabella01MarzoInverter[[#This Row],[Active power TX1-INV-1]:[Active power TX1-INV-12]])</f>
        <v/>
      </c>
      <c r="R74" s="140" t="n">
        <v>0.1</v>
      </c>
      <c r="S74" s="136" t="n">
        <v>0.1</v>
      </c>
      <c r="T74" s="136" t="n">
        <v>0.1</v>
      </c>
      <c r="U74" s="136" t="n">
        <v>0.1</v>
      </c>
      <c r="V74" s="136" t="n">
        <v>0.1</v>
      </c>
      <c r="W74" s="136" t="n">
        <v>0.1</v>
      </c>
      <c r="X74" s="136" t="n">
        <v>0.1</v>
      </c>
      <c r="Y74" s="136" t="n">
        <v>0.1</v>
      </c>
      <c r="Z74" s="136" t="n">
        <v>0.1</v>
      </c>
      <c r="AA74" s="136" t="n">
        <v>0.1</v>
      </c>
      <c r="AB74" s="136" t="n">
        <v>0.1</v>
      </c>
      <c r="AC74" s="137" t="n">
        <v>0.1</v>
      </c>
      <c r="AD74" s="138">
        <f>IFERROR(AVERAGEIF(Tabella01MarzoInverter[[#This Row],[Active power TX2-INV-1]:[Active power TX2-INV-12]], "&gt;0"), 0)</f>
        <v/>
      </c>
      <c r="AE74" s="136">
        <f>MAX(Tabella01MarzoInverter[[#This Row],[Active power TX2-INV-1]:[Active power TX2-INV-12]])</f>
        <v/>
      </c>
      <c r="AF74" s="139">
        <f>MIN(Tabella01MarzoInverter[[#This Row],[Active power TX2-INV-1]:[Active power TX2-INV-12]])</f>
        <v/>
      </c>
      <c r="AG74" s="140" t="n">
        <v>0.1</v>
      </c>
      <c r="AH74" s="136" t="n">
        <v>0.1</v>
      </c>
      <c r="AI74" s="136" t="n">
        <v>0.1</v>
      </c>
      <c r="AJ74" s="136" t="n">
        <v>0.1</v>
      </c>
      <c r="AK74" s="136" t="n">
        <v>0.1</v>
      </c>
      <c r="AL74" s="136" t="n">
        <v>0.1</v>
      </c>
      <c r="AM74" s="136" t="n">
        <v>0.1</v>
      </c>
      <c r="AN74" s="136" t="n">
        <v>0.1</v>
      </c>
      <c r="AO74" s="136" t="n">
        <v>0.1</v>
      </c>
      <c r="AP74" s="136" t="n">
        <v>0.1</v>
      </c>
      <c r="AQ74" s="136" t="n">
        <v>0.1</v>
      </c>
      <c r="AR74" s="137" t="n">
        <v>0.1</v>
      </c>
      <c r="AS74" s="138">
        <f>IFERROR(AVERAGEIF(Tabella01MarzoInverter[[#This Row],[Active power TX3-INV-1]:[Active power TX3-INV-12]], "&gt;0"), 0)</f>
        <v/>
      </c>
      <c r="AT74" s="136">
        <f>MAX(Tabella01MarzoInverter[[#This Row],[Active power TX3-INV-1]:[Active power TX3-INV-12]])</f>
        <v/>
      </c>
      <c r="AU74" s="139">
        <f>MIN(Tabella01MarzoInverter[[#This Row],[Active power TX3-INV-1]:[Active power TX3-INV-12]])</f>
        <v/>
      </c>
    </row>
    <row r="75">
      <c r="A75" s="135" t="n">
        <v>46143</v>
      </c>
      <c r="B75" s="39" t="inlineStr">
        <is>
          <t>15:00:00.000</t>
        </is>
      </c>
      <c r="C75" s="136" t="n">
        <v>0.1</v>
      </c>
      <c r="D75" s="136" t="n">
        <v>0.1</v>
      </c>
      <c r="E75" s="136" t="n">
        <v>0.1</v>
      </c>
      <c r="F75" s="136" t="n">
        <v>0.1</v>
      </c>
      <c r="G75" s="136" t="n">
        <v>0.1</v>
      </c>
      <c r="H75" s="136" t="n">
        <v>0.1</v>
      </c>
      <c r="I75" s="136" t="n">
        <v>0.1</v>
      </c>
      <c r="J75" s="136" t="n">
        <v>0.1</v>
      </c>
      <c r="K75" s="136" t="n">
        <v>0.1</v>
      </c>
      <c r="L75" s="136" t="n">
        <v>0.1</v>
      </c>
      <c r="M75" s="136" t="n">
        <v>0.1</v>
      </c>
      <c r="N75" s="137" t="n">
        <v>0.1</v>
      </c>
      <c r="O75" s="138">
        <f>IFERROR(AVERAGEIF(Tabella01MarzoInverter[[#This Row],[Active power TX1-INV-1]:[Active power TX1-INV-12]], "&gt;0"), 0)</f>
        <v/>
      </c>
      <c r="P75" s="136">
        <f>MAX(Tabella01MarzoInverter[[#This Row],[Active power TX1-INV-1]:[Active power TX1-INV-12]])</f>
        <v/>
      </c>
      <c r="Q75" s="139">
        <f>MIN(Tabella01MarzoInverter[[#This Row],[Active power TX1-INV-1]:[Active power TX1-INV-12]])</f>
        <v/>
      </c>
      <c r="R75" s="140" t="n">
        <v>0.1</v>
      </c>
      <c r="S75" s="136" t="n">
        <v>0.1</v>
      </c>
      <c r="T75" s="136" t="n">
        <v>0.1</v>
      </c>
      <c r="U75" s="136" t="n">
        <v>0.1</v>
      </c>
      <c r="V75" s="136" t="n">
        <v>0.1</v>
      </c>
      <c r="W75" s="136" t="n">
        <v>0.1</v>
      </c>
      <c r="X75" s="136" t="n">
        <v>0.1</v>
      </c>
      <c r="Y75" s="136" t="n">
        <v>0.1</v>
      </c>
      <c r="Z75" s="136" t="n">
        <v>0.1</v>
      </c>
      <c r="AA75" s="136" t="n">
        <v>0.1</v>
      </c>
      <c r="AB75" s="136" t="n">
        <v>0.1</v>
      </c>
      <c r="AC75" s="137" t="n">
        <v>0.1</v>
      </c>
      <c r="AD75" s="138">
        <f>IFERROR(AVERAGEIF(Tabella01MarzoInverter[[#This Row],[Active power TX2-INV-1]:[Active power TX2-INV-12]], "&gt;0"), 0)</f>
        <v/>
      </c>
      <c r="AE75" s="136">
        <f>MAX(Tabella01MarzoInverter[[#This Row],[Active power TX2-INV-1]:[Active power TX2-INV-12]])</f>
        <v/>
      </c>
      <c r="AF75" s="139">
        <f>MIN(Tabella01MarzoInverter[[#This Row],[Active power TX2-INV-1]:[Active power TX2-INV-12]])</f>
        <v/>
      </c>
      <c r="AG75" s="140" t="n">
        <v>0.1</v>
      </c>
      <c r="AH75" s="136" t="n">
        <v>0.1</v>
      </c>
      <c r="AI75" s="136" t="n">
        <v>0.1</v>
      </c>
      <c r="AJ75" s="136" t="n">
        <v>0.1</v>
      </c>
      <c r="AK75" s="136" t="n">
        <v>0.1</v>
      </c>
      <c r="AL75" s="136" t="n">
        <v>0.1</v>
      </c>
      <c r="AM75" s="136" t="n">
        <v>0.1</v>
      </c>
      <c r="AN75" s="136" t="n">
        <v>0.1</v>
      </c>
      <c r="AO75" s="136" t="n">
        <v>0.1</v>
      </c>
      <c r="AP75" s="136" t="n">
        <v>0.1</v>
      </c>
      <c r="AQ75" s="136" t="n">
        <v>0.1</v>
      </c>
      <c r="AR75" s="137" t="n">
        <v>0.1</v>
      </c>
      <c r="AS75" s="138">
        <f>IFERROR(AVERAGEIF(Tabella01MarzoInverter[[#This Row],[Active power TX3-INV-1]:[Active power TX3-INV-12]], "&gt;0"), 0)</f>
        <v/>
      </c>
      <c r="AT75" s="136">
        <f>MAX(Tabella01MarzoInverter[[#This Row],[Active power TX3-INV-1]:[Active power TX3-INV-12]])</f>
        <v/>
      </c>
      <c r="AU75" s="139">
        <f>MIN(Tabella01MarzoInverter[[#This Row],[Active power TX3-INV-1]:[Active power TX3-INV-12]])</f>
        <v/>
      </c>
    </row>
    <row r="76">
      <c r="A76" s="135" t="n">
        <v>46143</v>
      </c>
      <c r="B76" s="45" t="inlineStr">
        <is>
          <t>15:15:00.000</t>
        </is>
      </c>
      <c r="C76" s="136" t="n">
        <v>0.1</v>
      </c>
      <c r="D76" s="136" t="n">
        <v>0.1</v>
      </c>
      <c r="E76" s="136" t="n">
        <v>0.1</v>
      </c>
      <c r="F76" s="136" t="n">
        <v>0.1</v>
      </c>
      <c r="G76" s="136" t="n">
        <v>0.1</v>
      </c>
      <c r="H76" s="136" t="n">
        <v>0.1</v>
      </c>
      <c r="I76" s="136" t="n">
        <v>0.1</v>
      </c>
      <c r="J76" s="136" t="n">
        <v>0.1</v>
      </c>
      <c r="K76" s="136" t="n">
        <v>0.1</v>
      </c>
      <c r="L76" s="136" t="n">
        <v>0.1</v>
      </c>
      <c r="M76" s="136" t="n">
        <v>0.1</v>
      </c>
      <c r="N76" s="137" t="n">
        <v>0.1</v>
      </c>
      <c r="O76" s="138">
        <f>IFERROR(AVERAGEIF(Tabella01MarzoInverter[[#This Row],[Active power TX1-INV-1]:[Active power TX1-INV-12]], "&gt;0"), 0)</f>
        <v/>
      </c>
      <c r="P76" s="136">
        <f>MAX(Tabella01MarzoInverter[[#This Row],[Active power TX1-INV-1]:[Active power TX1-INV-12]])</f>
        <v/>
      </c>
      <c r="Q76" s="139">
        <f>MIN(Tabella01MarzoInverter[[#This Row],[Active power TX1-INV-1]:[Active power TX1-INV-12]])</f>
        <v/>
      </c>
      <c r="R76" s="140" t="n">
        <v>0.1</v>
      </c>
      <c r="S76" s="136" t="n">
        <v>0.1</v>
      </c>
      <c r="T76" s="136" t="n">
        <v>0.1</v>
      </c>
      <c r="U76" s="136" t="n">
        <v>0.1</v>
      </c>
      <c r="V76" s="136" t="n">
        <v>0.1</v>
      </c>
      <c r="W76" s="136" t="n">
        <v>0.1</v>
      </c>
      <c r="X76" s="136" t="n">
        <v>0.1</v>
      </c>
      <c r="Y76" s="136" t="n">
        <v>0.1</v>
      </c>
      <c r="Z76" s="136" t="n">
        <v>0.1</v>
      </c>
      <c r="AA76" s="136" t="n">
        <v>0.1</v>
      </c>
      <c r="AB76" s="136" t="n">
        <v>0.1</v>
      </c>
      <c r="AC76" s="137" t="n">
        <v>0.1</v>
      </c>
      <c r="AD76" s="138">
        <f>IFERROR(AVERAGEIF(Tabella01MarzoInverter[[#This Row],[Active power TX2-INV-1]:[Active power TX2-INV-12]], "&gt;0"), 0)</f>
        <v/>
      </c>
      <c r="AE76" s="136">
        <f>MAX(Tabella01MarzoInverter[[#This Row],[Active power TX2-INV-1]:[Active power TX2-INV-12]])</f>
        <v/>
      </c>
      <c r="AF76" s="139">
        <f>MIN(Tabella01MarzoInverter[[#This Row],[Active power TX2-INV-1]:[Active power TX2-INV-12]])</f>
        <v/>
      </c>
      <c r="AG76" s="140" t="n">
        <v>0.1</v>
      </c>
      <c r="AH76" s="136" t="n">
        <v>0.1</v>
      </c>
      <c r="AI76" s="136" t="n">
        <v>0.1</v>
      </c>
      <c r="AJ76" s="136" t="n">
        <v>0.1</v>
      </c>
      <c r="AK76" s="136" t="n">
        <v>0.1</v>
      </c>
      <c r="AL76" s="136" t="n">
        <v>0.1</v>
      </c>
      <c r="AM76" s="136" t="n">
        <v>0.1</v>
      </c>
      <c r="AN76" s="136" t="n">
        <v>0.1</v>
      </c>
      <c r="AO76" s="136" t="n">
        <v>0.1</v>
      </c>
      <c r="AP76" s="136" t="n">
        <v>0.1</v>
      </c>
      <c r="AQ76" s="136" t="n">
        <v>0.1</v>
      </c>
      <c r="AR76" s="137" t="n">
        <v>0.1</v>
      </c>
      <c r="AS76" s="138">
        <f>IFERROR(AVERAGEIF(Tabella01MarzoInverter[[#This Row],[Active power TX3-INV-1]:[Active power TX3-INV-12]], "&gt;0"), 0)</f>
        <v/>
      </c>
      <c r="AT76" s="136">
        <f>MAX(Tabella01MarzoInverter[[#This Row],[Active power TX3-INV-1]:[Active power TX3-INV-12]])</f>
        <v/>
      </c>
      <c r="AU76" s="139">
        <f>MIN(Tabella01MarzoInverter[[#This Row],[Active power TX3-INV-1]:[Active power TX3-INV-12]])</f>
        <v/>
      </c>
    </row>
    <row r="77">
      <c r="A77" s="135" t="n">
        <v>46143</v>
      </c>
      <c r="B77" s="39" t="inlineStr">
        <is>
          <t>15:30:00.000</t>
        </is>
      </c>
      <c r="C77" s="136" t="n">
        <v>0.1</v>
      </c>
      <c r="D77" s="136" t="n">
        <v>0.1</v>
      </c>
      <c r="E77" s="136" t="n">
        <v>0.1</v>
      </c>
      <c r="F77" s="136" t="n">
        <v>0.1</v>
      </c>
      <c r="G77" s="136" t="n">
        <v>0.1</v>
      </c>
      <c r="H77" s="136" t="n">
        <v>0.1</v>
      </c>
      <c r="I77" s="136" t="n">
        <v>0.1</v>
      </c>
      <c r="J77" s="136" t="n">
        <v>0.1</v>
      </c>
      <c r="K77" s="136" t="n">
        <v>0.1</v>
      </c>
      <c r="L77" s="136" t="n">
        <v>0.1</v>
      </c>
      <c r="M77" s="136" t="n">
        <v>0.1</v>
      </c>
      <c r="N77" s="137" t="n">
        <v>0.1</v>
      </c>
      <c r="O77" s="138">
        <f>IFERROR(AVERAGEIF(Tabella01MarzoInverter[[#This Row],[Active power TX1-INV-1]:[Active power TX1-INV-12]], "&gt;0"), 0)</f>
        <v/>
      </c>
      <c r="P77" s="136">
        <f>MAX(Tabella01MarzoInverter[[#This Row],[Active power TX1-INV-1]:[Active power TX1-INV-12]])</f>
        <v/>
      </c>
      <c r="Q77" s="139">
        <f>MIN(Tabella01MarzoInverter[[#This Row],[Active power TX1-INV-1]:[Active power TX1-INV-12]])</f>
        <v/>
      </c>
      <c r="R77" s="140" t="n">
        <v>0.1</v>
      </c>
      <c r="S77" s="136" t="n">
        <v>0.1</v>
      </c>
      <c r="T77" s="136" t="n">
        <v>0.1</v>
      </c>
      <c r="U77" s="136" t="n">
        <v>0.1</v>
      </c>
      <c r="V77" s="136" t="n">
        <v>0.1</v>
      </c>
      <c r="W77" s="136" t="n">
        <v>0.1</v>
      </c>
      <c r="X77" s="136" t="n">
        <v>0.1</v>
      </c>
      <c r="Y77" s="136" t="n">
        <v>0.1</v>
      </c>
      <c r="Z77" s="136" t="n">
        <v>0.1</v>
      </c>
      <c r="AA77" s="136" t="n">
        <v>0.1</v>
      </c>
      <c r="AB77" s="136" t="n">
        <v>0.1</v>
      </c>
      <c r="AC77" s="137" t="n">
        <v>0.1</v>
      </c>
      <c r="AD77" s="138">
        <f>IFERROR(AVERAGEIF(Tabella01MarzoInverter[[#This Row],[Active power TX2-INV-1]:[Active power TX2-INV-12]], "&gt;0"), 0)</f>
        <v/>
      </c>
      <c r="AE77" s="136">
        <f>MAX(Tabella01MarzoInverter[[#This Row],[Active power TX2-INV-1]:[Active power TX2-INV-12]])</f>
        <v/>
      </c>
      <c r="AF77" s="139">
        <f>MIN(Tabella01MarzoInverter[[#This Row],[Active power TX2-INV-1]:[Active power TX2-INV-12]])</f>
        <v/>
      </c>
      <c r="AG77" s="140" t="n">
        <v>0.1</v>
      </c>
      <c r="AH77" s="136" t="n">
        <v>0.1</v>
      </c>
      <c r="AI77" s="136" t="n">
        <v>0.1</v>
      </c>
      <c r="AJ77" s="136" t="n">
        <v>0.1</v>
      </c>
      <c r="AK77" s="136" t="n">
        <v>0.1</v>
      </c>
      <c r="AL77" s="136" t="n">
        <v>0.1</v>
      </c>
      <c r="AM77" s="136" t="n">
        <v>0.1</v>
      </c>
      <c r="AN77" s="136" t="n">
        <v>0.1</v>
      </c>
      <c r="AO77" s="136" t="n">
        <v>0.1</v>
      </c>
      <c r="AP77" s="136" t="n">
        <v>0.1</v>
      </c>
      <c r="AQ77" s="136" t="n">
        <v>0.1</v>
      </c>
      <c r="AR77" s="137" t="n">
        <v>0.1</v>
      </c>
      <c r="AS77" s="138">
        <f>IFERROR(AVERAGEIF(Tabella01MarzoInverter[[#This Row],[Active power TX3-INV-1]:[Active power TX3-INV-12]], "&gt;0"), 0)</f>
        <v/>
      </c>
      <c r="AT77" s="136">
        <f>MAX(Tabella01MarzoInverter[[#This Row],[Active power TX3-INV-1]:[Active power TX3-INV-12]])</f>
        <v/>
      </c>
      <c r="AU77" s="139">
        <f>MIN(Tabella01MarzoInverter[[#This Row],[Active power TX3-INV-1]:[Active power TX3-INV-12]])</f>
        <v/>
      </c>
    </row>
    <row r="78">
      <c r="A78" s="135" t="n">
        <v>46143</v>
      </c>
      <c r="B78" s="45" t="inlineStr">
        <is>
          <t>15:45:00.000</t>
        </is>
      </c>
      <c r="C78" s="136" t="n">
        <v>0.1</v>
      </c>
      <c r="D78" s="136" t="n">
        <v>0.1</v>
      </c>
      <c r="E78" s="136" t="n">
        <v>0.1</v>
      </c>
      <c r="F78" s="136" t="n">
        <v>0.1</v>
      </c>
      <c r="G78" s="136" t="n">
        <v>0.1</v>
      </c>
      <c r="H78" s="136" t="n">
        <v>0.1</v>
      </c>
      <c r="I78" s="136" t="n">
        <v>0.1</v>
      </c>
      <c r="J78" s="136" t="n">
        <v>0.1</v>
      </c>
      <c r="K78" s="136" t="n">
        <v>0.1</v>
      </c>
      <c r="L78" s="136" t="n">
        <v>0.1</v>
      </c>
      <c r="M78" s="136" t="n">
        <v>0.1</v>
      </c>
      <c r="N78" s="137" t="n">
        <v>0.1</v>
      </c>
      <c r="O78" s="138">
        <f>IFERROR(AVERAGEIF(Tabella01MarzoInverter[[#This Row],[Active power TX1-INV-1]:[Active power TX1-INV-12]], "&gt;0"), 0)</f>
        <v/>
      </c>
      <c r="P78" s="136">
        <f>MAX(Tabella01MarzoInverter[[#This Row],[Active power TX1-INV-1]:[Active power TX1-INV-12]])</f>
        <v/>
      </c>
      <c r="Q78" s="139">
        <f>MIN(Tabella01MarzoInverter[[#This Row],[Active power TX1-INV-1]:[Active power TX1-INV-12]])</f>
        <v/>
      </c>
      <c r="R78" s="140" t="n">
        <v>0.1</v>
      </c>
      <c r="S78" s="136" t="n">
        <v>0.1</v>
      </c>
      <c r="T78" s="136" t="n">
        <v>0.1</v>
      </c>
      <c r="U78" s="136" t="n">
        <v>0.1</v>
      </c>
      <c r="V78" s="136" t="n">
        <v>0.1</v>
      </c>
      <c r="W78" s="136" t="n">
        <v>0.1</v>
      </c>
      <c r="X78" s="136" t="n">
        <v>0.1</v>
      </c>
      <c r="Y78" s="136" t="n">
        <v>0.1</v>
      </c>
      <c r="Z78" s="136" t="n">
        <v>0.1</v>
      </c>
      <c r="AA78" s="136" t="n">
        <v>0.1</v>
      </c>
      <c r="AB78" s="136" t="n">
        <v>0.1</v>
      </c>
      <c r="AC78" s="137" t="n">
        <v>0.1</v>
      </c>
      <c r="AD78" s="138">
        <f>IFERROR(AVERAGEIF(Tabella01MarzoInverter[[#This Row],[Active power TX2-INV-1]:[Active power TX2-INV-12]], "&gt;0"), 0)</f>
        <v/>
      </c>
      <c r="AE78" s="136">
        <f>MAX(Tabella01MarzoInverter[[#This Row],[Active power TX2-INV-1]:[Active power TX2-INV-12]])</f>
        <v/>
      </c>
      <c r="AF78" s="139">
        <f>MIN(Tabella01MarzoInverter[[#This Row],[Active power TX2-INV-1]:[Active power TX2-INV-12]])</f>
        <v/>
      </c>
      <c r="AG78" s="140" t="n">
        <v>0.1</v>
      </c>
      <c r="AH78" s="136" t="n">
        <v>0.1</v>
      </c>
      <c r="AI78" s="136" t="n">
        <v>0.1</v>
      </c>
      <c r="AJ78" s="136" t="n">
        <v>0.1</v>
      </c>
      <c r="AK78" s="136" t="n">
        <v>0.1</v>
      </c>
      <c r="AL78" s="136" t="n">
        <v>0.1</v>
      </c>
      <c r="AM78" s="136" t="n">
        <v>0.1</v>
      </c>
      <c r="AN78" s="136" t="n">
        <v>0.1</v>
      </c>
      <c r="AO78" s="136" t="n">
        <v>0.1</v>
      </c>
      <c r="AP78" s="136" t="n">
        <v>0.1</v>
      </c>
      <c r="AQ78" s="136" t="n">
        <v>0.1</v>
      </c>
      <c r="AR78" s="137" t="n">
        <v>0.1</v>
      </c>
      <c r="AS78" s="138">
        <f>IFERROR(AVERAGEIF(Tabella01MarzoInverter[[#This Row],[Active power TX3-INV-1]:[Active power TX3-INV-12]], "&gt;0"), 0)</f>
        <v/>
      </c>
      <c r="AT78" s="136">
        <f>MAX(Tabella01MarzoInverter[[#This Row],[Active power TX3-INV-1]:[Active power TX3-INV-12]])</f>
        <v/>
      </c>
      <c r="AU78" s="139">
        <f>MIN(Tabella01MarzoInverter[[#This Row],[Active power TX3-INV-1]:[Active power TX3-INV-12]])</f>
        <v/>
      </c>
    </row>
    <row r="79">
      <c r="A79" s="135" t="n">
        <v>46143</v>
      </c>
      <c r="B79" s="39" t="inlineStr">
        <is>
          <t>16:00:00.000</t>
        </is>
      </c>
      <c r="C79" s="136" t="n">
        <v>0.1</v>
      </c>
      <c r="D79" s="136" t="n">
        <v>0.1</v>
      </c>
      <c r="E79" s="136" t="n">
        <v>0.1</v>
      </c>
      <c r="F79" s="136" t="n">
        <v>0.1</v>
      </c>
      <c r="G79" s="136" t="n">
        <v>0.1</v>
      </c>
      <c r="H79" s="136" t="n">
        <v>0.1</v>
      </c>
      <c r="I79" s="136" t="n">
        <v>0.1</v>
      </c>
      <c r="J79" s="136" t="n">
        <v>0.1</v>
      </c>
      <c r="K79" s="136" t="n">
        <v>0.1</v>
      </c>
      <c r="L79" s="136" t="n">
        <v>0.1</v>
      </c>
      <c r="M79" s="136" t="n">
        <v>0.1</v>
      </c>
      <c r="N79" s="137" t="n">
        <v>0.1</v>
      </c>
      <c r="O79" s="138">
        <f>IFERROR(AVERAGEIF(Tabella01MarzoInverter[[#This Row],[Active power TX1-INV-1]:[Active power TX1-INV-12]], "&gt;0"), 0)</f>
        <v/>
      </c>
      <c r="P79" s="136">
        <f>MAX(Tabella01MarzoInverter[[#This Row],[Active power TX1-INV-1]:[Active power TX1-INV-12]])</f>
        <v/>
      </c>
      <c r="Q79" s="139">
        <f>MIN(Tabella01MarzoInverter[[#This Row],[Active power TX1-INV-1]:[Active power TX1-INV-12]])</f>
        <v/>
      </c>
      <c r="R79" s="140" t="n">
        <v>0.1</v>
      </c>
      <c r="S79" s="136" t="n">
        <v>0.1</v>
      </c>
      <c r="T79" s="136" t="n">
        <v>0.1</v>
      </c>
      <c r="U79" s="136" t="n">
        <v>0.1</v>
      </c>
      <c r="V79" s="136" t="n">
        <v>0.1</v>
      </c>
      <c r="W79" s="136" t="n">
        <v>0.1</v>
      </c>
      <c r="X79" s="136" t="n">
        <v>0.1</v>
      </c>
      <c r="Y79" s="136" t="n">
        <v>0.1</v>
      </c>
      <c r="Z79" s="136" t="n">
        <v>0.1</v>
      </c>
      <c r="AA79" s="136" t="n">
        <v>0.1</v>
      </c>
      <c r="AB79" s="136" t="n">
        <v>0.1</v>
      </c>
      <c r="AC79" s="137" t="n">
        <v>0.1</v>
      </c>
      <c r="AD79" s="138">
        <f>IFERROR(AVERAGEIF(Tabella01MarzoInverter[[#This Row],[Active power TX2-INV-1]:[Active power TX2-INV-12]], "&gt;0"), 0)</f>
        <v/>
      </c>
      <c r="AE79" s="136">
        <f>MAX(Tabella01MarzoInverter[[#This Row],[Active power TX2-INV-1]:[Active power TX2-INV-12]])</f>
        <v/>
      </c>
      <c r="AF79" s="139">
        <f>MIN(Tabella01MarzoInverter[[#This Row],[Active power TX2-INV-1]:[Active power TX2-INV-12]])</f>
        <v/>
      </c>
      <c r="AG79" s="140" t="n">
        <v>0.1</v>
      </c>
      <c r="AH79" s="136" t="n">
        <v>0.1</v>
      </c>
      <c r="AI79" s="136" t="n">
        <v>0.1</v>
      </c>
      <c r="AJ79" s="136" t="n">
        <v>0.1</v>
      </c>
      <c r="AK79" s="136" t="n">
        <v>0.1</v>
      </c>
      <c r="AL79" s="136" t="n">
        <v>0.1</v>
      </c>
      <c r="AM79" s="136" t="n">
        <v>0.1</v>
      </c>
      <c r="AN79" s="136" t="n">
        <v>0.1</v>
      </c>
      <c r="AO79" s="136" t="n">
        <v>0.1</v>
      </c>
      <c r="AP79" s="136" t="n">
        <v>0.1</v>
      </c>
      <c r="AQ79" s="136" t="n">
        <v>0.1</v>
      </c>
      <c r="AR79" s="137" t="n">
        <v>0.1</v>
      </c>
      <c r="AS79" s="138">
        <f>IFERROR(AVERAGEIF(Tabella01MarzoInverter[[#This Row],[Active power TX3-INV-1]:[Active power TX3-INV-12]], "&gt;0"), 0)</f>
        <v/>
      </c>
      <c r="AT79" s="136">
        <f>MAX(Tabella01MarzoInverter[[#This Row],[Active power TX3-INV-1]:[Active power TX3-INV-12]])</f>
        <v/>
      </c>
      <c r="AU79" s="139">
        <f>MIN(Tabella01MarzoInverter[[#This Row],[Active power TX3-INV-1]:[Active power TX3-INV-12]])</f>
        <v/>
      </c>
    </row>
    <row r="80">
      <c r="A80" s="135" t="n">
        <v>46143</v>
      </c>
      <c r="B80" s="45" t="inlineStr">
        <is>
          <t>16:15:00.000</t>
        </is>
      </c>
      <c r="C80" s="136" t="n">
        <v>0.1</v>
      </c>
      <c r="D80" s="136" t="n">
        <v>0.1</v>
      </c>
      <c r="E80" s="136" t="n">
        <v>0.1</v>
      </c>
      <c r="F80" s="136" t="n">
        <v>0.1</v>
      </c>
      <c r="G80" s="136" t="n">
        <v>0.1</v>
      </c>
      <c r="H80" s="136" t="n">
        <v>0.1</v>
      </c>
      <c r="I80" s="136" t="n">
        <v>0.1</v>
      </c>
      <c r="J80" s="136" t="n">
        <v>0.1</v>
      </c>
      <c r="K80" s="136" t="n">
        <v>0.1</v>
      </c>
      <c r="L80" s="136" t="n">
        <v>0.1</v>
      </c>
      <c r="M80" s="136" t="n">
        <v>0.1</v>
      </c>
      <c r="N80" s="137" t="n">
        <v>0.1</v>
      </c>
      <c r="O80" s="138">
        <f>IFERROR(AVERAGEIF(Tabella01MarzoInverter[[#This Row],[Active power TX1-INV-1]:[Active power TX1-INV-12]], "&gt;0"), 0)</f>
        <v/>
      </c>
      <c r="P80" s="136">
        <f>MAX(Tabella01MarzoInverter[[#This Row],[Active power TX1-INV-1]:[Active power TX1-INV-12]])</f>
        <v/>
      </c>
      <c r="Q80" s="139">
        <f>MIN(Tabella01MarzoInverter[[#This Row],[Active power TX1-INV-1]:[Active power TX1-INV-12]])</f>
        <v/>
      </c>
      <c r="R80" s="140" t="n">
        <v>0.1</v>
      </c>
      <c r="S80" s="136" t="n">
        <v>0.1</v>
      </c>
      <c r="T80" s="136" t="n">
        <v>0.1</v>
      </c>
      <c r="U80" s="136" t="n">
        <v>0.1</v>
      </c>
      <c r="V80" s="136" t="n">
        <v>0.1</v>
      </c>
      <c r="W80" s="136" t="n">
        <v>0.1</v>
      </c>
      <c r="X80" s="136" t="n">
        <v>0.1</v>
      </c>
      <c r="Y80" s="136" t="n">
        <v>0.1</v>
      </c>
      <c r="Z80" s="136" t="n">
        <v>0.1</v>
      </c>
      <c r="AA80" s="136" t="n">
        <v>0.1</v>
      </c>
      <c r="AB80" s="136" t="n">
        <v>0.1</v>
      </c>
      <c r="AC80" s="137" t="n">
        <v>0.1</v>
      </c>
      <c r="AD80" s="138">
        <f>IFERROR(AVERAGEIF(Tabella01MarzoInverter[[#This Row],[Active power TX2-INV-1]:[Active power TX2-INV-12]], "&gt;0"), 0)</f>
        <v/>
      </c>
      <c r="AE80" s="136">
        <f>MAX(Tabella01MarzoInverter[[#This Row],[Active power TX2-INV-1]:[Active power TX2-INV-12]])</f>
        <v/>
      </c>
      <c r="AF80" s="139">
        <f>MIN(Tabella01MarzoInverter[[#This Row],[Active power TX2-INV-1]:[Active power TX2-INV-12]])</f>
        <v/>
      </c>
      <c r="AG80" s="140" t="n">
        <v>0.1</v>
      </c>
      <c r="AH80" s="136" t="n">
        <v>0.1</v>
      </c>
      <c r="AI80" s="136" t="n">
        <v>0.1</v>
      </c>
      <c r="AJ80" s="136" t="n">
        <v>0.1</v>
      </c>
      <c r="AK80" s="136" t="n">
        <v>0.1</v>
      </c>
      <c r="AL80" s="136" t="n">
        <v>0.1</v>
      </c>
      <c r="AM80" s="136" t="n">
        <v>0.1</v>
      </c>
      <c r="AN80" s="136" t="n">
        <v>0.1</v>
      </c>
      <c r="AO80" s="136" t="n">
        <v>0.1</v>
      </c>
      <c r="AP80" s="136" t="n">
        <v>0.1</v>
      </c>
      <c r="AQ80" s="136" t="n">
        <v>0.1</v>
      </c>
      <c r="AR80" s="137" t="n">
        <v>0.1</v>
      </c>
      <c r="AS80" s="138">
        <f>IFERROR(AVERAGEIF(Tabella01MarzoInverter[[#This Row],[Active power TX3-INV-1]:[Active power TX3-INV-12]], "&gt;0"), 0)</f>
        <v/>
      </c>
      <c r="AT80" s="136">
        <f>MAX(Tabella01MarzoInverter[[#This Row],[Active power TX3-INV-1]:[Active power TX3-INV-12]])</f>
        <v/>
      </c>
      <c r="AU80" s="139">
        <f>MIN(Tabella01MarzoInverter[[#This Row],[Active power TX3-INV-1]:[Active power TX3-INV-12]])</f>
        <v/>
      </c>
    </row>
    <row r="81">
      <c r="A81" s="135" t="n">
        <v>46143</v>
      </c>
      <c r="B81" s="39" t="inlineStr">
        <is>
          <t>16:30:00.000</t>
        </is>
      </c>
      <c r="C81" s="136" t="n">
        <v>0.1</v>
      </c>
      <c r="D81" s="136" t="n">
        <v>0.1</v>
      </c>
      <c r="E81" s="136" t="n">
        <v>0.1</v>
      </c>
      <c r="F81" s="136" t="n">
        <v>0.1</v>
      </c>
      <c r="G81" s="136" t="n">
        <v>0.1</v>
      </c>
      <c r="H81" s="136" t="n">
        <v>0.1</v>
      </c>
      <c r="I81" s="136" t="n">
        <v>0.1</v>
      </c>
      <c r="J81" s="136" t="n">
        <v>0.1</v>
      </c>
      <c r="K81" s="136" t="n">
        <v>0.1</v>
      </c>
      <c r="L81" s="136" t="n">
        <v>0.1</v>
      </c>
      <c r="M81" s="136" t="n">
        <v>0.1</v>
      </c>
      <c r="N81" s="137" t="n">
        <v>0.1</v>
      </c>
      <c r="O81" s="138">
        <f>IFERROR(AVERAGEIF(Tabella01MarzoInverter[[#This Row],[Active power TX1-INV-1]:[Active power TX1-INV-12]], "&gt;0"), 0)</f>
        <v/>
      </c>
      <c r="P81" s="136">
        <f>MAX(Tabella01MarzoInverter[[#This Row],[Active power TX1-INV-1]:[Active power TX1-INV-12]])</f>
        <v/>
      </c>
      <c r="Q81" s="139">
        <f>MIN(Tabella01MarzoInverter[[#This Row],[Active power TX1-INV-1]:[Active power TX1-INV-12]])</f>
        <v/>
      </c>
      <c r="R81" s="140" t="n">
        <v>0.1</v>
      </c>
      <c r="S81" s="136" t="n">
        <v>0.1</v>
      </c>
      <c r="T81" s="136" t="n">
        <v>0.1</v>
      </c>
      <c r="U81" s="136" t="n">
        <v>0.1</v>
      </c>
      <c r="V81" s="136" t="n">
        <v>0.1</v>
      </c>
      <c r="W81" s="136" t="n">
        <v>0.1</v>
      </c>
      <c r="X81" s="136" t="n">
        <v>0.1</v>
      </c>
      <c r="Y81" s="136" t="n">
        <v>0.1</v>
      </c>
      <c r="Z81" s="136" t="n">
        <v>0.1</v>
      </c>
      <c r="AA81" s="136" t="n">
        <v>0.1</v>
      </c>
      <c r="AB81" s="136" t="n">
        <v>0.1</v>
      </c>
      <c r="AC81" s="137" t="n">
        <v>0.1</v>
      </c>
      <c r="AD81" s="138">
        <f>IFERROR(AVERAGEIF(Tabella01MarzoInverter[[#This Row],[Active power TX2-INV-1]:[Active power TX2-INV-12]], "&gt;0"), 0)</f>
        <v/>
      </c>
      <c r="AE81" s="136">
        <f>MAX(Tabella01MarzoInverter[[#This Row],[Active power TX2-INV-1]:[Active power TX2-INV-12]])</f>
        <v/>
      </c>
      <c r="AF81" s="139">
        <f>MIN(Tabella01MarzoInverter[[#This Row],[Active power TX2-INV-1]:[Active power TX2-INV-12]])</f>
        <v/>
      </c>
      <c r="AG81" s="140" t="n">
        <v>0.1</v>
      </c>
      <c r="AH81" s="136" t="n">
        <v>0.1</v>
      </c>
      <c r="AI81" s="136" t="n">
        <v>0.1</v>
      </c>
      <c r="AJ81" s="136" t="n">
        <v>0.1</v>
      </c>
      <c r="AK81" s="136" t="n">
        <v>0.1</v>
      </c>
      <c r="AL81" s="136" t="n">
        <v>0.1</v>
      </c>
      <c r="AM81" s="136" t="n">
        <v>0.1</v>
      </c>
      <c r="AN81" s="136" t="n">
        <v>0.1</v>
      </c>
      <c r="AO81" s="136" t="n">
        <v>0.1</v>
      </c>
      <c r="AP81" s="136" t="n">
        <v>0.1</v>
      </c>
      <c r="AQ81" s="136" t="n">
        <v>0.1</v>
      </c>
      <c r="AR81" s="137" t="n">
        <v>0.1</v>
      </c>
      <c r="AS81" s="138">
        <f>IFERROR(AVERAGEIF(Tabella01MarzoInverter[[#This Row],[Active power TX3-INV-1]:[Active power TX3-INV-12]], "&gt;0"), 0)</f>
        <v/>
      </c>
      <c r="AT81" s="136">
        <f>MAX(Tabella01MarzoInverter[[#This Row],[Active power TX3-INV-1]:[Active power TX3-INV-12]])</f>
        <v/>
      </c>
      <c r="AU81" s="139">
        <f>MIN(Tabella01MarzoInverter[[#This Row],[Active power TX3-INV-1]:[Active power TX3-INV-12]])</f>
        <v/>
      </c>
    </row>
    <row r="82">
      <c r="A82" s="135" t="n">
        <v>46143</v>
      </c>
      <c r="B82" s="45" t="inlineStr">
        <is>
          <t>16:45:00.000</t>
        </is>
      </c>
      <c r="C82" s="136" t="n">
        <v>0.1</v>
      </c>
      <c r="D82" s="136" t="n">
        <v>0.1</v>
      </c>
      <c r="E82" s="136" t="n">
        <v>0.1</v>
      </c>
      <c r="F82" s="136" t="n">
        <v>0.1</v>
      </c>
      <c r="G82" s="136" t="n">
        <v>0.1</v>
      </c>
      <c r="H82" s="136" t="n">
        <v>0.1</v>
      </c>
      <c r="I82" s="136" t="n">
        <v>0.1</v>
      </c>
      <c r="J82" s="136" t="n">
        <v>0.1</v>
      </c>
      <c r="K82" s="136" t="n">
        <v>0.1</v>
      </c>
      <c r="L82" s="136" t="n">
        <v>0.1</v>
      </c>
      <c r="M82" s="136" t="n">
        <v>0.1</v>
      </c>
      <c r="N82" s="137" t="n">
        <v>0.1</v>
      </c>
      <c r="O82" s="138">
        <f>IFERROR(AVERAGEIF(Tabella01MarzoInverter[[#This Row],[Active power TX1-INV-1]:[Active power TX1-INV-12]], "&gt;0"), 0)</f>
        <v/>
      </c>
      <c r="P82" s="136">
        <f>MAX(Tabella01MarzoInverter[[#This Row],[Active power TX1-INV-1]:[Active power TX1-INV-12]])</f>
        <v/>
      </c>
      <c r="Q82" s="139">
        <f>MIN(Tabella01MarzoInverter[[#This Row],[Active power TX1-INV-1]:[Active power TX1-INV-12]])</f>
        <v/>
      </c>
      <c r="R82" s="140" t="n">
        <v>0.1</v>
      </c>
      <c r="S82" s="136" t="n">
        <v>0.1</v>
      </c>
      <c r="T82" s="136" t="n">
        <v>0.1</v>
      </c>
      <c r="U82" s="136" t="n">
        <v>0.1</v>
      </c>
      <c r="V82" s="136" t="n">
        <v>0.1</v>
      </c>
      <c r="W82" s="136" t="n">
        <v>0.1</v>
      </c>
      <c r="X82" s="136" t="n">
        <v>0.1</v>
      </c>
      <c r="Y82" s="136" t="n">
        <v>0.1</v>
      </c>
      <c r="Z82" s="136" t="n">
        <v>0.1</v>
      </c>
      <c r="AA82" s="136" t="n">
        <v>0.1</v>
      </c>
      <c r="AB82" s="136" t="n">
        <v>0.1</v>
      </c>
      <c r="AC82" s="137" t="n">
        <v>0.1</v>
      </c>
      <c r="AD82" s="138">
        <f>IFERROR(AVERAGEIF(Tabella01MarzoInverter[[#This Row],[Active power TX2-INV-1]:[Active power TX2-INV-12]], "&gt;0"), 0)</f>
        <v/>
      </c>
      <c r="AE82" s="136">
        <f>MAX(Tabella01MarzoInverter[[#This Row],[Active power TX2-INV-1]:[Active power TX2-INV-12]])</f>
        <v/>
      </c>
      <c r="AF82" s="139">
        <f>MIN(Tabella01MarzoInverter[[#This Row],[Active power TX2-INV-1]:[Active power TX2-INV-12]])</f>
        <v/>
      </c>
      <c r="AG82" s="140" t="n">
        <v>0.1</v>
      </c>
      <c r="AH82" s="136" t="n">
        <v>0.1</v>
      </c>
      <c r="AI82" s="136" t="n">
        <v>0.1</v>
      </c>
      <c r="AJ82" s="136" t="n">
        <v>0.1</v>
      </c>
      <c r="AK82" s="136" t="n">
        <v>0.1</v>
      </c>
      <c r="AL82" s="136" t="n">
        <v>0.1</v>
      </c>
      <c r="AM82" s="136" t="n">
        <v>0.1</v>
      </c>
      <c r="AN82" s="136" t="n">
        <v>0.1</v>
      </c>
      <c r="AO82" s="136" t="n">
        <v>0.1</v>
      </c>
      <c r="AP82" s="136" t="n">
        <v>0.1</v>
      </c>
      <c r="AQ82" s="136" t="n">
        <v>0.1</v>
      </c>
      <c r="AR82" s="137" t="n">
        <v>0.1</v>
      </c>
      <c r="AS82" s="138">
        <f>IFERROR(AVERAGEIF(Tabella01MarzoInverter[[#This Row],[Active power TX3-INV-1]:[Active power TX3-INV-12]], "&gt;0"), 0)</f>
        <v/>
      </c>
      <c r="AT82" s="136">
        <f>MAX(Tabella01MarzoInverter[[#This Row],[Active power TX3-INV-1]:[Active power TX3-INV-12]])</f>
        <v/>
      </c>
      <c r="AU82" s="139">
        <f>MIN(Tabella01MarzoInverter[[#This Row],[Active power TX3-INV-1]:[Active power TX3-INV-12]])</f>
        <v/>
      </c>
    </row>
    <row r="83">
      <c r="A83" s="135" t="n">
        <v>46143</v>
      </c>
      <c r="B83" s="39" t="inlineStr">
        <is>
          <t>17:00:00.000</t>
        </is>
      </c>
      <c r="C83" s="136" t="n">
        <v>0.1</v>
      </c>
      <c r="D83" s="136" t="n">
        <v>0.1</v>
      </c>
      <c r="E83" s="136" t="n">
        <v>0.1</v>
      </c>
      <c r="F83" s="136" t="n">
        <v>0.1</v>
      </c>
      <c r="G83" s="136" t="n">
        <v>0.1</v>
      </c>
      <c r="H83" s="136" t="n">
        <v>0.1</v>
      </c>
      <c r="I83" s="136" t="n">
        <v>0.1</v>
      </c>
      <c r="J83" s="136" t="n">
        <v>0.1</v>
      </c>
      <c r="K83" s="136" t="n">
        <v>0.1</v>
      </c>
      <c r="L83" s="136" t="n">
        <v>0.1</v>
      </c>
      <c r="M83" s="136" t="n">
        <v>0.1</v>
      </c>
      <c r="N83" s="137" t="n">
        <v>0.1</v>
      </c>
      <c r="O83" s="138">
        <f>IFERROR(AVERAGEIF(Tabella01MarzoInverter[[#This Row],[Active power TX1-INV-1]:[Active power TX1-INV-12]], "&gt;0"), 0)</f>
        <v/>
      </c>
      <c r="P83" s="136">
        <f>MAX(Tabella01MarzoInverter[[#This Row],[Active power TX1-INV-1]:[Active power TX1-INV-12]])</f>
        <v/>
      </c>
      <c r="Q83" s="139">
        <f>MIN(Tabella01MarzoInverter[[#This Row],[Active power TX1-INV-1]:[Active power TX1-INV-12]])</f>
        <v/>
      </c>
      <c r="R83" s="140" t="n">
        <v>0.1</v>
      </c>
      <c r="S83" s="136" t="n">
        <v>0.1</v>
      </c>
      <c r="T83" s="136" t="n">
        <v>0.1</v>
      </c>
      <c r="U83" s="136" t="n">
        <v>0.1</v>
      </c>
      <c r="V83" s="136" t="n">
        <v>0.1</v>
      </c>
      <c r="W83" s="136" t="n">
        <v>0.1</v>
      </c>
      <c r="X83" s="136" t="n">
        <v>0.1</v>
      </c>
      <c r="Y83" s="136" t="n">
        <v>0.1</v>
      </c>
      <c r="Z83" s="136" t="n">
        <v>0.1</v>
      </c>
      <c r="AA83" s="136" t="n">
        <v>0.1</v>
      </c>
      <c r="AB83" s="136" t="n">
        <v>0.1</v>
      </c>
      <c r="AC83" s="137" t="n">
        <v>0.1</v>
      </c>
      <c r="AD83" s="138">
        <f>IFERROR(AVERAGEIF(Tabella01MarzoInverter[[#This Row],[Active power TX2-INV-1]:[Active power TX2-INV-12]], "&gt;0"), 0)</f>
        <v/>
      </c>
      <c r="AE83" s="136">
        <f>MAX(Tabella01MarzoInverter[[#This Row],[Active power TX2-INV-1]:[Active power TX2-INV-12]])</f>
        <v/>
      </c>
      <c r="AF83" s="139">
        <f>MIN(Tabella01MarzoInverter[[#This Row],[Active power TX2-INV-1]:[Active power TX2-INV-12]])</f>
        <v/>
      </c>
      <c r="AG83" s="140" t="n">
        <v>0.1</v>
      </c>
      <c r="AH83" s="136" t="n">
        <v>0.1</v>
      </c>
      <c r="AI83" s="136" t="n">
        <v>0.1</v>
      </c>
      <c r="AJ83" s="136" t="n">
        <v>0.1</v>
      </c>
      <c r="AK83" s="136" t="n">
        <v>0.1</v>
      </c>
      <c r="AL83" s="136" t="n">
        <v>0.1</v>
      </c>
      <c r="AM83" s="136" t="n">
        <v>0.1</v>
      </c>
      <c r="AN83" s="136" t="n">
        <v>0.1</v>
      </c>
      <c r="AO83" s="136" t="n">
        <v>0.1</v>
      </c>
      <c r="AP83" s="136" t="n">
        <v>0.1</v>
      </c>
      <c r="AQ83" s="136" t="n">
        <v>0.1</v>
      </c>
      <c r="AR83" s="137" t="n">
        <v>0.1</v>
      </c>
      <c r="AS83" s="138">
        <f>IFERROR(AVERAGEIF(Tabella01MarzoInverter[[#This Row],[Active power TX3-INV-1]:[Active power TX3-INV-12]], "&gt;0"), 0)</f>
        <v/>
      </c>
      <c r="AT83" s="136">
        <f>MAX(Tabella01MarzoInverter[[#This Row],[Active power TX3-INV-1]:[Active power TX3-INV-12]])</f>
        <v/>
      </c>
      <c r="AU83" s="139">
        <f>MIN(Tabella01MarzoInverter[[#This Row],[Active power TX3-INV-1]:[Active power TX3-INV-12]])</f>
        <v/>
      </c>
    </row>
    <row r="84">
      <c r="A84" s="135" t="n">
        <v>46143</v>
      </c>
      <c r="B84" s="45" t="inlineStr">
        <is>
          <t>17:15:00.000</t>
        </is>
      </c>
      <c r="C84" s="136" t="n">
        <v>0.1</v>
      </c>
      <c r="D84" s="136" t="n">
        <v>0.1</v>
      </c>
      <c r="E84" s="136" t="n">
        <v>0.1</v>
      </c>
      <c r="F84" s="136" t="n">
        <v>0.1</v>
      </c>
      <c r="G84" s="136" t="n">
        <v>0.1</v>
      </c>
      <c r="H84" s="136" t="n">
        <v>0.1</v>
      </c>
      <c r="I84" s="136" t="n">
        <v>0.1</v>
      </c>
      <c r="J84" s="136" t="n">
        <v>0.1</v>
      </c>
      <c r="K84" s="136" t="n">
        <v>0.1</v>
      </c>
      <c r="L84" s="136" t="n">
        <v>0.1</v>
      </c>
      <c r="M84" s="136" t="n">
        <v>0.1</v>
      </c>
      <c r="N84" s="137" t="n">
        <v>0.1</v>
      </c>
      <c r="O84" s="138">
        <f>IFERROR(AVERAGEIF(Tabella01MarzoInverter[[#This Row],[Active power TX1-INV-1]:[Active power TX1-INV-12]], "&gt;0"), 0)</f>
        <v/>
      </c>
      <c r="P84" s="136">
        <f>MAX(Tabella01MarzoInverter[[#This Row],[Active power TX1-INV-1]:[Active power TX1-INV-12]])</f>
        <v/>
      </c>
      <c r="Q84" s="139">
        <f>MIN(Tabella01MarzoInverter[[#This Row],[Active power TX1-INV-1]:[Active power TX1-INV-12]])</f>
        <v/>
      </c>
      <c r="R84" s="140" t="n">
        <v>0.1</v>
      </c>
      <c r="S84" s="136" t="n">
        <v>0.1</v>
      </c>
      <c r="T84" s="136" t="n">
        <v>0.1</v>
      </c>
      <c r="U84" s="136" t="n">
        <v>0.1</v>
      </c>
      <c r="V84" s="136" t="n">
        <v>0.1</v>
      </c>
      <c r="W84" s="136" t="n">
        <v>0.1</v>
      </c>
      <c r="X84" s="136" t="n">
        <v>0.1</v>
      </c>
      <c r="Y84" s="136" t="n">
        <v>0.1</v>
      </c>
      <c r="Z84" s="136" t="n">
        <v>0.1</v>
      </c>
      <c r="AA84" s="136" t="n">
        <v>0.1</v>
      </c>
      <c r="AB84" s="136" t="n">
        <v>0.1</v>
      </c>
      <c r="AC84" s="137" t="n">
        <v>0.1</v>
      </c>
      <c r="AD84" s="138">
        <f>IFERROR(AVERAGEIF(Tabella01MarzoInverter[[#This Row],[Active power TX2-INV-1]:[Active power TX2-INV-12]], "&gt;0"), 0)</f>
        <v/>
      </c>
      <c r="AE84" s="136">
        <f>MAX(Tabella01MarzoInverter[[#This Row],[Active power TX2-INV-1]:[Active power TX2-INV-12]])</f>
        <v/>
      </c>
      <c r="AF84" s="139">
        <f>MIN(Tabella01MarzoInverter[[#This Row],[Active power TX2-INV-1]:[Active power TX2-INV-12]])</f>
        <v/>
      </c>
      <c r="AG84" s="140" t="n">
        <v>0.1</v>
      </c>
      <c r="AH84" s="136" t="n">
        <v>0.1</v>
      </c>
      <c r="AI84" s="136" t="n">
        <v>0.1</v>
      </c>
      <c r="AJ84" s="136" t="n">
        <v>0.1</v>
      </c>
      <c r="AK84" s="136" t="n">
        <v>0.1</v>
      </c>
      <c r="AL84" s="136" t="n">
        <v>0.1</v>
      </c>
      <c r="AM84" s="136" t="n">
        <v>0.1</v>
      </c>
      <c r="AN84" s="136" t="n">
        <v>0.1</v>
      </c>
      <c r="AO84" s="136" t="n">
        <v>0.1</v>
      </c>
      <c r="AP84" s="136" t="n">
        <v>0.1</v>
      </c>
      <c r="AQ84" s="136" t="n">
        <v>0.1</v>
      </c>
      <c r="AR84" s="137" t="n">
        <v>0.1</v>
      </c>
      <c r="AS84" s="138">
        <f>IFERROR(AVERAGEIF(Tabella01MarzoInverter[[#This Row],[Active power TX3-INV-1]:[Active power TX3-INV-12]], "&gt;0"), 0)</f>
        <v/>
      </c>
      <c r="AT84" s="136">
        <f>MAX(Tabella01MarzoInverter[[#This Row],[Active power TX3-INV-1]:[Active power TX3-INV-12]])</f>
        <v/>
      </c>
      <c r="AU84" s="139">
        <f>MIN(Tabella01MarzoInverter[[#This Row],[Active power TX3-INV-1]:[Active power TX3-INV-12]])</f>
        <v/>
      </c>
    </row>
    <row r="85">
      <c r="A85" s="135" t="n">
        <v>46143</v>
      </c>
      <c r="B85" s="39" t="inlineStr">
        <is>
          <t>17:30:00.000</t>
        </is>
      </c>
      <c r="C85" s="136" t="n">
        <v>168.8</v>
      </c>
      <c r="D85" s="136" t="n">
        <v>177.8</v>
      </c>
      <c r="E85" s="136" t="n">
        <v>170.7</v>
      </c>
      <c r="F85" s="136" t="n">
        <v>170.2</v>
      </c>
      <c r="G85" s="136" t="n">
        <v>173.2</v>
      </c>
      <c r="H85" s="136" t="n">
        <v>171.3</v>
      </c>
      <c r="I85" s="136" t="n">
        <v>179.5</v>
      </c>
      <c r="J85" s="136" t="n">
        <v>184.6</v>
      </c>
      <c r="K85" s="136" t="n">
        <v>192.7</v>
      </c>
      <c r="L85" s="136" t="n">
        <v>185.5</v>
      </c>
      <c r="M85" s="136" t="n">
        <v>182.1</v>
      </c>
      <c r="N85" s="137" t="n">
        <v>178.9</v>
      </c>
      <c r="O85" s="138">
        <f>IFERROR(AVERAGEIF(Tabella01MarzoInverter[[#This Row],[Active power TX1-INV-1]:[Active power TX1-INV-12]], "&gt;0"), 0)</f>
        <v/>
      </c>
      <c r="P85" s="136">
        <f>MAX(Tabella01MarzoInverter[[#This Row],[Active power TX1-INV-1]:[Active power TX1-INV-12]])</f>
        <v/>
      </c>
      <c r="Q85" s="139">
        <f>MIN(Tabella01MarzoInverter[[#This Row],[Active power TX1-INV-1]:[Active power TX1-INV-12]])</f>
        <v/>
      </c>
      <c r="R85" s="140" t="n">
        <v>159.8</v>
      </c>
      <c r="S85" s="136" t="n">
        <v>170.9</v>
      </c>
      <c r="T85" s="136" t="n">
        <v>174.4</v>
      </c>
      <c r="U85" s="136" t="n">
        <v>163.2</v>
      </c>
      <c r="V85" s="136" t="n">
        <v>165.3</v>
      </c>
      <c r="W85" s="136" t="n">
        <v>174</v>
      </c>
      <c r="X85" s="136" t="n">
        <v>169.6</v>
      </c>
      <c r="Y85" s="136" t="n">
        <v>176.3</v>
      </c>
      <c r="Z85" s="136" t="n">
        <v>170.2</v>
      </c>
      <c r="AA85" s="136" t="n">
        <v>170.2</v>
      </c>
      <c r="AB85" s="136" t="n">
        <v>174.6</v>
      </c>
      <c r="AC85" s="137" t="n">
        <v>176.4</v>
      </c>
      <c r="AD85" s="138">
        <f>IFERROR(AVERAGEIF(Tabella01MarzoInverter[[#This Row],[Active power TX2-INV-1]:[Active power TX2-INV-12]], "&gt;0"), 0)</f>
        <v/>
      </c>
      <c r="AE85" s="136">
        <f>MAX(Tabella01MarzoInverter[[#This Row],[Active power TX2-INV-1]:[Active power TX2-INV-12]])</f>
        <v/>
      </c>
      <c r="AF85" s="139">
        <f>MIN(Tabella01MarzoInverter[[#This Row],[Active power TX2-INV-1]:[Active power TX2-INV-12]])</f>
        <v/>
      </c>
      <c r="AG85" s="140" t="n">
        <v>194.6</v>
      </c>
      <c r="AH85" s="136" t="n">
        <v>189.7</v>
      </c>
      <c r="AI85" s="136" t="n">
        <v>191.5</v>
      </c>
      <c r="AJ85" s="136" t="n">
        <v>180.7</v>
      </c>
      <c r="AK85" s="136" t="n">
        <v>184.1</v>
      </c>
      <c r="AL85" s="136" t="n">
        <v>196.2</v>
      </c>
      <c r="AM85" s="136" t="n">
        <v>188.9</v>
      </c>
      <c r="AN85" s="136" t="n">
        <v>187</v>
      </c>
      <c r="AO85" s="136" t="n">
        <v>191.6</v>
      </c>
      <c r="AP85" s="136" t="n">
        <v>186.4</v>
      </c>
      <c r="AQ85" s="136" t="n">
        <v>189.8</v>
      </c>
      <c r="AR85" s="137" t="n">
        <v>168.2</v>
      </c>
      <c r="AS85" s="138">
        <f>IFERROR(AVERAGEIF(Tabella01MarzoInverter[[#This Row],[Active power TX3-INV-1]:[Active power TX3-INV-12]], "&gt;0"), 0)</f>
        <v/>
      </c>
      <c r="AT85" s="136">
        <f>MAX(Tabella01MarzoInverter[[#This Row],[Active power TX3-INV-1]:[Active power TX3-INV-12]])</f>
        <v/>
      </c>
      <c r="AU85" s="139">
        <f>MIN(Tabella01MarzoInverter[[#This Row],[Active power TX3-INV-1]:[Active power TX3-INV-12]])</f>
        <v/>
      </c>
    </row>
    <row r="86">
      <c r="A86" s="135" t="n">
        <v>46143</v>
      </c>
      <c r="B86" s="45" t="inlineStr">
        <is>
          <t>17:45:00.000</t>
        </is>
      </c>
      <c r="C86" s="136" t="n">
        <v>227.9</v>
      </c>
      <c r="D86" s="136" t="n">
        <v>226.4</v>
      </c>
      <c r="E86" s="136" t="n">
        <v>225.9</v>
      </c>
      <c r="F86" s="136" t="n">
        <v>226.7</v>
      </c>
      <c r="G86" s="136" t="n">
        <v>226.8</v>
      </c>
      <c r="H86" s="136" t="n">
        <v>225.5</v>
      </c>
      <c r="I86" s="136" t="n">
        <v>222.6</v>
      </c>
      <c r="J86" s="136" t="n">
        <v>248.3</v>
      </c>
      <c r="K86" s="136" t="n">
        <v>244.9</v>
      </c>
      <c r="L86" s="136" t="n">
        <v>240.6</v>
      </c>
      <c r="M86" s="136" t="n">
        <v>239.9</v>
      </c>
      <c r="N86" s="137" t="n">
        <v>225.3</v>
      </c>
      <c r="O86" s="138">
        <f>IFERROR(AVERAGEIF(Tabella01MarzoInverter[[#This Row],[Active power TX1-INV-1]:[Active power TX1-INV-12]], "&gt;0"), 0)</f>
        <v/>
      </c>
      <c r="P86" s="136">
        <f>MAX(Tabella01MarzoInverter[[#This Row],[Active power TX1-INV-1]:[Active power TX1-INV-12]])</f>
        <v/>
      </c>
      <c r="Q86" s="139">
        <f>MIN(Tabella01MarzoInverter[[#This Row],[Active power TX1-INV-1]:[Active power TX1-INV-12]])</f>
        <v/>
      </c>
      <c r="R86" s="140" t="n">
        <v>211.9</v>
      </c>
      <c r="S86" s="136" t="n">
        <v>223.9</v>
      </c>
      <c r="T86" s="136" t="n">
        <v>220.6</v>
      </c>
      <c r="U86" s="136" t="n">
        <v>210.4</v>
      </c>
      <c r="V86" s="136" t="n">
        <v>214.4</v>
      </c>
      <c r="W86" s="136" t="n">
        <v>228</v>
      </c>
      <c r="X86" s="136" t="n">
        <v>217.6</v>
      </c>
      <c r="Y86" s="136" t="n">
        <v>222.3</v>
      </c>
      <c r="Z86" s="136" t="n">
        <v>224.6</v>
      </c>
      <c r="AA86" s="136" t="n">
        <v>214.5</v>
      </c>
      <c r="AB86" s="136" t="n">
        <v>221.3</v>
      </c>
      <c r="AC86" s="137" t="n">
        <v>223.6</v>
      </c>
      <c r="AD86" s="138">
        <f>IFERROR(AVERAGEIF(Tabella01MarzoInverter[[#This Row],[Active power TX2-INV-1]:[Active power TX2-INV-12]], "&gt;0"), 0)</f>
        <v/>
      </c>
      <c r="AE86" s="136">
        <f>MAX(Tabella01MarzoInverter[[#This Row],[Active power TX2-INV-1]:[Active power TX2-INV-12]])</f>
        <v/>
      </c>
      <c r="AF86" s="139">
        <f>MIN(Tabella01MarzoInverter[[#This Row],[Active power TX2-INV-1]:[Active power TX2-INV-12]])</f>
        <v/>
      </c>
      <c r="AG86" s="140" t="n">
        <v>256.5</v>
      </c>
      <c r="AH86" s="136" t="n">
        <v>257.1</v>
      </c>
      <c r="AI86" s="136" t="n">
        <v>253.4</v>
      </c>
      <c r="AJ86" s="136" t="n">
        <v>252.6</v>
      </c>
      <c r="AK86" s="136" t="n">
        <v>239.4</v>
      </c>
      <c r="AL86" s="136" t="n">
        <v>239.9</v>
      </c>
      <c r="AM86" s="136" t="n">
        <v>254.1</v>
      </c>
      <c r="AN86" s="136" t="n">
        <v>246.9</v>
      </c>
      <c r="AO86" s="136" t="n">
        <v>252</v>
      </c>
      <c r="AP86" s="136" t="n">
        <v>257.5</v>
      </c>
      <c r="AQ86" s="136" t="n">
        <v>254.8</v>
      </c>
      <c r="AR86" s="137" t="n">
        <v>221.8</v>
      </c>
      <c r="AS86" s="138">
        <f>IFERROR(AVERAGEIF(Tabella01MarzoInverter[[#This Row],[Active power TX3-INV-1]:[Active power TX3-INV-12]], "&gt;0"), 0)</f>
        <v/>
      </c>
      <c r="AT86" s="136">
        <f>MAX(Tabella01MarzoInverter[[#This Row],[Active power TX3-INV-1]:[Active power TX3-INV-12]])</f>
        <v/>
      </c>
      <c r="AU86" s="139">
        <f>MIN(Tabella01MarzoInverter[[#This Row],[Active power TX3-INV-1]:[Active power TX3-INV-12]])</f>
        <v/>
      </c>
    </row>
    <row r="87">
      <c r="A87" s="135" t="n">
        <v>46143</v>
      </c>
      <c r="B87" s="39" t="inlineStr">
        <is>
          <t>18:00:00.000</t>
        </is>
      </c>
      <c r="C87" s="136" t="n">
        <v>193.8</v>
      </c>
      <c r="D87" s="136" t="n">
        <v>192.8</v>
      </c>
      <c r="E87" s="136" t="n">
        <v>192</v>
      </c>
      <c r="F87" s="136" t="n">
        <v>193</v>
      </c>
      <c r="G87" s="136" t="n">
        <v>193.2</v>
      </c>
      <c r="H87" s="136" t="n">
        <v>191.2</v>
      </c>
      <c r="I87" s="136" t="n">
        <v>181</v>
      </c>
      <c r="J87" s="136" t="n">
        <v>214.7</v>
      </c>
      <c r="K87" s="136" t="n">
        <v>210.6</v>
      </c>
      <c r="L87" s="136" t="n">
        <v>207.4</v>
      </c>
      <c r="M87" s="136" t="n">
        <v>207.5</v>
      </c>
      <c r="N87" s="137" t="n">
        <v>192.5</v>
      </c>
      <c r="O87" s="138">
        <f>IFERROR(AVERAGEIF(Tabella01MarzoInverter[[#This Row],[Active power TX1-INV-1]:[Active power TX1-INV-12]], "&gt;0"), 0)</f>
        <v/>
      </c>
      <c r="P87" s="136">
        <f>MAX(Tabella01MarzoInverter[[#This Row],[Active power TX1-INV-1]:[Active power TX1-INV-12]])</f>
        <v/>
      </c>
      <c r="Q87" s="139">
        <f>MIN(Tabella01MarzoInverter[[#This Row],[Active power TX1-INV-1]:[Active power TX1-INV-12]])</f>
        <v/>
      </c>
      <c r="R87" s="140" t="n">
        <v>181.4</v>
      </c>
      <c r="S87" s="136" t="n">
        <v>191.3</v>
      </c>
      <c r="T87" s="136" t="n">
        <v>188.9</v>
      </c>
      <c r="U87" s="136" t="n">
        <v>179.2</v>
      </c>
      <c r="V87" s="136" t="n">
        <v>182.6</v>
      </c>
      <c r="W87" s="136" t="n">
        <v>193.7</v>
      </c>
      <c r="X87" s="136" t="n">
        <v>185.3</v>
      </c>
      <c r="Y87" s="136" t="n">
        <v>190.1</v>
      </c>
      <c r="Z87" s="136" t="n">
        <v>190.9</v>
      </c>
      <c r="AA87" s="136" t="n">
        <v>181.8</v>
      </c>
      <c r="AB87" s="136" t="n">
        <v>186.9</v>
      </c>
      <c r="AC87" s="137" t="n">
        <v>189.3</v>
      </c>
      <c r="AD87" s="138">
        <f>IFERROR(AVERAGEIF(Tabella01MarzoInverter[[#This Row],[Active power TX2-INV-1]:[Active power TX2-INV-12]], "&gt;0"), 0)</f>
        <v/>
      </c>
      <c r="AE87" s="136">
        <f>MAX(Tabella01MarzoInverter[[#This Row],[Active power TX2-INV-1]:[Active power TX2-INV-12]])</f>
        <v/>
      </c>
      <c r="AF87" s="139">
        <f>MIN(Tabella01MarzoInverter[[#This Row],[Active power TX2-INV-1]:[Active power TX2-INV-12]])</f>
        <v/>
      </c>
      <c r="AG87" s="140" t="n">
        <v>221.5</v>
      </c>
      <c r="AH87" s="136" t="n">
        <v>223.5</v>
      </c>
      <c r="AI87" s="136" t="n">
        <v>218.2</v>
      </c>
      <c r="AJ87" s="136" t="n">
        <v>214.4</v>
      </c>
      <c r="AK87" s="136" t="n">
        <v>212.2</v>
      </c>
      <c r="AL87" s="136" t="n">
        <v>213.4</v>
      </c>
      <c r="AM87" s="136" t="n">
        <v>218.5</v>
      </c>
      <c r="AN87" s="136" t="n">
        <v>212.3</v>
      </c>
      <c r="AO87" s="136" t="n">
        <v>217.9</v>
      </c>
      <c r="AP87" s="136" t="n">
        <v>224.3</v>
      </c>
      <c r="AQ87" s="136" t="n">
        <v>218.6</v>
      </c>
      <c r="AR87" s="137" t="n">
        <v>197.4</v>
      </c>
      <c r="AS87" s="138">
        <f>IFERROR(AVERAGEIF(Tabella01MarzoInverter[[#This Row],[Active power TX3-INV-1]:[Active power TX3-INV-12]], "&gt;0"), 0)</f>
        <v/>
      </c>
      <c r="AT87" s="136">
        <f>MAX(Tabella01MarzoInverter[[#This Row],[Active power TX3-INV-1]:[Active power TX3-INV-12]])</f>
        <v/>
      </c>
      <c r="AU87" s="139">
        <f>MIN(Tabella01MarzoInverter[[#This Row],[Active power TX3-INV-1]:[Active power TX3-INV-12]])</f>
        <v/>
      </c>
    </row>
    <row r="88">
      <c r="A88" s="135" t="n">
        <v>46143</v>
      </c>
      <c r="B88" s="45" t="inlineStr">
        <is>
          <t>18:15:00.000</t>
        </is>
      </c>
      <c r="C88" s="136" t="n">
        <v>156.4</v>
      </c>
      <c r="D88" s="136" t="n">
        <v>155.6</v>
      </c>
      <c r="E88" s="136" t="n">
        <v>154.9</v>
      </c>
      <c r="F88" s="136" t="n">
        <v>155.6</v>
      </c>
      <c r="G88" s="136" t="n">
        <v>155.9</v>
      </c>
      <c r="H88" s="136" t="n">
        <v>153.3</v>
      </c>
      <c r="I88" s="136" t="n">
        <v>144.6</v>
      </c>
      <c r="J88" s="136" t="n">
        <v>174</v>
      </c>
      <c r="K88" s="136" t="n">
        <v>170.4</v>
      </c>
      <c r="L88" s="136" t="n">
        <v>167.3</v>
      </c>
      <c r="M88" s="136" t="n">
        <v>167.1</v>
      </c>
      <c r="N88" s="137" t="n">
        <v>155.1</v>
      </c>
      <c r="O88" s="138">
        <f>IFERROR(AVERAGEIF(Tabella01MarzoInverter[[#This Row],[Active power TX1-INV-1]:[Active power TX1-INV-12]], "&gt;0"), 0)</f>
        <v/>
      </c>
      <c r="P88" s="136">
        <f>MAX(Tabella01MarzoInverter[[#This Row],[Active power TX1-INV-1]:[Active power TX1-INV-12]])</f>
        <v/>
      </c>
      <c r="Q88" s="139">
        <f>MIN(Tabella01MarzoInverter[[#This Row],[Active power TX1-INV-1]:[Active power TX1-INV-12]])</f>
        <v/>
      </c>
      <c r="R88" s="140" t="n">
        <v>145.8</v>
      </c>
      <c r="S88" s="136" t="n">
        <v>152.1</v>
      </c>
      <c r="T88" s="136" t="n">
        <v>152.2</v>
      </c>
      <c r="U88" s="136" t="n">
        <v>143.3</v>
      </c>
      <c r="V88" s="136" t="n">
        <v>144.9</v>
      </c>
      <c r="W88" s="136" t="n">
        <v>154</v>
      </c>
      <c r="X88" s="136" t="n">
        <v>147.9</v>
      </c>
      <c r="Y88" s="136" t="n">
        <v>151.8</v>
      </c>
      <c r="Z88" s="136" t="n">
        <v>151.8</v>
      </c>
      <c r="AA88" s="136" t="n">
        <v>143.7</v>
      </c>
      <c r="AB88" s="136" t="n">
        <v>146.4</v>
      </c>
      <c r="AC88" s="137" t="n">
        <v>148.2</v>
      </c>
      <c r="AD88" s="138">
        <f>IFERROR(AVERAGEIF(Tabella01MarzoInverter[[#This Row],[Active power TX2-INV-1]:[Active power TX2-INV-12]], "&gt;0"), 0)</f>
        <v/>
      </c>
      <c r="AE88" s="136">
        <f>MAX(Tabella01MarzoInverter[[#This Row],[Active power TX2-INV-1]:[Active power TX2-INV-12]])</f>
        <v/>
      </c>
      <c r="AF88" s="139">
        <f>MIN(Tabella01MarzoInverter[[#This Row],[Active power TX2-INV-1]:[Active power TX2-INV-12]])</f>
        <v/>
      </c>
      <c r="AG88" s="140" t="n">
        <v>180.9</v>
      </c>
      <c r="AH88" s="136" t="n">
        <v>183.7</v>
      </c>
      <c r="AI88" s="136" t="n">
        <v>176.9</v>
      </c>
      <c r="AJ88" s="136" t="n">
        <v>171.8</v>
      </c>
      <c r="AK88" s="136" t="n">
        <v>171.3</v>
      </c>
      <c r="AL88" s="136" t="n">
        <v>174.5</v>
      </c>
      <c r="AM88" s="136" t="n">
        <v>178.9</v>
      </c>
      <c r="AN88" s="136" t="n">
        <v>173.7</v>
      </c>
      <c r="AO88" s="136" t="n">
        <v>179</v>
      </c>
      <c r="AP88" s="136" t="n">
        <v>184.9</v>
      </c>
      <c r="AQ88" s="136" t="n">
        <v>176.8</v>
      </c>
      <c r="AR88" s="137" t="n">
        <v>161.6</v>
      </c>
      <c r="AS88" s="138">
        <f>IFERROR(AVERAGEIF(Tabella01MarzoInverter[[#This Row],[Active power TX3-INV-1]:[Active power TX3-INV-12]], "&gt;0"), 0)</f>
        <v/>
      </c>
      <c r="AT88" s="136">
        <f>MAX(Tabella01MarzoInverter[[#This Row],[Active power TX3-INV-1]:[Active power TX3-INV-12]])</f>
        <v/>
      </c>
      <c r="AU88" s="139">
        <f>MIN(Tabella01MarzoInverter[[#This Row],[Active power TX3-INV-1]:[Active power TX3-INV-12]])</f>
        <v/>
      </c>
    </row>
    <row r="89">
      <c r="A89" s="135" t="n">
        <v>46143</v>
      </c>
      <c r="B89" s="39" t="inlineStr">
        <is>
          <t>18:30:00.000</t>
        </is>
      </c>
      <c r="C89" s="136" t="n">
        <v>122.6</v>
      </c>
      <c r="D89" s="136" t="n">
        <v>122</v>
      </c>
      <c r="E89" s="136" t="n">
        <v>120.9</v>
      </c>
      <c r="F89" s="136" t="n">
        <v>121.9</v>
      </c>
      <c r="G89" s="136" t="n">
        <v>122.1</v>
      </c>
      <c r="H89" s="136" t="n">
        <v>118.6</v>
      </c>
      <c r="I89" s="136" t="n">
        <v>107.6</v>
      </c>
      <c r="J89" s="136" t="n">
        <v>137.7</v>
      </c>
      <c r="K89" s="136" t="n">
        <v>134.7</v>
      </c>
      <c r="L89" s="136" t="n">
        <v>132.1</v>
      </c>
      <c r="M89" s="136" t="n">
        <v>132</v>
      </c>
      <c r="N89" s="137" t="n">
        <v>120.8</v>
      </c>
      <c r="O89" s="138">
        <f>IFERROR(AVERAGEIF(Tabella01MarzoInverter[[#This Row],[Active power TX1-INV-1]:[Active power TX1-INV-12]], "&gt;0"), 0)</f>
        <v/>
      </c>
      <c r="P89" s="136">
        <f>MAX(Tabella01MarzoInverter[[#This Row],[Active power TX1-INV-1]:[Active power TX1-INV-12]])</f>
        <v/>
      </c>
      <c r="Q89" s="139">
        <f>MIN(Tabella01MarzoInverter[[#This Row],[Active power TX1-INV-1]:[Active power TX1-INV-12]])</f>
        <v/>
      </c>
      <c r="R89" s="140" t="n">
        <v>113.8</v>
      </c>
      <c r="S89" s="136" t="n">
        <v>118.7</v>
      </c>
      <c r="T89" s="136" t="n">
        <v>118.3</v>
      </c>
      <c r="U89" s="136" t="n">
        <v>110.7</v>
      </c>
      <c r="V89" s="136" t="n">
        <v>111.6</v>
      </c>
      <c r="W89" s="136" t="n">
        <v>118.5</v>
      </c>
      <c r="X89" s="136" t="n">
        <v>114.3</v>
      </c>
      <c r="Y89" s="136" t="n">
        <v>113.2</v>
      </c>
      <c r="Z89" s="136" t="n">
        <v>116.5</v>
      </c>
      <c r="AA89" s="136" t="n">
        <v>109.7</v>
      </c>
      <c r="AB89" s="136" t="n">
        <v>110.6</v>
      </c>
      <c r="AC89" s="137" t="n">
        <v>112.9</v>
      </c>
      <c r="AD89" s="138">
        <f>IFERROR(AVERAGEIF(Tabella01MarzoInverter[[#This Row],[Active power TX2-INV-1]:[Active power TX2-INV-12]], "&gt;0"), 0)</f>
        <v/>
      </c>
      <c r="AE89" s="136">
        <f>MAX(Tabella01MarzoInverter[[#This Row],[Active power TX2-INV-1]:[Active power TX2-INV-12]])</f>
        <v/>
      </c>
      <c r="AF89" s="139">
        <f>MIN(Tabella01MarzoInverter[[#This Row],[Active power TX2-INV-1]:[Active power TX2-INV-12]])</f>
        <v/>
      </c>
      <c r="AG89" s="140" t="n">
        <v>144.3</v>
      </c>
      <c r="AH89" s="136" t="n">
        <v>145.7</v>
      </c>
      <c r="AI89" s="136" t="n">
        <v>137.3</v>
      </c>
      <c r="AJ89" s="136" t="n">
        <v>133.7</v>
      </c>
      <c r="AK89" s="136" t="n">
        <v>133.1</v>
      </c>
      <c r="AL89" s="136" t="n">
        <v>136.7</v>
      </c>
      <c r="AM89" s="136" t="n">
        <v>141.3</v>
      </c>
      <c r="AN89" s="136" t="n">
        <v>137.1</v>
      </c>
      <c r="AO89" s="136" t="n">
        <v>142.6</v>
      </c>
      <c r="AP89" s="136" t="n">
        <v>147.6</v>
      </c>
      <c r="AQ89" s="136" t="n">
        <v>140.7</v>
      </c>
      <c r="AR89" s="137" t="n">
        <v>127.7</v>
      </c>
      <c r="AS89" s="138">
        <f>IFERROR(AVERAGEIF(Tabella01MarzoInverter[[#This Row],[Active power TX3-INV-1]:[Active power TX3-INV-12]], "&gt;0"), 0)</f>
        <v/>
      </c>
      <c r="AT89" s="136">
        <f>MAX(Tabella01MarzoInverter[[#This Row],[Active power TX3-INV-1]:[Active power TX3-INV-12]])</f>
        <v/>
      </c>
      <c r="AU89" s="139">
        <f>MIN(Tabella01MarzoInverter[[#This Row],[Active power TX3-INV-1]:[Active power TX3-INV-12]])</f>
        <v/>
      </c>
    </row>
    <row r="90">
      <c r="A90" s="135" t="n">
        <v>46143</v>
      </c>
      <c r="B90" s="45" t="inlineStr">
        <is>
          <t>18:45:00.000</t>
        </is>
      </c>
      <c r="C90" s="136" t="n">
        <v>86.40000000000001</v>
      </c>
      <c r="D90" s="136" t="n">
        <v>85.90000000000001</v>
      </c>
      <c r="E90" s="136" t="n">
        <v>84.8</v>
      </c>
      <c r="F90" s="136" t="n">
        <v>85.90000000000001</v>
      </c>
      <c r="G90" s="136" t="n">
        <v>86.2</v>
      </c>
      <c r="H90" s="136" t="n">
        <v>82.3</v>
      </c>
      <c r="I90" s="136" t="n">
        <v>78.09999999999999</v>
      </c>
      <c r="J90" s="136" t="n">
        <v>98.90000000000001</v>
      </c>
      <c r="K90" s="136" t="n">
        <v>96.7</v>
      </c>
      <c r="L90" s="136" t="n">
        <v>94.09999999999999</v>
      </c>
      <c r="M90" s="136" t="n">
        <v>93.90000000000001</v>
      </c>
      <c r="N90" s="137" t="n">
        <v>84.8</v>
      </c>
      <c r="O90" s="138">
        <f>IFERROR(AVERAGEIF(Tabella01MarzoInverter[[#This Row],[Active power TX1-INV-1]:[Active power TX1-INV-12]], "&gt;0"), 0)</f>
        <v/>
      </c>
      <c r="P90" s="136">
        <f>MAX(Tabella01MarzoInverter[[#This Row],[Active power TX1-INV-1]:[Active power TX1-INV-12]])</f>
        <v/>
      </c>
      <c r="Q90" s="139">
        <f>MIN(Tabella01MarzoInverter[[#This Row],[Active power TX1-INV-1]:[Active power TX1-INV-12]])</f>
        <v/>
      </c>
      <c r="R90" s="140" t="n">
        <v>79.3</v>
      </c>
      <c r="S90" s="136" t="n">
        <v>83.09999999999999</v>
      </c>
      <c r="T90" s="136" t="n">
        <v>82.2</v>
      </c>
      <c r="U90" s="136" t="n">
        <v>76.3</v>
      </c>
      <c r="V90" s="136" t="n">
        <v>77.09999999999999</v>
      </c>
      <c r="W90" s="136" t="n">
        <v>81.3</v>
      </c>
      <c r="X90" s="136" t="n">
        <v>78.90000000000001</v>
      </c>
      <c r="Y90" s="136" t="n">
        <v>81</v>
      </c>
      <c r="Z90" s="136" t="n">
        <v>79.90000000000001</v>
      </c>
      <c r="AA90" s="136" t="n">
        <v>74.7</v>
      </c>
      <c r="AB90" s="136" t="n">
        <v>74.09999999999999</v>
      </c>
      <c r="AC90" s="137" t="n">
        <v>76.3</v>
      </c>
      <c r="AD90" s="138">
        <f>IFERROR(AVERAGEIF(Tabella01MarzoInverter[[#This Row],[Active power TX2-INV-1]:[Active power TX2-INV-12]], "&gt;0"), 0)</f>
        <v/>
      </c>
      <c r="AE90" s="136">
        <f>MAX(Tabella01MarzoInverter[[#This Row],[Active power TX2-INV-1]:[Active power TX2-INV-12]])</f>
        <v/>
      </c>
      <c r="AF90" s="139">
        <f>MIN(Tabella01MarzoInverter[[#This Row],[Active power TX2-INV-1]:[Active power TX2-INV-12]])</f>
        <v/>
      </c>
      <c r="AG90" s="140" t="n">
        <v>103.9</v>
      </c>
      <c r="AH90" s="136" t="n">
        <v>104.3</v>
      </c>
      <c r="AI90" s="136" t="n">
        <v>97</v>
      </c>
      <c r="AJ90" s="136" t="n">
        <v>95.40000000000001</v>
      </c>
      <c r="AK90" s="136" t="n">
        <v>94.09999999999999</v>
      </c>
      <c r="AL90" s="136" t="n">
        <v>96.90000000000001</v>
      </c>
      <c r="AM90" s="136" t="n">
        <v>101.2</v>
      </c>
      <c r="AN90" s="136" t="n">
        <v>98.3</v>
      </c>
      <c r="AO90" s="136" t="n">
        <v>103.2</v>
      </c>
      <c r="AP90" s="136" t="n">
        <v>106.9</v>
      </c>
      <c r="AQ90" s="136" t="n">
        <v>99.90000000000001</v>
      </c>
      <c r="AR90" s="137" t="n">
        <v>92.2</v>
      </c>
      <c r="AS90" s="138">
        <f>IFERROR(AVERAGEIF(Tabella01MarzoInverter[[#This Row],[Active power TX3-INV-1]:[Active power TX3-INV-12]], "&gt;0"), 0)</f>
        <v/>
      </c>
      <c r="AT90" s="136">
        <f>MAX(Tabella01MarzoInverter[[#This Row],[Active power TX3-INV-1]:[Active power TX3-INV-12]])</f>
        <v/>
      </c>
      <c r="AU90" s="139">
        <f>MIN(Tabella01MarzoInverter[[#This Row],[Active power TX3-INV-1]:[Active power TX3-INV-12]])</f>
        <v/>
      </c>
    </row>
    <row r="91">
      <c r="A91" s="135" t="n">
        <v>46143</v>
      </c>
      <c r="B91" s="39" t="inlineStr">
        <is>
          <t>19:00:00.000</t>
        </is>
      </c>
      <c r="C91" s="136" t="n">
        <v>52.1</v>
      </c>
      <c r="D91" s="136" t="n">
        <v>51.4</v>
      </c>
      <c r="E91" s="136" t="n">
        <v>50.6</v>
      </c>
      <c r="F91" s="136" t="n">
        <v>51.5</v>
      </c>
      <c r="G91" s="136" t="n">
        <v>51.6</v>
      </c>
      <c r="H91" s="136" t="n">
        <v>48.7</v>
      </c>
      <c r="I91" s="136" t="n">
        <v>47.6</v>
      </c>
      <c r="J91" s="136" t="n">
        <v>58.8</v>
      </c>
      <c r="K91" s="136" t="n">
        <v>59.3</v>
      </c>
      <c r="L91" s="136" t="n">
        <v>57.4</v>
      </c>
      <c r="M91" s="136" t="n">
        <v>57.1</v>
      </c>
      <c r="N91" s="137" t="n">
        <v>51.5</v>
      </c>
      <c r="O91" s="138">
        <f>IFERROR(AVERAGEIF(Tabella01MarzoInverter[[#This Row],[Active power TX1-INV-1]:[Active power TX1-INV-12]], "&gt;0"), 0)</f>
        <v/>
      </c>
      <c r="P91" s="136">
        <f>MAX(Tabella01MarzoInverter[[#This Row],[Active power TX1-INV-1]:[Active power TX1-INV-12]])</f>
        <v/>
      </c>
      <c r="Q91" s="139">
        <f>MIN(Tabella01MarzoInverter[[#This Row],[Active power TX1-INV-1]:[Active power TX1-INV-12]])</f>
        <v/>
      </c>
      <c r="R91" s="140" t="n">
        <v>46.9</v>
      </c>
      <c r="S91" s="136" t="n">
        <v>47.7</v>
      </c>
      <c r="T91" s="136" t="n">
        <v>48.5</v>
      </c>
      <c r="U91" s="136" t="n">
        <v>44</v>
      </c>
      <c r="V91" s="136" t="n">
        <v>44.7</v>
      </c>
      <c r="W91" s="136" t="n">
        <v>47.5</v>
      </c>
      <c r="X91" s="136" t="n">
        <v>46</v>
      </c>
      <c r="Y91" s="136" t="n">
        <v>47.3</v>
      </c>
      <c r="Z91" s="136" t="n">
        <v>46.3</v>
      </c>
      <c r="AA91" s="136" t="n">
        <v>43</v>
      </c>
      <c r="AB91" s="136" t="n">
        <v>41.5</v>
      </c>
      <c r="AC91" s="137" t="n">
        <v>43.5</v>
      </c>
      <c r="AD91" s="138">
        <f>IFERROR(AVERAGEIF(Tabella01MarzoInverter[[#This Row],[Active power TX2-INV-1]:[Active power TX2-INV-12]], "&gt;0"), 0)</f>
        <v/>
      </c>
      <c r="AE91" s="136">
        <f>MAX(Tabella01MarzoInverter[[#This Row],[Active power TX2-INV-1]:[Active power TX2-INV-12]])</f>
        <v/>
      </c>
      <c r="AF91" s="139">
        <f>MIN(Tabella01MarzoInverter[[#This Row],[Active power TX2-INV-1]:[Active power TX2-INV-12]])</f>
        <v/>
      </c>
      <c r="AG91" s="140" t="n">
        <v>65.09999999999999</v>
      </c>
      <c r="AH91" s="136" t="n">
        <v>65.5</v>
      </c>
      <c r="AI91" s="136" t="n">
        <v>60.5</v>
      </c>
      <c r="AJ91" s="136" t="n">
        <v>57.8</v>
      </c>
      <c r="AK91" s="136" t="n">
        <v>58.8</v>
      </c>
      <c r="AL91" s="136" t="n">
        <v>60.2</v>
      </c>
      <c r="AM91" s="136" t="n">
        <v>63.3</v>
      </c>
      <c r="AN91" s="136" t="n">
        <v>59.1</v>
      </c>
      <c r="AO91" s="136" t="n">
        <v>65.3</v>
      </c>
      <c r="AP91" s="136" t="n">
        <v>68</v>
      </c>
      <c r="AQ91" s="136" t="n">
        <v>61.7</v>
      </c>
      <c r="AR91" s="137" t="n">
        <v>57.9</v>
      </c>
      <c r="AS91" s="138">
        <f>IFERROR(AVERAGEIF(Tabella01MarzoInverter[[#This Row],[Active power TX3-INV-1]:[Active power TX3-INV-12]], "&gt;0"), 0)</f>
        <v/>
      </c>
      <c r="AT91" s="136">
        <f>MAX(Tabella01MarzoInverter[[#This Row],[Active power TX3-INV-1]:[Active power TX3-INV-12]])</f>
        <v/>
      </c>
      <c r="AU91" s="139">
        <f>MIN(Tabella01MarzoInverter[[#This Row],[Active power TX3-INV-1]:[Active power TX3-INV-12]])</f>
        <v/>
      </c>
    </row>
    <row r="92">
      <c r="A92" s="135" t="n">
        <v>46143</v>
      </c>
      <c r="B92" s="45" t="inlineStr">
        <is>
          <t>19:15:00.000</t>
        </is>
      </c>
      <c r="C92" s="136" t="n">
        <v>33.8</v>
      </c>
      <c r="D92" s="136" t="n">
        <v>33.2</v>
      </c>
      <c r="E92" s="136" t="n">
        <v>32.7</v>
      </c>
      <c r="F92" s="136" t="n">
        <v>33.8</v>
      </c>
      <c r="G92" s="136" t="n">
        <v>34</v>
      </c>
      <c r="H92" s="136" t="n">
        <v>31.7</v>
      </c>
      <c r="I92" s="136" t="n">
        <v>32.7</v>
      </c>
      <c r="J92" s="136" t="n">
        <v>42.2</v>
      </c>
      <c r="K92" s="136" t="n">
        <v>41</v>
      </c>
      <c r="L92" s="136" t="n">
        <v>37.6</v>
      </c>
      <c r="M92" s="136" t="n">
        <v>38.9</v>
      </c>
      <c r="N92" s="137" t="n">
        <v>34.1</v>
      </c>
      <c r="O92" s="138">
        <f>IFERROR(AVERAGEIF(Tabella01MarzoInverter[[#This Row],[Active power TX1-INV-1]:[Active power TX1-INV-12]], "&gt;0"), 0)</f>
        <v/>
      </c>
      <c r="P92" s="136">
        <f>MAX(Tabella01MarzoInverter[[#This Row],[Active power TX1-INV-1]:[Active power TX1-INV-12]])</f>
        <v/>
      </c>
      <c r="Q92" s="139">
        <f>MIN(Tabella01MarzoInverter[[#This Row],[Active power TX1-INV-1]:[Active power TX1-INV-12]])</f>
        <v/>
      </c>
      <c r="R92" s="140" t="n">
        <v>29.9</v>
      </c>
      <c r="S92" s="136" t="n">
        <v>32.3</v>
      </c>
      <c r="T92" s="136" t="n">
        <v>31</v>
      </c>
      <c r="U92" s="136" t="n">
        <v>27.2</v>
      </c>
      <c r="V92" s="136" t="n">
        <v>28.1</v>
      </c>
      <c r="W92" s="136" t="n">
        <v>29.1</v>
      </c>
      <c r="X92" s="136" t="n">
        <v>28</v>
      </c>
      <c r="Y92" s="136" t="n">
        <v>28</v>
      </c>
      <c r="Z92" s="136" t="n">
        <v>27.6</v>
      </c>
      <c r="AA92" s="136" t="n">
        <v>25.3</v>
      </c>
      <c r="AB92" s="136" t="n">
        <v>23.4</v>
      </c>
      <c r="AC92" s="137" t="n">
        <v>25.5</v>
      </c>
      <c r="AD92" s="138">
        <f>IFERROR(AVERAGEIF(Tabella01MarzoInverter[[#This Row],[Active power TX2-INV-1]:[Active power TX2-INV-12]], "&gt;0"), 0)</f>
        <v/>
      </c>
      <c r="AE92" s="136">
        <f>MAX(Tabella01MarzoInverter[[#This Row],[Active power TX2-INV-1]:[Active power TX2-INV-12]])</f>
        <v/>
      </c>
      <c r="AF92" s="139">
        <f>MIN(Tabella01MarzoInverter[[#This Row],[Active power TX2-INV-1]:[Active power TX2-INV-12]])</f>
        <v/>
      </c>
      <c r="AG92" s="140" t="n">
        <v>43.6</v>
      </c>
      <c r="AH92" s="136" t="n">
        <v>45.2</v>
      </c>
      <c r="AI92" s="136" t="n">
        <v>40.9</v>
      </c>
      <c r="AJ92" s="136" t="n">
        <v>40.1</v>
      </c>
      <c r="AK92" s="136" t="n">
        <v>39.4</v>
      </c>
      <c r="AL92" s="136" t="n">
        <v>36.7</v>
      </c>
      <c r="AM92" s="136" t="n">
        <v>41.9</v>
      </c>
      <c r="AN92" s="136" t="n">
        <v>40.7</v>
      </c>
      <c r="AO92" s="136" t="n">
        <v>44.7</v>
      </c>
      <c r="AP92" s="136" t="n">
        <v>47.6</v>
      </c>
      <c r="AQ92" s="136" t="n">
        <v>40</v>
      </c>
      <c r="AR92" s="137" t="n">
        <v>39</v>
      </c>
      <c r="AS92" s="138">
        <f>IFERROR(AVERAGEIF(Tabella01MarzoInverter[[#This Row],[Active power TX3-INV-1]:[Active power TX3-INV-12]], "&gt;0"), 0)</f>
        <v/>
      </c>
      <c r="AT92" s="136">
        <f>MAX(Tabella01MarzoInverter[[#This Row],[Active power TX3-INV-1]:[Active power TX3-INV-12]])</f>
        <v/>
      </c>
      <c r="AU92" s="139">
        <f>MIN(Tabella01MarzoInverter[[#This Row],[Active power TX3-INV-1]:[Active power TX3-INV-12]])</f>
        <v/>
      </c>
    </row>
    <row r="93">
      <c r="A93" s="135" t="n">
        <v>46143</v>
      </c>
      <c r="B93" s="39" t="inlineStr">
        <is>
          <t>19:30:00.000</t>
        </is>
      </c>
      <c r="C93" s="136" t="n">
        <v>10.5</v>
      </c>
      <c r="D93" s="136" t="n">
        <v>10.4</v>
      </c>
      <c r="E93" s="136" t="n">
        <v>10.3</v>
      </c>
      <c r="F93" s="136" t="n">
        <v>10.6</v>
      </c>
      <c r="G93" s="136" t="n">
        <v>10.5</v>
      </c>
      <c r="H93" s="136" t="n">
        <v>10</v>
      </c>
      <c r="I93" s="136" t="n">
        <v>11.3</v>
      </c>
      <c r="J93" s="136" t="n">
        <v>13.8</v>
      </c>
      <c r="K93" s="136" t="n">
        <v>13.5</v>
      </c>
      <c r="L93" s="136" t="n">
        <v>12.8</v>
      </c>
      <c r="M93" s="136" t="n">
        <v>12.6</v>
      </c>
      <c r="N93" s="137" t="n">
        <v>11.1</v>
      </c>
      <c r="O93" s="138">
        <f>IFERROR(AVERAGEIF(Tabella01MarzoInverter[[#This Row],[Active power TX1-INV-1]:[Active power TX1-INV-12]], "&gt;0"), 0)</f>
        <v/>
      </c>
      <c r="P93" s="136">
        <f>MAX(Tabella01MarzoInverter[[#This Row],[Active power TX1-INV-1]:[Active power TX1-INV-12]])</f>
        <v/>
      </c>
      <c r="Q93" s="139">
        <f>MIN(Tabella01MarzoInverter[[#This Row],[Active power TX1-INV-1]:[Active power TX1-INV-12]])</f>
        <v/>
      </c>
      <c r="R93" s="140" t="n">
        <v>9.300000000000001</v>
      </c>
      <c r="S93" s="136" t="n">
        <v>10.3</v>
      </c>
      <c r="T93" s="136" t="n">
        <v>9.800000000000001</v>
      </c>
      <c r="U93" s="136" t="n">
        <v>8.800000000000001</v>
      </c>
      <c r="V93" s="136" t="n">
        <v>9.4</v>
      </c>
      <c r="W93" s="136" t="n">
        <v>10</v>
      </c>
      <c r="X93" s="136" t="n">
        <v>10.2</v>
      </c>
      <c r="Y93" s="136" t="n">
        <v>10.9</v>
      </c>
      <c r="Z93" s="136" t="n">
        <v>11</v>
      </c>
      <c r="AA93" s="136" t="n">
        <v>11.1</v>
      </c>
      <c r="AB93" s="136" t="n">
        <v>11.5</v>
      </c>
      <c r="AC93" s="137" t="n">
        <v>12.2</v>
      </c>
      <c r="AD93" s="138">
        <f>IFERROR(AVERAGEIF(Tabella01MarzoInverter[[#This Row],[Active power TX2-INV-1]:[Active power TX2-INV-12]], "&gt;0"), 0)</f>
        <v/>
      </c>
      <c r="AE93" s="136">
        <f>MAX(Tabella01MarzoInverter[[#This Row],[Active power TX2-INV-1]:[Active power TX2-INV-12]])</f>
        <v/>
      </c>
      <c r="AF93" s="139">
        <f>MIN(Tabella01MarzoInverter[[#This Row],[Active power TX2-INV-1]:[Active power TX2-INV-12]])</f>
        <v/>
      </c>
      <c r="AG93" s="140" t="n">
        <v>14.4</v>
      </c>
      <c r="AH93" s="136" t="n">
        <v>15.4</v>
      </c>
      <c r="AI93" s="136" t="n">
        <v>13.4</v>
      </c>
      <c r="AJ93" s="136" t="n">
        <v>13.6</v>
      </c>
      <c r="AK93" s="136" t="n">
        <v>13.3</v>
      </c>
      <c r="AL93" s="136" t="n">
        <v>12.1</v>
      </c>
      <c r="AM93" s="136" t="n">
        <v>12.9</v>
      </c>
      <c r="AN93" s="136" t="n">
        <v>13.1</v>
      </c>
      <c r="AO93" s="136" t="n">
        <v>14.7</v>
      </c>
      <c r="AP93" s="136" t="n">
        <v>16.3</v>
      </c>
      <c r="AQ93" s="136" t="n">
        <v>13.3</v>
      </c>
      <c r="AR93" s="137" t="n">
        <v>12.8</v>
      </c>
      <c r="AS93" s="138">
        <f>IFERROR(AVERAGEIF(Tabella01MarzoInverter[[#This Row],[Active power TX3-INV-1]:[Active power TX3-INV-12]], "&gt;0"), 0)</f>
        <v/>
      </c>
      <c r="AT93" s="136">
        <f>MAX(Tabella01MarzoInverter[[#This Row],[Active power TX3-INV-1]:[Active power TX3-INV-12]])</f>
        <v/>
      </c>
      <c r="AU93" s="139">
        <f>MIN(Tabella01MarzoInverter[[#This Row],[Active power TX3-INV-1]:[Active power TX3-INV-12]])</f>
        <v/>
      </c>
    </row>
    <row r="94">
      <c r="A94" s="135" t="n">
        <v>46143</v>
      </c>
      <c r="B94" s="45" t="inlineStr">
        <is>
          <t>19:45:00.000</t>
        </is>
      </c>
      <c r="C94" s="136" t="n">
        <v>6</v>
      </c>
      <c r="D94" s="136" t="n">
        <v>5.7</v>
      </c>
      <c r="E94" s="136" t="n">
        <v>5.7</v>
      </c>
      <c r="F94" s="136" t="n">
        <v>5.7</v>
      </c>
      <c r="G94" s="136" t="n">
        <v>5.9</v>
      </c>
      <c r="H94" s="136" t="n">
        <v>5.7</v>
      </c>
      <c r="I94" s="136" t="n">
        <v>5.2</v>
      </c>
      <c r="J94" s="136" t="n">
        <v>6.2</v>
      </c>
      <c r="K94" s="136" t="n">
        <v>6.1</v>
      </c>
      <c r="L94" s="136" t="n">
        <v>5.8</v>
      </c>
      <c r="M94" s="136" t="n">
        <v>5.6</v>
      </c>
      <c r="N94" s="137" t="n">
        <v>5.4</v>
      </c>
      <c r="O94" s="138">
        <f>IFERROR(AVERAGEIF(Tabella01MarzoInverter[[#This Row],[Active power TX1-INV-1]:[Active power TX1-INV-12]], "&gt;0"), 0)</f>
        <v/>
      </c>
      <c r="P94" s="136">
        <f>MAX(Tabella01MarzoInverter[[#This Row],[Active power TX1-INV-1]:[Active power TX1-INV-12]])</f>
        <v/>
      </c>
      <c r="Q94" s="139">
        <f>MIN(Tabella01MarzoInverter[[#This Row],[Active power TX1-INV-1]:[Active power TX1-INV-12]])</f>
        <v/>
      </c>
      <c r="R94" s="140" t="n">
        <v>5.7</v>
      </c>
      <c r="S94" s="136" t="n">
        <v>5.6</v>
      </c>
      <c r="T94" s="136" t="n">
        <v>5.4</v>
      </c>
      <c r="U94" s="136" t="n">
        <v>5.6</v>
      </c>
      <c r="V94" s="136" t="n">
        <v>5.9</v>
      </c>
      <c r="W94" s="136" t="n">
        <v>6</v>
      </c>
      <c r="X94" s="136" t="n">
        <v>6.1</v>
      </c>
      <c r="Y94" s="136" t="n">
        <v>6.4</v>
      </c>
      <c r="Z94" s="136" t="n">
        <v>6.7</v>
      </c>
      <c r="AA94" s="136" t="n">
        <v>6.6</v>
      </c>
      <c r="AB94" s="136" t="n">
        <v>6.7</v>
      </c>
      <c r="AC94" s="137" t="n">
        <v>6.8</v>
      </c>
      <c r="AD94" s="138">
        <f>IFERROR(AVERAGEIF(Tabella01MarzoInverter[[#This Row],[Active power TX2-INV-1]:[Active power TX2-INV-12]], "&gt;0"), 0)</f>
        <v/>
      </c>
      <c r="AE94" s="136">
        <f>MAX(Tabella01MarzoInverter[[#This Row],[Active power TX2-INV-1]:[Active power TX2-INV-12]])</f>
        <v/>
      </c>
      <c r="AF94" s="139">
        <f>MIN(Tabella01MarzoInverter[[#This Row],[Active power TX2-INV-1]:[Active power TX2-INV-12]])</f>
        <v/>
      </c>
      <c r="AG94" s="140" t="n">
        <v>5.9</v>
      </c>
      <c r="AH94" s="136" t="n">
        <v>6</v>
      </c>
      <c r="AI94" s="136" t="n">
        <v>5.8</v>
      </c>
      <c r="AJ94" s="136" t="n">
        <v>5.7</v>
      </c>
      <c r="AK94" s="136" t="n">
        <v>5.7</v>
      </c>
      <c r="AL94" s="136" t="n">
        <v>5.4</v>
      </c>
      <c r="AM94" s="136" t="n">
        <v>5.6</v>
      </c>
      <c r="AN94" s="136" t="n">
        <v>5.5</v>
      </c>
      <c r="AO94" s="136" t="n">
        <v>6</v>
      </c>
      <c r="AP94" s="136" t="n">
        <v>6.5</v>
      </c>
      <c r="AQ94" s="136" t="n">
        <v>5.7</v>
      </c>
      <c r="AR94" s="137" t="n">
        <v>5.6</v>
      </c>
      <c r="AS94" s="138">
        <f>IFERROR(AVERAGEIF(Tabella01MarzoInverter[[#This Row],[Active power TX3-INV-1]:[Active power TX3-INV-12]], "&gt;0"), 0)</f>
        <v/>
      </c>
      <c r="AT94" s="136">
        <f>MAX(Tabella01MarzoInverter[[#This Row],[Active power TX3-INV-1]:[Active power TX3-INV-12]])</f>
        <v/>
      </c>
      <c r="AU94" s="139">
        <f>MIN(Tabella01MarzoInverter[[#This Row],[Active power TX3-INV-1]:[Active power TX3-INV-12]])</f>
        <v/>
      </c>
    </row>
    <row r="95">
      <c r="A95" s="135" t="n">
        <v>46143</v>
      </c>
      <c r="B95" s="39" t="inlineStr">
        <is>
          <t>20:00:00.000</t>
        </is>
      </c>
      <c r="C95" s="136" t="n">
        <v>2</v>
      </c>
      <c r="D95" s="136" t="n">
        <v>1.9</v>
      </c>
      <c r="E95" s="136" t="n">
        <v>2</v>
      </c>
      <c r="F95" s="136" t="n">
        <v>2</v>
      </c>
      <c r="G95" s="136" t="n">
        <v>2</v>
      </c>
      <c r="H95" s="136" t="n">
        <v>2.2</v>
      </c>
      <c r="I95" s="136" t="n">
        <v>2</v>
      </c>
      <c r="J95" s="136" t="n">
        <v>2.2</v>
      </c>
      <c r="K95" s="136" t="n">
        <v>2.1</v>
      </c>
      <c r="L95" s="136" t="n">
        <v>2.2</v>
      </c>
      <c r="M95" s="136" t="n">
        <v>2.1</v>
      </c>
      <c r="N95" s="137" t="n">
        <v>2</v>
      </c>
      <c r="O95" s="138">
        <f>IFERROR(AVERAGEIF(Tabella01MarzoInverter[[#This Row],[Active power TX1-INV-1]:[Active power TX1-INV-12]], "&gt;0"), 0)</f>
        <v/>
      </c>
      <c r="P95" s="136">
        <f>MAX(Tabella01MarzoInverter[[#This Row],[Active power TX1-INV-1]:[Active power TX1-INV-12]])</f>
        <v/>
      </c>
      <c r="Q95" s="139">
        <f>MIN(Tabella01MarzoInverter[[#This Row],[Active power TX1-INV-1]:[Active power TX1-INV-12]])</f>
        <v/>
      </c>
      <c r="R95" s="140" t="n">
        <v>1.9</v>
      </c>
      <c r="S95" s="136" t="n">
        <v>2</v>
      </c>
      <c r="T95" s="136" t="n">
        <v>1.8</v>
      </c>
      <c r="U95" s="136" t="n">
        <v>1.9</v>
      </c>
      <c r="V95" s="136" t="n">
        <v>1.9</v>
      </c>
      <c r="W95" s="136" t="n">
        <v>2.1</v>
      </c>
      <c r="X95" s="136" t="n">
        <v>2</v>
      </c>
      <c r="Y95" s="136" t="n">
        <v>2.2</v>
      </c>
      <c r="Z95" s="136" t="n">
        <v>2.2</v>
      </c>
      <c r="AA95" s="136" t="n">
        <v>2</v>
      </c>
      <c r="AB95" s="136" t="n">
        <v>2.2</v>
      </c>
      <c r="AC95" s="137" t="n">
        <v>2.1</v>
      </c>
      <c r="AD95" s="138">
        <f>IFERROR(AVERAGEIF(Tabella01MarzoInverter[[#This Row],[Active power TX2-INV-1]:[Active power TX2-INV-12]], "&gt;0"), 0)</f>
        <v/>
      </c>
      <c r="AE95" s="136">
        <f>MAX(Tabella01MarzoInverter[[#This Row],[Active power TX2-INV-1]:[Active power TX2-INV-12]])</f>
        <v/>
      </c>
      <c r="AF95" s="139">
        <f>MIN(Tabella01MarzoInverter[[#This Row],[Active power TX2-INV-1]:[Active power TX2-INV-12]])</f>
        <v/>
      </c>
      <c r="AG95" s="140" t="n">
        <v>2.2</v>
      </c>
      <c r="AH95" s="136" t="n">
        <v>1.9</v>
      </c>
      <c r="AI95" s="136" t="n">
        <v>2.1</v>
      </c>
      <c r="AJ95" s="136" t="n">
        <v>2.1</v>
      </c>
      <c r="AK95" s="136" t="n">
        <v>2.2</v>
      </c>
      <c r="AL95" s="136" t="n">
        <v>2</v>
      </c>
      <c r="AM95" s="136" t="n">
        <v>2</v>
      </c>
      <c r="AN95" s="136" t="n">
        <v>2.1</v>
      </c>
      <c r="AO95" s="136" t="n">
        <v>2.2</v>
      </c>
      <c r="AP95" s="136" t="n">
        <v>2.2</v>
      </c>
      <c r="AQ95" s="136" t="n">
        <v>2.2</v>
      </c>
      <c r="AR95" s="137" t="n">
        <v>1.9</v>
      </c>
      <c r="AS95" s="138">
        <f>IFERROR(AVERAGEIF(Tabella01MarzoInverter[[#This Row],[Active power TX3-INV-1]:[Active power TX3-INV-12]], "&gt;0"), 0)</f>
        <v/>
      </c>
      <c r="AT95" s="136">
        <f>MAX(Tabella01MarzoInverter[[#This Row],[Active power TX3-INV-1]:[Active power TX3-INV-12]])</f>
        <v/>
      </c>
      <c r="AU95" s="139">
        <f>MIN(Tabella01MarzoInverter[[#This Row],[Active power TX3-INV-1]:[Active power TX3-INV-12]])</f>
        <v/>
      </c>
    </row>
    <row r="96">
      <c r="A96" s="135" t="n">
        <v>46143</v>
      </c>
      <c r="B96" s="45" t="inlineStr">
        <is>
          <t>20:15:00.000</t>
        </is>
      </c>
      <c r="C96" s="136" t="n">
        <v>0.2</v>
      </c>
      <c r="D96" s="136" t="n">
        <v>0.1</v>
      </c>
      <c r="E96" s="136" t="n">
        <v>0.4</v>
      </c>
      <c r="F96" s="136" t="n">
        <v>0.4</v>
      </c>
      <c r="G96" s="136" t="n">
        <v>0.6</v>
      </c>
      <c r="H96" s="136" t="n">
        <v>0.4</v>
      </c>
      <c r="I96" s="136" t="n">
        <v>0.4</v>
      </c>
      <c r="J96" s="136" t="n">
        <v>0.5</v>
      </c>
      <c r="K96" s="136" t="n">
        <v>0.5</v>
      </c>
      <c r="L96" s="136" t="n">
        <v>0.3</v>
      </c>
      <c r="M96" s="136" t="n">
        <v>0.2</v>
      </c>
      <c r="N96" s="137" t="n">
        <v>0.6</v>
      </c>
      <c r="O96" s="138">
        <f>IFERROR(AVERAGEIF(Tabella01MarzoInverter[[#This Row],[Active power TX1-INV-1]:[Active power TX1-INV-12]], "&gt;0"), 0)</f>
        <v/>
      </c>
      <c r="P96" s="136">
        <f>MAX(Tabella01MarzoInverter[[#This Row],[Active power TX1-INV-1]:[Active power TX1-INV-12]])</f>
        <v/>
      </c>
      <c r="Q96" s="139">
        <f>MIN(Tabella01MarzoInverter[[#This Row],[Active power TX1-INV-1]:[Active power TX1-INV-12]])</f>
        <v/>
      </c>
      <c r="R96" s="140" t="n">
        <v>0.4</v>
      </c>
      <c r="S96" s="136" t="n">
        <v>0.5</v>
      </c>
      <c r="T96" s="136" t="n">
        <v>0.2</v>
      </c>
      <c r="U96" s="136" t="n">
        <v>0.5</v>
      </c>
      <c r="V96" s="136" t="n">
        <v>0.7</v>
      </c>
      <c r="W96" s="136" t="n">
        <v>0.5</v>
      </c>
      <c r="X96" s="136" t="n">
        <v>0.5</v>
      </c>
      <c r="Y96" s="136" t="n">
        <v>0.4</v>
      </c>
      <c r="Z96" s="136" t="n">
        <v>0.6</v>
      </c>
      <c r="AA96" s="136" t="n">
        <v>0.4</v>
      </c>
      <c r="AB96" s="136" t="n">
        <v>0.2</v>
      </c>
      <c r="AC96" s="137" t="n">
        <v>0.7</v>
      </c>
      <c r="AD96" s="138">
        <f>IFERROR(AVERAGEIF(Tabella01MarzoInverter[[#This Row],[Active power TX2-INV-1]:[Active power TX2-INV-12]], "&gt;0"), 0)</f>
        <v/>
      </c>
      <c r="AE96" s="136">
        <f>MAX(Tabella01MarzoInverter[[#This Row],[Active power TX2-INV-1]:[Active power TX2-INV-12]])</f>
        <v/>
      </c>
      <c r="AF96" s="139">
        <f>MIN(Tabella01MarzoInverter[[#This Row],[Active power TX2-INV-1]:[Active power TX2-INV-12]])</f>
        <v/>
      </c>
      <c r="AG96" s="140" t="n">
        <v>0.6</v>
      </c>
      <c r="AH96" s="136" t="n">
        <v>0.7</v>
      </c>
      <c r="AI96" s="136" t="n">
        <v>0.5</v>
      </c>
      <c r="AJ96" s="136" t="n">
        <v>0.5</v>
      </c>
      <c r="AK96" s="136" t="n">
        <v>0.5</v>
      </c>
      <c r="AL96" s="136" t="n">
        <v>0.5</v>
      </c>
      <c r="AM96" s="136" t="n">
        <v>0.4</v>
      </c>
      <c r="AN96" s="136" t="n">
        <v>0.6</v>
      </c>
      <c r="AO96" s="136" t="n">
        <v>0.5</v>
      </c>
      <c r="AP96" s="136" t="n">
        <v>0.6</v>
      </c>
      <c r="AQ96" s="136" t="n">
        <v>0.6</v>
      </c>
      <c r="AR96" s="137" t="n">
        <v>0.4</v>
      </c>
      <c r="AS96" s="138">
        <f>IFERROR(AVERAGEIF(Tabella01MarzoInverter[[#This Row],[Active power TX3-INV-1]:[Active power TX3-INV-12]], "&gt;0"), 0)</f>
        <v/>
      </c>
      <c r="AT96" s="136">
        <f>MAX(Tabella01MarzoInverter[[#This Row],[Active power TX3-INV-1]:[Active power TX3-INV-12]])</f>
        <v/>
      </c>
      <c r="AU96" s="139">
        <f>MIN(Tabella01MarzoInverter[[#This Row],[Active power TX3-INV-1]:[Active power TX3-INV-12]])</f>
        <v/>
      </c>
    </row>
    <row r="97">
      <c r="A97" s="135" t="n">
        <v>46143</v>
      </c>
      <c r="B97" s="39" t="inlineStr">
        <is>
          <t>20:30:00.000</t>
        </is>
      </c>
      <c r="C97" s="136" t="n">
        <v>0.1</v>
      </c>
      <c r="D97" s="136" t="n">
        <v>0.1</v>
      </c>
      <c r="E97" s="136" t="n">
        <v>0.1</v>
      </c>
      <c r="F97" s="136" t="n">
        <v>0.1</v>
      </c>
      <c r="G97" s="136" t="n">
        <v>0.3</v>
      </c>
      <c r="H97" s="136" t="n">
        <v>0.1</v>
      </c>
      <c r="I97" s="136" t="n">
        <v>0.1</v>
      </c>
      <c r="J97" s="136" t="n">
        <v>0.1</v>
      </c>
      <c r="K97" s="136" t="n">
        <v>0.1</v>
      </c>
      <c r="L97" s="136" t="n">
        <v>0.1</v>
      </c>
      <c r="M97" s="136" t="n">
        <v>0.1</v>
      </c>
      <c r="N97" s="137" t="n">
        <v>0.2</v>
      </c>
      <c r="O97" s="138">
        <f>IFERROR(AVERAGEIF(Tabella01MarzoInverter[[#This Row],[Active power TX1-INV-1]:[Active power TX1-INV-12]], "&gt;0"), 0)</f>
        <v/>
      </c>
      <c r="P97" s="136">
        <f>MAX(Tabella01MarzoInverter[[#This Row],[Active power TX1-INV-1]:[Active power TX1-INV-12]])</f>
        <v/>
      </c>
      <c r="Q97" s="139">
        <f>MIN(Tabella01MarzoInverter[[#This Row],[Active power TX1-INV-1]:[Active power TX1-INV-12]])</f>
        <v/>
      </c>
      <c r="R97" s="140" t="n">
        <v>0.1</v>
      </c>
      <c r="S97" s="136" t="n">
        <v>0.1</v>
      </c>
      <c r="T97" s="136" t="n">
        <v>0.8</v>
      </c>
      <c r="U97" s="136" t="n">
        <v>0.1</v>
      </c>
      <c r="V97" s="136" t="n">
        <v>0.4</v>
      </c>
      <c r="W97" s="136" t="n">
        <v>0.1</v>
      </c>
      <c r="X97" s="136" t="n">
        <v>0.1</v>
      </c>
      <c r="Y97" s="136" t="n">
        <v>0.2</v>
      </c>
      <c r="Z97" s="136" t="n">
        <v>0.1</v>
      </c>
      <c r="AA97" s="136" t="n">
        <v>0.1</v>
      </c>
      <c r="AB97" s="136" t="n">
        <v>0.1</v>
      </c>
      <c r="AC97" s="137" t="n">
        <v>0.5</v>
      </c>
      <c r="AD97" s="138">
        <f>IFERROR(AVERAGEIF(Tabella01MarzoInverter[[#This Row],[Active power TX2-INV-1]:[Active power TX2-INV-12]], "&gt;0"), 0)</f>
        <v/>
      </c>
      <c r="AE97" s="136">
        <f>MAX(Tabella01MarzoInverter[[#This Row],[Active power TX2-INV-1]:[Active power TX2-INV-12]])</f>
        <v/>
      </c>
      <c r="AF97" s="139">
        <f>MIN(Tabella01MarzoInverter[[#This Row],[Active power TX2-INV-1]:[Active power TX2-INV-12]])</f>
        <v/>
      </c>
      <c r="AG97" s="140" t="n">
        <v>0.2</v>
      </c>
      <c r="AH97" s="136" t="n">
        <v>0.1</v>
      </c>
      <c r="AI97" s="136" t="n">
        <v>0.1</v>
      </c>
      <c r="AJ97" s="136" t="n">
        <v>0.1</v>
      </c>
      <c r="AK97" s="136" t="n">
        <v>0.1</v>
      </c>
      <c r="AL97" s="136" t="n">
        <v>0.1</v>
      </c>
      <c r="AM97" s="136" t="n">
        <v>0.1</v>
      </c>
      <c r="AN97" s="136" t="n">
        <v>0.1</v>
      </c>
      <c r="AO97" s="136" t="n">
        <v>0.1</v>
      </c>
      <c r="AP97" s="136" t="n">
        <v>0.1</v>
      </c>
      <c r="AQ97" s="136" t="n">
        <v>0.1</v>
      </c>
      <c r="AR97" s="137" t="n">
        <v>0.1</v>
      </c>
      <c r="AS97" s="138">
        <f>IFERROR(AVERAGEIF(Tabella01MarzoInverter[[#This Row],[Active power TX3-INV-1]:[Active power TX3-INV-12]], "&gt;0"), 0)</f>
        <v/>
      </c>
      <c r="AT97" s="136">
        <f>MAX(Tabella01MarzoInverter[[#This Row],[Active power TX3-INV-1]:[Active power TX3-INV-12]])</f>
        <v/>
      </c>
      <c r="AU97" s="139">
        <f>MIN(Tabella01MarzoInverter[[#This Row],[Active power TX3-INV-1]:[Active power TX3-INV-12]])</f>
        <v/>
      </c>
    </row>
    <row r="98">
      <c r="A98" s="135" t="n">
        <v>46143</v>
      </c>
      <c r="B98" s="45" t="inlineStr">
        <is>
          <t>20:45:00.000</t>
        </is>
      </c>
      <c r="C98" s="136" t="n">
        <v>0</v>
      </c>
      <c r="D98" s="136" t="n">
        <v>0</v>
      </c>
      <c r="E98" s="136" t="n">
        <v>0</v>
      </c>
      <c r="F98" s="136" t="n">
        <v>0</v>
      </c>
      <c r="G98" s="136" t="n">
        <v>0.1</v>
      </c>
      <c r="H98" s="136" t="n">
        <v>0</v>
      </c>
      <c r="I98" s="136" t="n">
        <v>0.1</v>
      </c>
      <c r="J98" s="136" t="n">
        <v>0.1</v>
      </c>
      <c r="K98" s="136" t="n">
        <v>0</v>
      </c>
      <c r="L98" s="136" t="n">
        <v>0</v>
      </c>
      <c r="M98" s="136" t="n">
        <v>0</v>
      </c>
      <c r="N98" s="137" t="n">
        <v>0.1</v>
      </c>
      <c r="O98" s="138">
        <f>IFERROR(AVERAGEIF(Tabella01MarzoInverter[[#This Row],[Active power TX1-INV-1]:[Active power TX1-INV-12]], "&gt;0"), 0)</f>
        <v/>
      </c>
      <c r="P98" s="136">
        <f>MAX(Tabella01MarzoInverter[[#This Row],[Active power TX1-INV-1]:[Active power TX1-INV-12]])</f>
        <v/>
      </c>
      <c r="Q98" s="139">
        <f>MIN(Tabella01MarzoInverter[[#This Row],[Active power TX1-INV-1]:[Active power TX1-INV-12]])</f>
        <v/>
      </c>
      <c r="R98" s="140" t="n">
        <v>0</v>
      </c>
      <c r="S98" s="136" t="n">
        <v>0</v>
      </c>
      <c r="T98" s="136" t="n">
        <v>0.3</v>
      </c>
      <c r="U98" s="136" t="n">
        <v>0</v>
      </c>
      <c r="V98" s="136" t="n">
        <v>0.1</v>
      </c>
      <c r="W98" s="136" t="n">
        <v>0</v>
      </c>
      <c r="X98" s="136" t="n">
        <v>0.1</v>
      </c>
      <c r="Y98" s="136" t="n">
        <v>0.1</v>
      </c>
      <c r="Z98" s="136" t="n">
        <v>0.1</v>
      </c>
      <c r="AA98" s="136" t="n">
        <v>0</v>
      </c>
      <c r="AB98" s="136" t="n">
        <v>0</v>
      </c>
      <c r="AC98" s="137" t="n">
        <v>0.2</v>
      </c>
      <c r="AD98" s="138">
        <f>IFERROR(AVERAGEIF(Tabella01MarzoInverter[[#This Row],[Active power TX2-INV-1]:[Active power TX2-INV-12]], "&gt;0"), 0)</f>
        <v/>
      </c>
      <c r="AE98" s="136">
        <f>MAX(Tabella01MarzoInverter[[#This Row],[Active power TX2-INV-1]:[Active power TX2-INV-12]])</f>
        <v/>
      </c>
      <c r="AF98" s="139">
        <f>MIN(Tabella01MarzoInverter[[#This Row],[Active power TX2-INV-1]:[Active power TX2-INV-12]])</f>
        <v/>
      </c>
      <c r="AG98" s="140" t="n">
        <v>0.1</v>
      </c>
      <c r="AH98" s="136" t="n">
        <v>0.1</v>
      </c>
      <c r="AI98" s="136" t="n">
        <v>0</v>
      </c>
      <c r="AJ98" s="136" t="n">
        <v>0</v>
      </c>
      <c r="AK98" s="136" t="n">
        <v>0.1</v>
      </c>
      <c r="AL98" s="136" t="n">
        <v>0.1</v>
      </c>
      <c r="AM98" s="136" t="n">
        <v>0</v>
      </c>
      <c r="AN98" s="136" t="n">
        <v>0.1</v>
      </c>
      <c r="AO98" s="136" t="n">
        <v>0</v>
      </c>
      <c r="AP98" s="136" t="n">
        <v>0.1</v>
      </c>
      <c r="AQ98" s="136" t="n">
        <v>0.1</v>
      </c>
      <c r="AR98" s="137" t="n">
        <v>0</v>
      </c>
      <c r="AS98" s="138">
        <f>IFERROR(AVERAGEIF(Tabella01MarzoInverter[[#This Row],[Active power TX3-INV-1]:[Active power TX3-INV-12]], "&gt;0"), 0)</f>
        <v/>
      </c>
      <c r="AT98" s="136">
        <f>MAX(Tabella01MarzoInverter[[#This Row],[Active power TX3-INV-1]:[Active power TX3-INV-12]])</f>
        <v/>
      </c>
      <c r="AU98" s="139">
        <f>MIN(Tabella01MarzoInverter[[#This Row],[Active power TX3-INV-1]:[Active power TX3-INV-12]])</f>
        <v/>
      </c>
    </row>
    <row r="99">
      <c r="A99" s="135" t="n">
        <v>46143</v>
      </c>
      <c r="B99" s="39" t="inlineStr">
        <is>
          <t>21:00:00.000</t>
        </is>
      </c>
      <c r="C99" s="136" t="n">
        <v>0</v>
      </c>
      <c r="D99" s="136" t="n">
        <v>0</v>
      </c>
      <c r="E99" s="136" t="n">
        <v>0</v>
      </c>
      <c r="F99" s="136" t="n">
        <v>0</v>
      </c>
      <c r="G99" s="136" t="n">
        <v>0</v>
      </c>
      <c r="H99" s="136" t="n">
        <v>0</v>
      </c>
      <c r="I99" s="136" t="n">
        <v>0</v>
      </c>
      <c r="J99" s="136" t="n">
        <v>0</v>
      </c>
      <c r="K99" s="136" t="n">
        <v>0</v>
      </c>
      <c r="L99" s="136" t="n">
        <v>0</v>
      </c>
      <c r="M99" s="136" t="n">
        <v>0</v>
      </c>
      <c r="N99" s="137" t="n">
        <v>0</v>
      </c>
      <c r="O99" s="138">
        <f>IFERROR(AVERAGEIF(Tabella01MarzoInverter[[#This Row],[Active power TX1-INV-1]:[Active power TX1-INV-12]], "&gt;0"), 0)</f>
        <v/>
      </c>
      <c r="P99" s="136">
        <f>MAX(Tabella01MarzoInverter[[#This Row],[Active power TX1-INV-1]:[Active power TX1-INV-12]])</f>
        <v/>
      </c>
      <c r="Q99" s="139">
        <f>MIN(Tabella01MarzoInverter[[#This Row],[Active power TX1-INV-1]:[Active power TX1-INV-12]])</f>
        <v/>
      </c>
      <c r="R99" s="140" t="n">
        <v>0</v>
      </c>
      <c r="S99" s="136" t="n">
        <v>0</v>
      </c>
      <c r="T99" s="136" t="n">
        <v>0.1</v>
      </c>
      <c r="U99" s="136" t="n">
        <v>0</v>
      </c>
      <c r="V99" s="136" t="n">
        <v>0</v>
      </c>
      <c r="W99" s="136" t="n">
        <v>0</v>
      </c>
      <c r="X99" s="136" t="n">
        <v>0</v>
      </c>
      <c r="Y99" s="136" t="n">
        <v>0</v>
      </c>
      <c r="Z99" s="136" t="n">
        <v>0</v>
      </c>
      <c r="AA99" s="136" t="n">
        <v>0</v>
      </c>
      <c r="AB99" s="136" t="n">
        <v>0</v>
      </c>
      <c r="AC99" s="137" t="n">
        <v>0.1</v>
      </c>
      <c r="AD99" s="138">
        <f>IFERROR(AVERAGEIF(Tabella01MarzoInverter[[#This Row],[Active power TX2-INV-1]:[Active power TX2-INV-12]], "&gt;0"), 0)</f>
        <v/>
      </c>
      <c r="AE99" s="136">
        <f>MAX(Tabella01MarzoInverter[[#This Row],[Active power TX2-INV-1]:[Active power TX2-INV-12]])</f>
        <v/>
      </c>
      <c r="AF99" s="139">
        <f>MIN(Tabella01MarzoInverter[[#This Row],[Active power TX2-INV-1]:[Active power TX2-INV-12]])</f>
        <v/>
      </c>
      <c r="AG99" s="140" t="n">
        <v>0</v>
      </c>
      <c r="AH99" s="136" t="n">
        <v>0</v>
      </c>
      <c r="AI99" s="136" t="n">
        <v>0</v>
      </c>
      <c r="AJ99" s="136" t="n">
        <v>0</v>
      </c>
      <c r="AK99" s="136" t="n">
        <v>0</v>
      </c>
      <c r="AL99" s="136" t="n">
        <v>0</v>
      </c>
      <c r="AM99" s="136" t="n">
        <v>0</v>
      </c>
      <c r="AN99" s="136" t="n">
        <v>0</v>
      </c>
      <c r="AO99" s="136" t="n">
        <v>0</v>
      </c>
      <c r="AP99" s="136" t="n">
        <v>0</v>
      </c>
      <c r="AQ99" s="136" t="n">
        <v>0</v>
      </c>
      <c r="AR99" s="137" t="n">
        <v>0</v>
      </c>
      <c r="AS99" s="138">
        <f>IFERROR(AVERAGEIF(Tabella01MarzoInverter[[#This Row],[Active power TX3-INV-1]:[Active power TX3-INV-12]], "&gt;0"), 0)</f>
        <v/>
      </c>
      <c r="AT99" s="136">
        <f>MAX(Tabella01MarzoInverter[[#This Row],[Active power TX3-INV-1]:[Active power TX3-INV-12]])</f>
        <v/>
      </c>
      <c r="AU99" s="139">
        <f>MIN(Tabella01MarzoInverter[[#This Row],[Active power TX3-INV-1]:[Active power TX3-INV-12]])</f>
        <v/>
      </c>
    </row>
    <row r="100">
      <c r="A100" s="135" t="n">
        <v>46143</v>
      </c>
      <c r="B100" s="45" t="inlineStr">
        <is>
          <t>21:15:00.000</t>
        </is>
      </c>
      <c r="C100" s="136" t="n">
        <v>0</v>
      </c>
      <c r="D100" s="136" t="n">
        <v>0</v>
      </c>
      <c r="E100" s="136" t="n">
        <v>0</v>
      </c>
      <c r="F100" s="136" t="n">
        <v>0</v>
      </c>
      <c r="G100" s="136" t="n">
        <v>0</v>
      </c>
      <c r="H100" s="136" t="n">
        <v>0</v>
      </c>
      <c r="I100" s="136" t="n">
        <v>0</v>
      </c>
      <c r="J100" s="136" t="n">
        <v>0</v>
      </c>
      <c r="K100" s="136" t="n">
        <v>0</v>
      </c>
      <c r="L100" s="136" t="n">
        <v>0</v>
      </c>
      <c r="M100" s="136" t="n">
        <v>0</v>
      </c>
      <c r="N100" s="137" t="n">
        <v>0</v>
      </c>
      <c r="O100" s="138">
        <f>IFERROR(AVERAGEIF(Tabella01MarzoInverter[[#This Row],[Active power TX1-INV-1]:[Active power TX1-INV-12]], "&gt;0"), 0)</f>
        <v/>
      </c>
      <c r="P100" s="136">
        <f>MAX(Tabella01MarzoInverter[[#This Row],[Active power TX1-INV-1]:[Active power TX1-INV-12]])</f>
        <v/>
      </c>
      <c r="Q100" s="139">
        <f>MIN(Tabella01MarzoInverter[[#This Row],[Active power TX1-INV-1]:[Active power TX1-INV-12]])</f>
        <v/>
      </c>
      <c r="R100" s="140" t="n">
        <v>0</v>
      </c>
      <c r="S100" s="136" t="n">
        <v>0</v>
      </c>
      <c r="T100" s="136" t="n">
        <v>0</v>
      </c>
      <c r="U100" s="136" t="n">
        <v>0</v>
      </c>
      <c r="V100" s="136" t="n">
        <v>0</v>
      </c>
      <c r="W100" s="136" t="n">
        <v>0</v>
      </c>
      <c r="X100" s="136" t="n">
        <v>0</v>
      </c>
      <c r="Y100" s="136" t="n">
        <v>0</v>
      </c>
      <c r="Z100" s="136" t="n">
        <v>0</v>
      </c>
      <c r="AA100" s="136" t="n">
        <v>0</v>
      </c>
      <c r="AB100" s="136" t="n">
        <v>0</v>
      </c>
      <c r="AC100" s="137" t="n">
        <v>0</v>
      </c>
      <c r="AD100" s="138">
        <f>IFERROR(AVERAGEIF(Tabella01MarzoInverter[[#This Row],[Active power TX2-INV-1]:[Active power TX2-INV-12]], "&gt;0"), 0)</f>
        <v/>
      </c>
      <c r="AE100" s="136">
        <f>MAX(Tabella01MarzoInverter[[#This Row],[Active power TX2-INV-1]:[Active power TX2-INV-12]])</f>
        <v/>
      </c>
      <c r="AF100" s="139">
        <f>MIN(Tabella01MarzoInverter[[#This Row],[Active power TX2-INV-1]:[Active power TX2-INV-12]])</f>
        <v/>
      </c>
      <c r="AG100" s="140" t="n">
        <v>0</v>
      </c>
      <c r="AH100" s="136" t="n">
        <v>0</v>
      </c>
      <c r="AI100" s="136" t="n">
        <v>0</v>
      </c>
      <c r="AJ100" s="136" t="n">
        <v>0</v>
      </c>
      <c r="AK100" s="136" t="n">
        <v>0</v>
      </c>
      <c r="AL100" s="136" t="n">
        <v>0</v>
      </c>
      <c r="AM100" s="136" t="n">
        <v>0</v>
      </c>
      <c r="AN100" s="136" t="n">
        <v>0</v>
      </c>
      <c r="AO100" s="136" t="n">
        <v>0</v>
      </c>
      <c r="AP100" s="136" t="n">
        <v>0</v>
      </c>
      <c r="AQ100" s="136" t="n">
        <v>0</v>
      </c>
      <c r="AR100" s="137" t="n">
        <v>0</v>
      </c>
      <c r="AS100" s="138">
        <f>IFERROR(AVERAGEIF(Tabella01MarzoInverter[[#This Row],[Active power TX3-INV-1]:[Active power TX3-INV-12]], "&gt;0"), 0)</f>
        <v/>
      </c>
      <c r="AT100" s="136">
        <f>MAX(Tabella01MarzoInverter[[#This Row],[Active power TX3-INV-1]:[Active power TX3-INV-12]])</f>
        <v/>
      </c>
      <c r="AU100" s="139">
        <f>MIN(Tabella01MarzoInverter[[#This Row],[Active power TX3-INV-1]:[Active power TX3-INV-12]])</f>
        <v/>
      </c>
    </row>
    <row r="101">
      <c r="A101" s="135" t="n">
        <v>46143</v>
      </c>
      <c r="B101" s="39" t="inlineStr">
        <is>
          <t>21:30:00.000</t>
        </is>
      </c>
      <c r="C101" s="136" t="n">
        <v>0</v>
      </c>
      <c r="D101" s="136" t="n">
        <v>0</v>
      </c>
      <c r="E101" s="136" t="n">
        <v>0</v>
      </c>
      <c r="F101" s="136" t="n">
        <v>0</v>
      </c>
      <c r="G101" s="136" t="n">
        <v>0</v>
      </c>
      <c r="H101" s="136" t="n">
        <v>0</v>
      </c>
      <c r="I101" s="136" t="n">
        <v>0</v>
      </c>
      <c r="J101" s="136" t="n">
        <v>0</v>
      </c>
      <c r="K101" s="136" t="n">
        <v>0</v>
      </c>
      <c r="L101" s="136" t="n">
        <v>0</v>
      </c>
      <c r="M101" s="136" t="n">
        <v>0</v>
      </c>
      <c r="N101" s="137" t="n">
        <v>0</v>
      </c>
      <c r="O101" s="138">
        <f>IFERROR(AVERAGEIF(Tabella01MarzoInverter[[#This Row],[Active power TX1-INV-1]:[Active power TX1-INV-12]], "&gt;0"), 0)</f>
        <v/>
      </c>
      <c r="P101" s="136">
        <f>MAX(Tabella01MarzoInverter[[#This Row],[Active power TX1-INV-1]:[Active power TX1-INV-12]])</f>
        <v/>
      </c>
      <c r="Q101" s="139">
        <f>MIN(Tabella01MarzoInverter[[#This Row],[Active power TX1-INV-1]:[Active power TX1-INV-12]])</f>
        <v/>
      </c>
      <c r="R101" s="140" t="n">
        <v>0</v>
      </c>
      <c r="S101" s="136" t="n">
        <v>0</v>
      </c>
      <c r="T101" s="136" t="n">
        <v>0</v>
      </c>
      <c r="U101" s="136" t="n">
        <v>0</v>
      </c>
      <c r="V101" s="136" t="n">
        <v>0</v>
      </c>
      <c r="W101" s="136" t="n">
        <v>0</v>
      </c>
      <c r="X101" s="136" t="n">
        <v>0</v>
      </c>
      <c r="Y101" s="136" t="n">
        <v>0</v>
      </c>
      <c r="Z101" s="136" t="n">
        <v>0</v>
      </c>
      <c r="AA101" s="136" t="n">
        <v>0</v>
      </c>
      <c r="AB101" s="136" t="n">
        <v>0</v>
      </c>
      <c r="AC101" s="137" t="n">
        <v>0</v>
      </c>
      <c r="AD101" s="138">
        <f>IFERROR(AVERAGEIF(Tabella01MarzoInverter[[#This Row],[Active power TX2-INV-1]:[Active power TX2-INV-12]], "&gt;0"), 0)</f>
        <v/>
      </c>
      <c r="AE101" s="136">
        <f>MAX(Tabella01MarzoInverter[[#This Row],[Active power TX2-INV-1]:[Active power TX2-INV-12]])</f>
        <v/>
      </c>
      <c r="AF101" s="139">
        <f>MIN(Tabella01MarzoInverter[[#This Row],[Active power TX2-INV-1]:[Active power TX2-INV-12]])</f>
        <v/>
      </c>
      <c r="AG101" s="140" t="n">
        <v>0</v>
      </c>
      <c r="AH101" s="136" t="n">
        <v>0</v>
      </c>
      <c r="AI101" s="136" t="n">
        <v>0</v>
      </c>
      <c r="AJ101" s="136" t="n">
        <v>0</v>
      </c>
      <c r="AK101" s="136" t="n">
        <v>0</v>
      </c>
      <c r="AL101" s="136" t="n">
        <v>0</v>
      </c>
      <c r="AM101" s="136" t="n">
        <v>0</v>
      </c>
      <c r="AN101" s="136" t="n">
        <v>0</v>
      </c>
      <c r="AO101" s="136" t="n">
        <v>0</v>
      </c>
      <c r="AP101" s="136" t="n">
        <v>0</v>
      </c>
      <c r="AQ101" s="136" t="n">
        <v>0</v>
      </c>
      <c r="AR101" s="137" t="n">
        <v>0</v>
      </c>
      <c r="AS101" s="138">
        <f>IFERROR(AVERAGEIF(Tabella01MarzoInverter[[#This Row],[Active power TX3-INV-1]:[Active power TX3-INV-12]], "&gt;0"), 0)</f>
        <v/>
      </c>
      <c r="AT101" s="136">
        <f>MAX(Tabella01MarzoInverter[[#This Row],[Active power TX3-INV-1]:[Active power TX3-INV-12]])</f>
        <v/>
      </c>
      <c r="AU101" s="139">
        <f>MIN(Tabella01MarzoInverter[[#This Row],[Active power TX3-INV-1]:[Active power TX3-INV-12]])</f>
        <v/>
      </c>
    </row>
    <row r="102">
      <c r="A102" s="135" t="n">
        <v>46143</v>
      </c>
      <c r="B102" s="45" t="inlineStr">
        <is>
          <t>21:45:00.000</t>
        </is>
      </c>
      <c r="C102" s="136" t="n">
        <v>0</v>
      </c>
      <c r="D102" s="136" t="n">
        <v>0</v>
      </c>
      <c r="E102" s="136" t="n">
        <v>0</v>
      </c>
      <c r="F102" s="136" t="n">
        <v>0</v>
      </c>
      <c r="G102" s="136" t="n">
        <v>0</v>
      </c>
      <c r="H102" s="136" t="n">
        <v>0</v>
      </c>
      <c r="I102" s="136" t="n">
        <v>0</v>
      </c>
      <c r="J102" s="136" t="n">
        <v>0</v>
      </c>
      <c r="K102" s="136" t="n">
        <v>0</v>
      </c>
      <c r="L102" s="136" t="n">
        <v>0</v>
      </c>
      <c r="M102" s="136" t="n">
        <v>0</v>
      </c>
      <c r="N102" s="137" t="n">
        <v>0</v>
      </c>
      <c r="O102" s="138">
        <f>IFERROR(AVERAGEIF(Tabella01MarzoInverter[[#This Row],[Active power TX1-INV-1]:[Active power TX1-INV-12]], "&gt;0"), 0)</f>
        <v/>
      </c>
      <c r="P102" s="136">
        <f>MAX(Tabella01MarzoInverter[[#This Row],[Active power TX1-INV-1]:[Active power TX1-INV-12]])</f>
        <v/>
      </c>
      <c r="Q102" s="139">
        <f>MIN(Tabella01MarzoInverter[[#This Row],[Active power TX1-INV-1]:[Active power TX1-INV-12]])</f>
        <v/>
      </c>
      <c r="R102" s="140" t="n">
        <v>0</v>
      </c>
      <c r="S102" s="136" t="n">
        <v>0</v>
      </c>
      <c r="T102" s="136" t="n">
        <v>0</v>
      </c>
      <c r="U102" s="136" t="n">
        <v>0</v>
      </c>
      <c r="V102" s="136" t="n">
        <v>0</v>
      </c>
      <c r="W102" s="136" t="n">
        <v>0</v>
      </c>
      <c r="X102" s="136" t="n">
        <v>0</v>
      </c>
      <c r="Y102" s="136" t="n">
        <v>0</v>
      </c>
      <c r="Z102" s="136" t="n">
        <v>0</v>
      </c>
      <c r="AA102" s="136" t="n">
        <v>0</v>
      </c>
      <c r="AB102" s="136" t="n">
        <v>0</v>
      </c>
      <c r="AC102" s="137" t="n">
        <v>0</v>
      </c>
      <c r="AD102" s="138">
        <f>IFERROR(AVERAGEIF(Tabella01MarzoInverter[[#This Row],[Active power TX2-INV-1]:[Active power TX2-INV-12]], "&gt;0"), 0)</f>
        <v/>
      </c>
      <c r="AE102" s="136">
        <f>MAX(Tabella01MarzoInverter[[#This Row],[Active power TX2-INV-1]:[Active power TX2-INV-12]])</f>
        <v/>
      </c>
      <c r="AF102" s="139">
        <f>MIN(Tabella01MarzoInverter[[#This Row],[Active power TX2-INV-1]:[Active power TX2-INV-12]])</f>
        <v/>
      </c>
      <c r="AG102" s="140" t="n">
        <v>0</v>
      </c>
      <c r="AH102" s="136" t="n">
        <v>0</v>
      </c>
      <c r="AI102" s="136" t="n">
        <v>0</v>
      </c>
      <c r="AJ102" s="136" t="n">
        <v>0</v>
      </c>
      <c r="AK102" s="136" t="n">
        <v>0</v>
      </c>
      <c r="AL102" s="136" t="n">
        <v>0</v>
      </c>
      <c r="AM102" s="136" t="n">
        <v>0</v>
      </c>
      <c r="AN102" s="136" t="n">
        <v>0</v>
      </c>
      <c r="AO102" s="136" t="n">
        <v>0</v>
      </c>
      <c r="AP102" s="136" t="n">
        <v>0</v>
      </c>
      <c r="AQ102" s="136" t="n">
        <v>0</v>
      </c>
      <c r="AR102" s="137" t="n">
        <v>0</v>
      </c>
      <c r="AS102" s="138">
        <f>IFERROR(AVERAGEIF(Tabella01MarzoInverter[[#This Row],[Active power TX3-INV-1]:[Active power TX3-INV-12]], "&gt;0"), 0)</f>
        <v/>
      </c>
      <c r="AT102" s="136">
        <f>MAX(Tabella01MarzoInverter[[#This Row],[Active power TX3-INV-1]:[Active power TX3-INV-12]])</f>
        <v/>
      </c>
      <c r="AU102" s="139">
        <f>MIN(Tabella01MarzoInverter[[#This Row],[Active power TX3-INV-1]:[Active power TX3-INV-12]])</f>
        <v/>
      </c>
    </row>
    <row r="103">
      <c r="A103" s="135" t="n">
        <v>46143</v>
      </c>
      <c r="B103" s="39" t="inlineStr">
        <is>
          <t>22:00:00.000</t>
        </is>
      </c>
      <c r="C103" s="136" t="n">
        <v>0</v>
      </c>
      <c r="D103" s="136" t="n">
        <v>0</v>
      </c>
      <c r="E103" s="136" t="n">
        <v>0</v>
      </c>
      <c r="F103" s="136" t="n">
        <v>0</v>
      </c>
      <c r="G103" s="136" t="n">
        <v>0</v>
      </c>
      <c r="H103" s="136" t="n">
        <v>0</v>
      </c>
      <c r="I103" s="136" t="n">
        <v>0</v>
      </c>
      <c r="J103" s="136" t="n">
        <v>0</v>
      </c>
      <c r="K103" s="136" t="n">
        <v>0</v>
      </c>
      <c r="L103" s="136" t="n">
        <v>0</v>
      </c>
      <c r="M103" s="136" t="n">
        <v>0</v>
      </c>
      <c r="N103" s="137" t="n">
        <v>0</v>
      </c>
      <c r="O103" s="138">
        <f>IFERROR(AVERAGEIF(Tabella01MarzoInverter[[#This Row],[Active power TX1-INV-1]:[Active power TX1-INV-12]], "&gt;0"), 0)</f>
        <v/>
      </c>
      <c r="P103" s="136">
        <f>MAX(Tabella01MarzoInverter[[#This Row],[Active power TX1-INV-1]:[Active power TX1-INV-12]])</f>
        <v/>
      </c>
      <c r="Q103" s="139">
        <f>MIN(Tabella01MarzoInverter[[#This Row],[Active power TX1-INV-1]:[Active power TX1-INV-12]])</f>
        <v/>
      </c>
      <c r="R103" s="140" t="n">
        <v>0</v>
      </c>
      <c r="S103" s="136" t="n">
        <v>0</v>
      </c>
      <c r="T103" s="136" t="n">
        <v>0</v>
      </c>
      <c r="U103" s="136" t="n">
        <v>0</v>
      </c>
      <c r="V103" s="136" t="n">
        <v>0</v>
      </c>
      <c r="W103" s="136" t="n">
        <v>0</v>
      </c>
      <c r="X103" s="136" t="n">
        <v>0</v>
      </c>
      <c r="Y103" s="136" t="n">
        <v>0</v>
      </c>
      <c r="Z103" s="136" t="n">
        <v>0</v>
      </c>
      <c r="AA103" s="136" t="n">
        <v>0</v>
      </c>
      <c r="AB103" s="136" t="n">
        <v>0</v>
      </c>
      <c r="AC103" s="137" t="n">
        <v>0</v>
      </c>
      <c r="AD103" s="138">
        <f>IFERROR(AVERAGEIF(Tabella01MarzoInverter[[#This Row],[Active power TX2-INV-1]:[Active power TX2-INV-12]], "&gt;0"), 0)</f>
        <v/>
      </c>
      <c r="AE103" s="136">
        <f>MAX(Tabella01MarzoInverter[[#This Row],[Active power TX2-INV-1]:[Active power TX2-INV-12]])</f>
        <v/>
      </c>
      <c r="AF103" s="139">
        <f>MIN(Tabella01MarzoInverter[[#This Row],[Active power TX2-INV-1]:[Active power TX2-INV-12]])</f>
        <v/>
      </c>
      <c r="AG103" s="140" t="n">
        <v>0</v>
      </c>
      <c r="AH103" s="136" t="n">
        <v>0</v>
      </c>
      <c r="AI103" s="136" t="n">
        <v>0</v>
      </c>
      <c r="AJ103" s="136" t="n">
        <v>0</v>
      </c>
      <c r="AK103" s="136" t="n">
        <v>0</v>
      </c>
      <c r="AL103" s="136" t="n">
        <v>0</v>
      </c>
      <c r="AM103" s="136" t="n">
        <v>0</v>
      </c>
      <c r="AN103" s="136" t="n">
        <v>0</v>
      </c>
      <c r="AO103" s="136" t="n">
        <v>0</v>
      </c>
      <c r="AP103" s="136" t="n">
        <v>0</v>
      </c>
      <c r="AQ103" s="136" t="n">
        <v>0</v>
      </c>
      <c r="AR103" s="137" t="n">
        <v>0</v>
      </c>
      <c r="AS103" s="138">
        <f>IFERROR(AVERAGEIF(Tabella01MarzoInverter[[#This Row],[Active power TX3-INV-1]:[Active power TX3-INV-12]], "&gt;0"), 0)</f>
        <v/>
      </c>
      <c r="AT103" s="136">
        <f>MAX(Tabella01MarzoInverter[[#This Row],[Active power TX3-INV-1]:[Active power TX3-INV-12]])</f>
        <v/>
      </c>
      <c r="AU103" s="139">
        <f>MIN(Tabella01MarzoInverter[[#This Row],[Active power TX3-INV-1]:[Active power TX3-INV-12]])</f>
        <v/>
      </c>
    </row>
    <row r="104">
      <c r="A104" s="135" t="n">
        <v>46143</v>
      </c>
      <c r="B104" s="45" t="inlineStr">
        <is>
          <t>22:15:00.000</t>
        </is>
      </c>
      <c r="C104" s="136" t="n">
        <v>0</v>
      </c>
      <c r="D104" s="136" t="n">
        <v>0</v>
      </c>
      <c r="E104" s="136" t="n">
        <v>0</v>
      </c>
      <c r="F104" s="136" t="n">
        <v>0</v>
      </c>
      <c r="G104" s="136" t="n">
        <v>0</v>
      </c>
      <c r="H104" s="136" t="n">
        <v>0</v>
      </c>
      <c r="I104" s="136" t="n">
        <v>0</v>
      </c>
      <c r="J104" s="136" t="n">
        <v>0</v>
      </c>
      <c r="K104" s="136" t="n">
        <v>0</v>
      </c>
      <c r="L104" s="136" t="n">
        <v>0</v>
      </c>
      <c r="M104" s="136" t="n">
        <v>0</v>
      </c>
      <c r="N104" s="137" t="n">
        <v>0</v>
      </c>
      <c r="O104" s="138">
        <f>IFERROR(AVERAGEIF(Tabella01MarzoInverter[[#This Row],[Active power TX1-INV-1]:[Active power TX1-INV-12]], "&gt;0"), 0)</f>
        <v/>
      </c>
      <c r="P104" s="136">
        <f>MAX(Tabella01MarzoInverter[[#This Row],[Active power TX1-INV-1]:[Active power TX1-INV-12]])</f>
        <v/>
      </c>
      <c r="Q104" s="139">
        <f>MIN(Tabella01MarzoInverter[[#This Row],[Active power TX1-INV-1]:[Active power TX1-INV-12]])</f>
        <v/>
      </c>
      <c r="R104" s="140" t="n">
        <v>0</v>
      </c>
      <c r="S104" s="136" t="n">
        <v>0</v>
      </c>
      <c r="T104" s="136" t="n">
        <v>0</v>
      </c>
      <c r="U104" s="136" t="n">
        <v>0</v>
      </c>
      <c r="V104" s="136" t="n">
        <v>0</v>
      </c>
      <c r="W104" s="136" t="n">
        <v>0</v>
      </c>
      <c r="X104" s="136" t="n">
        <v>0</v>
      </c>
      <c r="Y104" s="136" t="n">
        <v>0</v>
      </c>
      <c r="Z104" s="136" t="n">
        <v>0</v>
      </c>
      <c r="AA104" s="136" t="n">
        <v>0</v>
      </c>
      <c r="AB104" s="136" t="n">
        <v>0</v>
      </c>
      <c r="AC104" s="137" t="n">
        <v>0</v>
      </c>
      <c r="AD104" s="138">
        <f>IFERROR(AVERAGEIF(Tabella01MarzoInverter[[#This Row],[Active power TX2-INV-1]:[Active power TX2-INV-12]], "&gt;0"), 0)</f>
        <v/>
      </c>
      <c r="AE104" s="136">
        <f>MAX(Tabella01MarzoInverter[[#This Row],[Active power TX2-INV-1]:[Active power TX2-INV-12]])</f>
        <v/>
      </c>
      <c r="AF104" s="139">
        <f>MIN(Tabella01MarzoInverter[[#This Row],[Active power TX2-INV-1]:[Active power TX2-INV-12]])</f>
        <v/>
      </c>
      <c r="AG104" s="140" t="n">
        <v>0</v>
      </c>
      <c r="AH104" s="136" t="n">
        <v>0</v>
      </c>
      <c r="AI104" s="136" t="n">
        <v>0</v>
      </c>
      <c r="AJ104" s="136" t="n">
        <v>0</v>
      </c>
      <c r="AK104" s="136" t="n">
        <v>0</v>
      </c>
      <c r="AL104" s="136" t="n">
        <v>0</v>
      </c>
      <c r="AM104" s="136" t="n">
        <v>0</v>
      </c>
      <c r="AN104" s="136" t="n">
        <v>0</v>
      </c>
      <c r="AO104" s="136" t="n">
        <v>0</v>
      </c>
      <c r="AP104" s="136" t="n">
        <v>0</v>
      </c>
      <c r="AQ104" s="136" t="n">
        <v>0</v>
      </c>
      <c r="AR104" s="137" t="n">
        <v>0</v>
      </c>
      <c r="AS104" s="138">
        <f>IFERROR(AVERAGEIF(Tabella01MarzoInverter[[#This Row],[Active power TX3-INV-1]:[Active power TX3-INV-12]], "&gt;0"), 0)</f>
        <v/>
      </c>
      <c r="AT104" s="136">
        <f>MAX(Tabella01MarzoInverter[[#This Row],[Active power TX3-INV-1]:[Active power TX3-INV-12]])</f>
        <v/>
      </c>
      <c r="AU104" s="139">
        <f>MIN(Tabella01MarzoInverter[[#This Row],[Active power TX3-INV-1]:[Active power TX3-INV-12]])</f>
        <v/>
      </c>
    </row>
    <row r="105">
      <c r="A105" s="135" t="n">
        <v>46143</v>
      </c>
      <c r="B105" s="39" t="inlineStr">
        <is>
          <t>22:30:00.000</t>
        </is>
      </c>
      <c r="C105" s="136" t="n">
        <v>0</v>
      </c>
      <c r="D105" s="136" t="n">
        <v>0</v>
      </c>
      <c r="E105" s="136" t="n">
        <v>0</v>
      </c>
      <c r="F105" s="136" t="n">
        <v>0</v>
      </c>
      <c r="G105" s="136" t="n">
        <v>0</v>
      </c>
      <c r="H105" s="136" t="n">
        <v>0</v>
      </c>
      <c r="I105" s="136" t="n">
        <v>0</v>
      </c>
      <c r="J105" s="136" t="n">
        <v>0</v>
      </c>
      <c r="K105" s="136" t="n">
        <v>0</v>
      </c>
      <c r="L105" s="136" t="n">
        <v>0</v>
      </c>
      <c r="M105" s="136" t="n">
        <v>0</v>
      </c>
      <c r="N105" s="137" t="n">
        <v>0</v>
      </c>
      <c r="O105" s="138">
        <f>IFERROR(AVERAGEIF(Tabella01MarzoInverter[[#This Row],[Active power TX1-INV-1]:[Active power TX1-INV-12]], "&gt;0"), 0)</f>
        <v/>
      </c>
      <c r="P105" s="136">
        <f>MAX(Tabella01MarzoInverter[[#This Row],[Active power TX1-INV-1]:[Active power TX1-INV-12]])</f>
        <v/>
      </c>
      <c r="Q105" s="139">
        <f>MIN(Tabella01MarzoInverter[[#This Row],[Active power TX1-INV-1]:[Active power TX1-INV-12]])</f>
        <v/>
      </c>
      <c r="R105" s="140" t="n">
        <v>0</v>
      </c>
      <c r="S105" s="136" t="n">
        <v>0</v>
      </c>
      <c r="T105" s="136" t="n">
        <v>0</v>
      </c>
      <c r="U105" s="136" t="n">
        <v>0</v>
      </c>
      <c r="V105" s="136" t="n">
        <v>0</v>
      </c>
      <c r="W105" s="136" t="n">
        <v>0</v>
      </c>
      <c r="X105" s="136" t="n">
        <v>0</v>
      </c>
      <c r="Y105" s="136" t="n">
        <v>0</v>
      </c>
      <c r="Z105" s="136" t="n">
        <v>0</v>
      </c>
      <c r="AA105" s="136" t="n">
        <v>0</v>
      </c>
      <c r="AB105" s="136" t="n">
        <v>0</v>
      </c>
      <c r="AC105" s="137" t="n">
        <v>0</v>
      </c>
      <c r="AD105" s="138">
        <f>IFERROR(AVERAGEIF(Tabella01MarzoInverter[[#This Row],[Active power TX2-INV-1]:[Active power TX2-INV-12]], "&gt;0"), 0)</f>
        <v/>
      </c>
      <c r="AE105" s="136">
        <f>MAX(Tabella01MarzoInverter[[#This Row],[Active power TX2-INV-1]:[Active power TX2-INV-12]])</f>
        <v/>
      </c>
      <c r="AF105" s="139">
        <f>MIN(Tabella01MarzoInverter[[#This Row],[Active power TX2-INV-1]:[Active power TX2-INV-12]])</f>
        <v/>
      </c>
      <c r="AG105" s="140" t="n">
        <v>0</v>
      </c>
      <c r="AH105" s="136" t="n">
        <v>0</v>
      </c>
      <c r="AI105" s="136" t="n">
        <v>0</v>
      </c>
      <c r="AJ105" s="136" t="n">
        <v>0</v>
      </c>
      <c r="AK105" s="136" t="n">
        <v>0</v>
      </c>
      <c r="AL105" s="136" t="n">
        <v>0</v>
      </c>
      <c r="AM105" s="136" t="n">
        <v>0</v>
      </c>
      <c r="AN105" s="136" t="n">
        <v>0</v>
      </c>
      <c r="AO105" s="136" t="n">
        <v>0</v>
      </c>
      <c r="AP105" s="136" t="n">
        <v>0</v>
      </c>
      <c r="AQ105" s="136" t="n">
        <v>0</v>
      </c>
      <c r="AR105" s="137" t="n">
        <v>0</v>
      </c>
      <c r="AS105" s="138">
        <f>IFERROR(AVERAGEIF(Tabella01MarzoInverter[[#This Row],[Active power TX3-INV-1]:[Active power TX3-INV-12]], "&gt;0"), 0)</f>
        <v/>
      </c>
      <c r="AT105" s="136">
        <f>MAX(Tabella01MarzoInverter[[#This Row],[Active power TX3-INV-1]:[Active power TX3-INV-12]])</f>
        <v/>
      </c>
      <c r="AU105" s="139">
        <f>MIN(Tabella01MarzoInverter[[#This Row],[Active power TX3-INV-1]:[Active power TX3-INV-12]])</f>
        <v/>
      </c>
    </row>
    <row r="106">
      <c r="A106" s="135" t="n">
        <v>46143</v>
      </c>
      <c r="B106" s="45" t="inlineStr">
        <is>
          <t>22:45:00.000</t>
        </is>
      </c>
      <c r="C106" s="136" t="n">
        <v>0</v>
      </c>
      <c r="D106" s="136" t="n">
        <v>0</v>
      </c>
      <c r="E106" s="136" t="n">
        <v>0</v>
      </c>
      <c r="F106" s="136" t="n">
        <v>0</v>
      </c>
      <c r="G106" s="136" t="n">
        <v>0</v>
      </c>
      <c r="H106" s="136" t="n">
        <v>0</v>
      </c>
      <c r="I106" s="136" t="n">
        <v>0</v>
      </c>
      <c r="J106" s="136" t="n">
        <v>0</v>
      </c>
      <c r="K106" s="136" t="n">
        <v>0</v>
      </c>
      <c r="L106" s="136" t="n">
        <v>0</v>
      </c>
      <c r="M106" s="136" t="n">
        <v>0</v>
      </c>
      <c r="N106" s="137" t="n">
        <v>0</v>
      </c>
      <c r="O106" s="138">
        <f>IFERROR(AVERAGEIF(Tabella01MarzoInverter[[#This Row],[Active power TX1-INV-1]:[Active power TX1-INV-12]], "&gt;0"), 0)</f>
        <v/>
      </c>
      <c r="P106" s="136">
        <f>MAX(Tabella01MarzoInverter[[#This Row],[Active power TX1-INV-1]:[Active power TX1-INV-12]])</f>
        <v/>
      </c>
      <c r="Q106" s="139">
        <f>MIN(Tabella01MarzoInverter[[#This Row],[Active power TX1-INV-1]:[Active power TX1-INV-12]])</f>
        <v/>
      </c>
      <c r="R106" s="140" t="n">
        <v>0</v>
      </c>
      <c r="S106" s="136" t="n">
        <v>0</v>
      </c>
      <c r="T106" s="136" t="n">
        <v>0</v>
      </c>
      <c r="U106" s="136" t="n">
        <v>0</v>
      </c>
      <c r="V106" s="136" t="n">
        <v>0</v>
      </c>
      <c r="W106" s="136" t="n">
        <v>0</v>
      </c>
      <c r="X106" s="136" t="n">
        <v>0</v>
      </c>
      <c r="Y106" s="136" t="n">
        <v>0</v>
      </c>
      <c r="Z106" s="136" t="n">
        <v>0</v>
      </c>
      <c r="AA106" s="136" t="n">
        <v>0</v>
      </c>
      <c r="AB106" s="136" t="n">
        <v>0</v>
      </c>
      <c r="AC106" s="137" t="n">
        <v>0</v>
      </c>
      <c r="AD106" s="138">
        <f>IFERROR(AVERAGEIF(Tabella01MarzoInverter[[#This Row],[Active power TX2-INV-1]:[Active power TX2-INV-12]], "&gt;0"), 0)</f>
        <v/>
      </c>
      <c r="AE106" s="136">
        <f>MAX(Tabella01MarzoInverter[[#This Row],[Active power TX2-INV-1]:[Active power TX2-INV-12]])</f>
        <v/>
      </c>
      <c r="AF106" s="139">
        <f>MIN(Tabella01MarzoInverter[[#This Row],[Active power TX2-INV-1]:[Active power TX2-INV-12]])</f>
        <v/>
      </c>
      <c r="AG106" s="140" t="n">
        <v>0</v>
      </c>
      <c r="AH106" s="136" t="n">
        <v>0</v>
      </c>
      <c r="AI106" s="136" t="n">
        <v>0</v>
      </c>
      <c r="AJ106" s="136" t="n">
        <v>0</v>
      </c>
      <c r="AK106" s="136" t="n">
        <v>0</v>
      </c>
      <c r="AL106" s="136" t="n">
        <v>0</v>
      </c>
      <c r="AM106" s="136" t="n">
        <v>0</v>
      </c>
      <c r="AN106" s="136" t="n">
        <v>0</v>
      </c>
      <c r="AO106" s="136" t="n">
        <v>0</v>
      </c>
      <c r="AP106" s="136" t="n">
        <v>0</v>
      </c>
      <c r="AQ106" s="136" t="n">
        <v>0</v>
      </c>
      <c r="AR106" s="137" t="n">
        <v>0</v>
      </c>
      <c r="AS106" s="138">
        <f>IFERROR(AVERAGEIF(Tabella01MarzoInverter[[#This Row],[Active power TX3-INV-1]:[Active power TX3-INV-12]], "&gt;0"), 0)</f>
        <v/>
      </c>
      <c r="AT106" s="136">
        <f>MAX(Tabella01MarzoInverter[[#This Row],[Active power TX3-INV-1]:[Active power TX3-INV-12]])</f>
        <v/>
      </c>
      <c r="AU106" s="139">
        <f>MIN(Tabella01MarzoInverter[[#This Row],[Active power TX3-INV-1]:[Active power TX3-INV-12]])</f>
        <v/>
      </c>
    </row>
    <row r="107">
      <c r="A107" s="135" t="n">
        <v>46143</v>
      </c>
      <c r="B107" s="39" t="inlineStr">
        <is>
          <t>23:00:00.000</t>
        </is>
      </c>
      <c r="C107" s="136" t="n">
        <v>0</v>
      </c>
      <c r="D107" s="136" t="n">
        <v>0</v>
      </c>
      <c r="E107" s="136" t="n">
        <v>0</v>
      </c>
      <c r="F107" s="136" t="n">
        <v>0</v>
      </c>
      <c r="G107" s="136" t="n">
        <v>0</v>
      </c>
      <c r="H107" s="136" t="n">
        <v>0</v>
      </c>
      <c r="I107" s="136" t="n">
        <v>0</v>
      </c>
      <c r="J107" s="136" t="n">
        <v>0</v>
      </c>
      <c r="K107" s="136" t="n">
        <v>0</v>
      </c>
      <c r="L107" s="136" t="n">
        <v>0</v>
      </c>
      <c r="M107" s="136" t="n">
        <v>0</v>
      </c>
      <c r="N107" s="137" t="n">
        <v>0</v>
      </c>
      <c r="O107" s="138">
        <f>IFERROR(AVERAGEIF(Tabella01MarzoInverter[[#This Row],[Active power TX1-INV-1]:[Active power TX1-INV-12]], "&gt;0"), 0)</f>
        <v/>
      </c>
      <c r="P107" s="136">
        <f>MAX(Tabella01MarzoInverter[[#This Row],[Active power TX1-INV-1]:[Active power TX1-INV-12]])</f>
        <v/>
      </c>
      <c r="Q107" s="139">
        <f>MIN(Tabella01MarzoInverter[[#This Row],[Active power TX1-INV-1]:[Active power TX1-INV-12]])</f>
        <v/>
      </c>
      <c r="R107" s="140" t="n">
        <v>0</v>
      </c>
      <c r="S107" s="136" t="n">
        <v>0</v>
      </c>
      <c r="T107" s="136" t="n">
        <v>0</v>
      </c>
      <c r="U107" s="136" t="n">
        <v>0</v>
      </c>
      <c r="V107" s="136" t="n">
        <v>0</v>
      </c>
      <c r="W107" s="136" t="n">
        <v>0</v>
      </c>
      <c r="X107" s="136" t="n">
        <v>0</v>
      </c>
      <c r="Y107" s="136" t="n">
        <v>0</v>
      </c>
      <c r="Z107" s="136" t="n">
        <v>0</v>
      </c>
      <c r="AA107" s="136" t="n">
        <v>0</v>
      </c>
      <c r="AB107" s="136" t="n">
        <v>0</v>
      </c>
      <c r="AC107" s="137" t="n">
        <v>0</v>
      </c>
      <c r="AD107" s="138">
        <f>IFERROR(AVERAGEIF(Tabella01MarzoInverter[[#This Row],[Active power TX2-INV-1]:[Active power TX2-INV-12]], "&gt;0"), 0)</f>
        <v/>
      </c>
      <c r="AE107" s="136">
        <f>MAX(Tabella01MarzoInverter[[#This Row],[Active power TX2-INV-1]:[Active power TX2-INV-12]])</f>
        <v/>
      </c>
      <c r="AF107" s="139">
        <f>MIN(Tabella01MarzoInverter[[#This Row],[Active power TX2-INV-1]:[Active power TX2-INV-12]])</f>
        <v/>
      </c>
      <c r="AG107" s="140" t="n">
        <v>0</v>
      </c>
      <c r="AH107" s="136" t="n">
        <v>0</v>
      </c>
      <c r="AI107" s="136" t="n">
        <v>0</v>
      </c>
      <c r="AJ107" s="136" t="n">
        <v>0</v>
      </c>
      <c r="AK107" s="136" t="n">
        <v>0</v>
      </c>
      <c r="AL107" s="136" t="n">
        <v>0</v>
      </c>
      <c r="AM107" s="136" t="n">
        <v>0</v>
      </c>
      <c r="AN107" s="136" t="n">
        <v>0</v>
      </c>
      <c r="AO107" s="136" t="n">
        <v>0</v>
      </c>
      <c r="AP107" s="136" t="n">
        <v>0</v>
      </c>
      <c r="AQ107" s="136" t="n">
        <v>0</v>
      </c>
      <c r="AR107" s="137" t="n">
        <v>0</v>
      </c>
      <c r="AS107" s="138">
        <f>IFERROR(AVERAGEIF(Tabella01MarzoInverter[[#This Row],[Active power TX3-INV-1]:[Active power TX3-INV-12]], "&gt;0"), 0)</f>
        <v/>
      </c>
      <c r="AT107" s="136">
        <f>MAX(Tabella01MarzoInverter[[#This Row],[Active power TX3-INV-1]:[Active power TX3-INV-12]])</f>
        <v/>
      </c>
      <c r="AU107" s="139">
        <f>MIN(Tabella01MarzoInverter[[#This Row],[Active power TX3-INV-1]:[Active power TX3-INV-12]])</f>
        <v/>
      </c>
    </row>
    <row r="108">
      <c r="A108" s="135" t="n">
        <v>46143</v>
      </c>
      <c r="B108" s="45" t="inlineStr">
        <is>
          <t>23:15:00.000</t>
        </is>
      </c>
      <c r="C108" s="136" t="n">
        <v>0</v>
      </c>
      <c r="D108" s="136" t="n">
        <v>0</v>
      </c>
      <c r="E108" s="136" t="n">
        <v>0</v>
      </c>
      <c r="F108" s="136" t="n">
        <v>0</v>
      </c>
      <c r="G108" s="136" t="n">
        <v>0</v>
      </c>
      <c r="H108" s="136" t="n">
        <v>0</v>
      </c>
      <c r="I108" s="136" t="n">
        <v>0</v>
      </c>
      <c r="J108" s="136" t="n">
        <v>0</v>
      </c>
      <c r="K108" s="136" t="n">
        <v>0</v>
      </c>
      <c r="L108" s="136" t="n">
        <v>0</v>
      </c>
      <c r="M108" s="136" t="n">
        <v>0</v>
      </c>
      <c r="N108" s="137" t="n">
        <v>0</v>
      </c>
      <c r="O108" s="138">
        <f>IFERROR(AVERAGEIF(Tabella01MarzoInverter[[#This Row],[Active power TX1-INV-1]:[Active power TX1-INV-12]], "&gt;0"), 0)</f>
        <v/>
      </c>
      <c r="P108" s="136">
        <f>MAX(Tabella01MarzoInverter[[#This Row],[Active power TX1-INV-1]:[Active power TX1-INV-12]])</f>
        <v/>
      </c>
      <c r="Q108" s="139">
        <f>MIN(Tabella01MarzoInverter[[#This Row],[Active power TX1-INV-1]:[Active power TX1-INV-12]])</f>
        <v/>
      </c>
      <c r="R108" s="140" t="n">
        <v>0</v>
      </c>
      <c r="S108" s="136" t="n">
        <v>0</v>
      </c>
      <c r="T108" s="136" t="n">
        <v>0</v>
      </c>
      <c r="U108" s="136" t="n">
        <v>0</v>
      </c>
      <c r="V108" s="136" t="n">
        <v>0</v>
      </c>
      <c r="W108" s="136" t="n">
        <v>0</v>
      </c>
      <c r="X108" s="136" t="n">
        <v>0</v>
      </c>
      <c r="Y108" s="136" t="n">
        <v>0</v>
      </c>
      <c r="Z108" s="136" t="n">
        <v>0</v>
      </c>
      <c r="AA108" s="136" t="n">
        <v>0</v>
      </c>
      <c r="AB108" s="136" t="n">
        <v>0</v>
      </c>
      <c r="AC108" s="137" t="n">
        <v>0</v>
      </c>
      <c r="AD108" s="138">
        <f>IFERROR(AVERAGEIF(Tabella01MarzoInverter[[#This Row],[Active power TX2-INV-1]:[Active power TX2-INV-12]], "&gt;0"), 0)</f>
        <v/>
      </c>
      <c r="AE108" s="136">
        <f>MAX(Tabella01MarzoInverter[[#This Row],[Active power TX2-INV-1]:[Active power TX2-INV-12]])</f>
        <v/>
      </c>
      <c r="AF108" s="139">
        <f>MIN(Tabella01MarzoInverter[[#This Row],[Active power TX2-INV-1]:[Active power TX2-INV-12]])</f>
        <v/>
      </c>
      <c r="AG108" s="140" t="n">
        <v>0</v>
      </c>
      <c r="AH108" s="136" t="n">
        <v>0</v>
      </c>
      <c r="AI108" s="136" t="n">
        <v>0</v>
      </c>
      <c r="AJ108" s="136" t="n">
        <v>0</v>
      </c>
      <c r="AK108" s="136" t="n">
        <v>0</v>
      </c>
      <c r="AL108" s="136" t="n">
        <v>0</v>
      </c>
      <c r="AM108" s="136" t="n">
        <v>0</v>
      </c>
      <c r="AN108" s="136" t="n">
        <v>0</v>
      </c>
      <c r="AO108" s="136" t="n">
        <v>0</v>
      </c>
      <c r="AP108" s="136" t="n">
        <v>0</v>
      </c>
      <c r="AQ108" s="136" t="n">
        <v>0</v>
      </c>
      <c r="AR108" s="137" t="n">
        <v>0</v>
      </c>
      <c r="AS108" s="138">
        <f>IFERROR(AVERAGEIF(Tabella01MarzoInverter[[#This Row],[Active power TX3-INV-1]:[Active power TX3-INV-12]], "&gt;0"), 0)</f>
        <v/>
      </c>
      <c r="AT108" s="136">
        <f>MAX(Tabella01MarzoInverter[[#This Row],[Active power TX3-INV-1]:[Active power TX3-INV-12]])</f>
        <v/>
      </c>
      <c r="AU108" s="139">
        <f>MIN(Tabella01MarzoInverter[[#This Row],[Active power TX3-INV-1]:[Active power TX3-INV-12]])</f>
        <v/>
      </c>
    </row>
    <row r="109">
      <c r="A109" s="135" t="n">
        <v>46143</v>
      </c>
      <c r="B109" s="39" t="inlineStr">
        <is>
          <t>23:30:00.000</t>
        </is>
      </c>
      <c r="C109" s="136" t="n">
        <v>0</v>
      </c>
      <c r="D109" s="136" t="n">
        <v>0</v>
      </c>
      <c r="E109" s="136" t="n">
        <v>0</v>
      </c>
      <c r="F109" s="136" t="n">
        <v>0</v>
      </c>
      <c r="G109" s="136" t="n">
        <v>0</v>
      </c>
      <c r="H109" s="136" t="n">
        <v>0</v>
      </c>
      <c r="I109" s="136" t="n">
        <v>0</v>
      </c>
      <c r="J109" s="136" t="n">
        <v>0</v>
      </c>
      <c r="K109" s="136" t="n">
        <v>0</v>
      </c>
      <c r="L109" s="136" t="n">
        <v>0</v>
      </c>
      <c r="M109" s="136" t="n">
        <v>0</v>
      </c>
      <c r="N109" s="137" t="n">
        <v>0</v>
      </c>
      <c r="O109" s="138">
        <f>IFERROR(AVERAGEIF(Tabella01MarzoInverter[[#This Row],[Active power TX1-INV-1]:[Active power TX1-INV-12]], "&gt;0"), 0)</f>
        <v/>
      </c>
      <c r="P109" s="136">
        <f>MAX(Tabella01MarzoInverter[[#This Row],[Active power TX1-INV-1]:[Active power TX1-INV-12]])</f>
        <v/>
      </c>
      <c r="Q109" s="139">
        <f>MIN(Tabella01MarzoInverter[[#This Row],[Active power TX1-INV-1]:[Active power TX1-INV-12]])</f>
        <v/>
      </c>
      <c r="R109" s="140" t="n">
        <v>0</v>
      </c>
      <c r="S109" s="136" t="n">
        <v>0</v>
      </c>
      <c r="T109" s="136" t="n">
        <v>0</v>
      </c>
      <c r="U109" s="136" t="n">
        <v>0</v>
      </c>
      <c r="V109" s="136" t="n">
        <v>0</v>
      </c>
      <c r="W109" s="136" t="n">
        <v>0</v>
      </c>
      <c r="X109" s="136" t="n">
        <v>0</v>
      </c>
      <c r="Y109" s="136" t="n">
        <v>0</v>
      </c>
      <c r="Z109" s="136" t="n">
        <v>0</v>
      </c>
      <c r="AA109" s="136" t="n">
        <v>0</v>
      </c>
      <c r="AB109" s="136" t="n">
        <v>0</v>
      </c>
      <c r="AC109" s="137" t="n">
        <v>0</v>
      </c>
      <c r="AD109" s="138">
        <f>IFERROR(AVERAGEIF(Tabella01MarzoInverter[[#This Row],[Active power TX2-INV-1]:[Active power TX2-INV-12]], "&gt;0"), 0)</f>
        <v/>
      </c>
      <c r="AE109" s="136">
        <f>MAX(Tabella01MarzoInverter[[#This Row],[Active power TX2-INV-1]:[Active power TX2-INV-12]])</f>
        <v/>
      </c>
      <c r="AF109" s="139">
        <f>MIN(Tabella01MarzoInverter[[#This Row],[Active power TX2-INV-1]:[Active power TX2-INV-12]])</f>
        <v/>
      </c>
      <c r="AG109" s="140" t="n">
        <v>0</v>
      </c>
      <c r="AH109" s="136" t="n">
        <v>0</v>
      </c>
      <c r="AI109" s="136" t="n">
        <v>0</v>
      </c>
      <c r="AJ109" s="136" t="n">
        <v>0</v>
      </c>
      <c r="AK109" s="136" t="n">
        <v>0</v>
      </c>
      <c r="AL109" s="136" t="n">
        <v>0</v>
      </c>
      <c r="AM109" s="136" t="n">
        <v>0</v>
      </c>
      <c r="AN109" s="136" t="n">
        <v>0</v>
      </c>
      <c r="AO109" s="136" t="n">
        <v>0</v>
      </c>
      <c r="AP109" s="136" t="n">
        <v>0</v>
      </c>
      <c r="AQ109" s="136" t="n">
        <v>0</v>
      </c>
      <c r="AR109" s="137" t="n">
        <v>0</v>
      </c>
      <c r="AS109" s="138">
        <f>IFERROR(AVERAGEIF(Tabella01MarzoInverter[[#This Row],[Active power TX3-INV-1]:[Active power TX3-INV-12]], "&gt;0"), 0)</f>
        <v/>
      </c>
      <c r="AT109" s="136">
        <f>MAX(Tabella01MarzoInverter[[#This Row],[Active power TX3-INV-1]:[Active power TX3-INV-12]])</f>
        <v/>
      </c>
      <c r="AU109" s="139">
        <f>MIN(Tabella01MarzoInverter[[#This Row],[Active power TX3-INV-1]:[Active power TX3-INV-12]])</f>
        <v/>
      </c>
    </row>
    <row r="110">
      <c r="A110" s="135" t="n">
        <v>46143</v>
      </c>
      <c r="B110" s="45" t="inlineStr">
        <is>
          <t>23:45:00.000</t>
        </is>
      </c>
      <c r="C110" s="136" t="n">
        <v>0</v>
      </c>
      <c r="D110" s="136" t="n">
        <v>0</v>
      </c>
      <c r="E110" s="136" t="n">
        <v>0</v>
      </c>
      <c r="F110" s="136" t="n">
        <v>0</v>
      </c>
      <c r="G110" s="136" t="n">
        <v>0</v>
      </c>
      <c r="H110" s="136" t="n">
        <v>0</v>
      </c>
      <c r="I110" s="136" t="n">
        <v>0</v>
      </c>
      <c r="J110" s="136" t="n">
        <v>0</v>
      </c>
      <c r="K110" s="136" t="n">
        <v>0</v>
      </c>
      <c r="L110" s="136" t="n">
        <v>0</v>
      </c>
      <c r="M110" s="136" t="n">
        <v>0</v>
      </c>
      <c r="N110" s="137" t="n">
        <v>0</v>
      </c>
      <c r="O110" s="138">
        <f>IFERROR(AVERAGEIF(Tabella01MarzoInverter[[#This Row],[Active power TX1-INV-1]:[Active power TX1-INV-12]], "&gt;0"), 0)</f>
        <v/>
      </c>
      <c r="P110" s="136">
        <f>MAX(Tabella01MarzoInverter[[#This Row],[Active power TX1-INV-1]:[Active power TX1-INV-12]])</f>
        <v/>
      </c>
      <c r="Q110" s="139">
        <f>MIN(Tabella01MarzoInverter[[#This Row],[Active power TX1-INV-1]:[Active power TX1-INV-12]])</f>
        <v/>
      </c>
      <c r="R110" s="140" t="n">
        <v>0</v>
      </c>
      <c r="S110" s="136" t="n">
        <v>0</v>
      </c>
      <c r="T110" s="136" t="n">
        <v>0</v>
      </c>
      <c r="U110" s="136" t="n">
        <v>0</v>
      </c>
      <c r="V110" s="136" t="n">
        <v>0</v>
      </c>
      <c r="W110" s="136" t="n">
        <v>0</v>
      </c>
      <c r="X110" s="136" t="n">
        <v>0</v>
      </c>
      <c r="Y110" s="136" t="n">
        <v>0</v>
      </c>
      <c r="Z110" s="136" t="n">
        <v>0</v>
      </c>
      <c r="AA110" s="136" t="n">
        <v>0</v>
      </c>
      <c r="AB110" s="136" t="n">
        <v>0</v>
      </c>
      <c r="AC110" s="137" t="n">
        <v>0</v>
      </c>
      <c r="AD110" s="138">
        <f>IFERROR(AVERAGEIF(Tabella01MarzoInverter[[#This Row],[Active power TX2-INV-1]:[Active power TX2-INV-12]], "&gt;0"), 0)</f>
        <v/>
      </c>
      <c r="AE110" s="136">
        <f>MAX(Tabella01MarzoInverter[[#This Row],[Active power TX2-INV-1]:[Active power TX2-INV-12]])</f>
        <v/>
      </c>
      <c r="AF110" s="139">
        <f>MIN(Tabella01MarzoInverter[[#This Row],[Active power TX2-INV-1]:[Active power TX2-INV-12]])</f>
        <v/>
      </c>
      <c r="AG110" s="140" t="n">
        <v>0</v>
      </c>
      <c r="AH110" s="136" t="n">
        <v>0</v>
      </c>
      <c r="AI110" s="136" t="n">
        <v>0</v>
      </c>
      <c r="AJ110" s="136" t="n">
        <v>0</v>
      </c>
      <c r="AK110" s="136" t="n">
        <v>0</v>
      </c>
      <c r="AL110" s="136" t="n">
        <v>0</v>
      </c>
      <c r="AM110" s="136" t="n">
        <v>0</v>
      </c>
      <c r="AN110" s="136" t="n">
        <v>0</v>
      </c>
      <c r="AO110" s="136" t="n">
        <v>0</v>
      </c>
      <c r="AP110" s="136" t="n">
        <v>0</v>
      </c>
      <c r="AQ110" s="136" t="n">
        <v>0</v>
      </c>
      <c r="AR110" s="137" t="n">
        <v>0</v>
      </c>
      <c r="AS110" s="138">
        <f>IFERROR(AVERAGEIF(Tabella01MarzoInverter[[#This Row],[Active power TX3-INV-1]:[Active power TX3-INV-12]], "&gt;0"), 0)</f>
        <v/>
      </c>
      <c r="AT110" s="136">
        <f>MAX(Tabella01MarzoInverter[[#This Row],[Active power TX3-INV-1]:[Active power TX3-INV-12]])</f>
        <v/>
      </c>
      <c r="AU110" s="139">
        <f>MIN(Tabella01MarzoInverter[[#This Row],[Active power TX3-INV-1]:[Active power TX3-INV-12]])</f>
        <v/>
      </c>
    </row>
  </sheetData>
  <pageMargins left="0.7" right="0.7" top="0.75" bottom="0.75" header="0.3" footer="0.3"/>
  <pageSetup orientation="portrait" paperSize="9" horizontalDpi="1200" verticalDpi="12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B2" sqref="B2:D37"/>
    </sheetView>
  </sheetViews>
  <sheetFormatPr baseColWidth="8" defaultRowHeight="15"/>
  <sheetData>
    <row r="1" ht="63.75" customHeight="1" s="76">
      <c r="A1" s="8" t="inlineStr">
        <is>
          <t>CAMPO FV</t>
        </is>
      </c>
      <c r="B1" s="9" t="inlineStr">
        <is>
          <t>SOTTOCAMPI
INVERTER  BOX</t>
        </is>
      </c>
      <c r="C1" s="9" t="inlineStr">
        <is>
          <t>Potenza nominale DC  inverter 
[kVA]</t>
        </is>
      </c>
      <c r="D1" s="9" t="inlineStr">
        <is>
          <t>Potenza nominale AC  inverter 
[kVA]</t>
        </is>
      </c>
    </row>
    <row r="2">
      <c r="A2" s="17" t="inlineStr">
        <is>
          <t>T1</t>
        </is>
      </c>
      <c r="B2" s="17" t="inlineStr">
        <is>
          <t>1.1</t>
        </is>
      </c>
      <c r="C2" s="18" t="n">
        <v>343.75</v>
      </c>
      <c r="D2" s="18" t="n">
        <v>320</v>
      </c>
    </row>
    <row r="3">
      <c r="A3" s="16" t="n"/>
      <c r="B3" s="15" t="inlineStr">
        <is>
          <t>1.2</t>
        </is>
      </c>
      <c r="C3" s="13" t="n">
        <v>343.75</v>
      </c>
      <c r="D3" s="13" t="n">
        <v>320</v>
      </c>
    </row>
    <row r="4">
      <c r="A4" s="16" t="n"/>
      <c r="B4" s="15" t="inlineStr">
        <is>
          <t>1.3</t>
        </is>
      </c>
      <c r="C4" s="13" t="n">
        <v>343.75</v>
      </c>
      <c r="D4" s="13" t="n">
        <v>320</v>
      </c>
    </row>
    <row r="5">
      <c r="A5" s="16" t="n"/>
      <c r="B5" s="15" t="inlineStr">
        <is>
          <t>1.4</t>
        </is>
      </c>
      <c r="C5" s="13" t="n">
        <v>343.75</v>
      </c>
      <c r="D5" s="13" t="n">
        <v>320</v>
      </c>
    </row>
    <row r="6">
      <c r="A6" s="16" t="n"/>
      <c r="B6" s="15" t="inlineStr">
        <is>
          <t>1.5</t>
        </is>
      </c>
      <c r="C6" s="13" t="n">
        <v>343.75</v>
      </c>
      <c r="D6" s="13" t="n">
        <v>320</v>
      </c>
    </row>
    <row r="7">
      <c r="A7" s="16" t="n"/>
      <c r="B7" s="15" t="inlineStr">
        <is>
          <t>1.6</t>
        </is>
      </c>
      <c r="C7" s="13" t="n">
        <v>343.75</v>
      </c>
      <c r="D7" s="13" t="n">
        <v>320</v>
      </c>
    </row>
    <row r="8">
      <c r="A8" s="16" t="n"/>
      <c r="B8" s="15" t="inlineStr">
        <is>
          <t>1.7</t>
        </is>
      </c>
      <c r="C8" s="13" t="n">
        <v>343.75</v>
      </c>
      <c r="D8" s="13" t="n">
        <v>320</v>
      </c>
    </row>
    <row r="9">
      <c r="A9" s="16" t="n"/>
      <c r="B9" s="15" t="inlineStr">
        <is>
          <t>1.8</t>
        </is>
      </c>
      <c r="C9" s="13" t="n">
        <v>359.375</v>
      </c>
      <c r="D9" s="13" t="n">
        <v>320</v>
      </c>
    </row>
    <row r="10">
      <c r="A10" s="16" t="n"/>
      <c r="B10" s="15" t="inlineStr">
        <is>
          <t>1.9</t>
        </is>
      </c>
      <c r="C10" s="13" t="n">
        <v>359.375</v>
      </c>
      <c r="D10" s="13" t="n">
        <v>320</v>
      </c>
    </row>
    <row r="11">
      <c r="A11" s="16" t="n"/>
      <c r="B11" s="15" t="inlineStr">
        <is>
          <t>1.10</t>
        </is>
      </c>
      <c r="C11" s="13" t="n">
        <v>359.375</v>
      </c>
      <c r="D11" s="13" t="n">
        <v>320</v>
      </c>
    </row>
    <row r="12">
      <c r="A12" s="16" t="n"/>
      <c r="B12" s="15" t="inlineStr">
        <is>
          <t>1.11</t>
        </is>
      </c>
      <c r="C12" s="13" t="n">
        <v>359.375</v>
      </c>
      <c r="D12" s="13" t="n">
        <v>320</v>
      </c>
    </row>
    <row r="13">
      <c r="A13" s="16" t="n"/>
      <c r="B13" s="15" t="inlineStr">
        <is>
          <t>1.12</t>
        </is>
      </c>
      <c r="C13" s="13" t="n">
        <v>343.75</v>
      </c>
      <c r="D13" s="13" t="n">
        <v>320</v>
      </c>
    </row>
    <row r="14">
      <c r="A14" s="68" t="inlineStr">
        <is>
          <t>T2</t>
        </is>
      </c>
      <c r="B14" s="14" t="inlineStr">
        <is>
          <t>2.1</t>
        </is>
      </c>
      <c r="C14" s="13" t="n">
        <v>328.125</v>
      </c>
      <c r="D14" s="13" t="n">
        <v>320</v>
      </c>
    </row>
    <row r="15">
      <c r="A15" s="141" t="n"/>
      <c r="B15" s="14" t="inlineStr">
        <is>
          <t>2.2</t>
        </is>
      </c>
      <c r="C15" s="13" t="n">
        <v>343.75</v>
      </c>
      <c r="D15" s="13" t="n">
        <v>320</v>
      </c>
    </row>
    <row r="16">
      <c r="A16" s="141" t="n"/>
      <c r="B16" s="14" t="inlineStr">
        <is>
          <t>2.3</t>
        </is>
      </c>
      <c r="C16" s="13" t="n">
        <v>343.75</v>
      </c>
      <c r="D16" s="13" t="n">
        <v>320</v>
      </c>
    </row>
    <row r="17">
      <c r="A17" s="141" t="n"/>
      <c r="B17" s="14" t="inlineStr">
        <is>
          <t>2.4</t>
        </is>
      </c>
      <c r="C17" s="13" t="n">
        <v>328.125</v>
      </c>
      <c r="D17" s="13" t="n">
        <v>320</v>
      </c>
    </row>
    <row r="18">
      <c r="A18" s="141" t="n"/>
      <c r="B18" s="14" t="inlineStr">
        <is>
          <t>2.5</t>
        </is>
      </c>
      <c r="C18" s="13" t="n">
        <v>328.125</v>
      </c>
      <c r="D18" s="13" t="n">
        <v>320</v>
      </c>
    </row>
    <row r="19">
      <c r="A19" s="141" t="n"/>
      <c r="B19" s="14" t="inlineStr">
        <is>
          <t>2.6</t>
        </is>
      </c>
      <c r="C19" s="13" t="n">
        <v>359.375</v>
      </c>
      <c r="D19" s="13" t="n">
        <v>320</v>
      </c>
    </row>
    <row r="20">
      <c r="A20" s="141" t="n"/>
      <c r="B20" s="14" t="inlineStr">
        <is>
          <t>2.7</t>
        </is>
      </c>
      <c r="C20" s="13" t="n">
        <v>343.75</v>
      </c>
      <c r="D20" s="13" t="n">
        <v>320</v>
      </c>
    </row>
    <row r="21">
      <c r="A21" s="141" t="n"/>
      <c r="B21" s="14" t="inlineStr">
        <is>
          <t>2.8</t>
        </is>
      </c>
      <c r="C21" s="13" t="n">
        <v>359.375</v>
      </c>
      <c r="D21" s="13" t="n">
        <v>320</v>
      </c>
    </row>
    <row r="22">
      <c r="A22" s="141" t="n"/>
      <c r="B22" s="14" t="inlineStr">
        <is>
          <t>2.9</t>
        </is>
      </c>
      <c r="C22" s="13" t="n">
        <v>359.375</v>
      </c>
      <c r="D22" s="13" t="n">
        <v>320</v>
      </c>
    </row>
    <row r="23">
      <c r="A23" s="141" t="n"/>
      <c r="B23" s="14" t="inlineStr">
        <is>
          <t>2.10</t>
        </is>
      </c>
      <c r="C23" s="13" t="n">
        <v>343.75</v>
      </c>
      <c r="D23" s="13" t="n">
        <v>320</v>
      </c>
    </row>
    <row r="24">
      <c r="A24" s="141" t="n"/>
      <c r="B24" s="14" t="inlineStr">
        <is>
          <t>2.11</t>
        </is>
      </c>
      <c r="C24" s="13" t="n">
        <v>359.375</v>
      </c>
      <c r="D24" s="13" t="n">
        <v>320</v>
      </c>
    </row>
    <row r="25">
      <c r="A25" s="141" t="n"/>
      <c r="B25" s="14" t="inlineStr">
        <is>
          <t>2.12</t>
        </is>
      </c>
      <c r="C25" s="13" t="n">
        <v>359.375</v>
      </c>
      <c r="D25" s="13" t="n">
        <v>320</v>
      </c>
    </row>
    <row r="26">
      <c r="A26" s="66" t="inlineStr">
        <is>
          <t>T3</t>
        </is>
      </c>
      <c r="B26" s="12" t="inlineStr">
        <is>
          <t>3.1</t>
        </is>
      </c>
      <c r="C26" s="13" t="n">
        <v>359.375</v>
      </c>
      <c r="D26" s="13" t="n">
        <v>320</v>
      </c>
    </row>
    <row r="27">
      <c r="A27" s="141" t="n"/>
      <c r="B27" s="12" t="inlineStr">
        <is>
          <t>3.2</t>
        </is>
      </c>
      <c r="C27" s="13" t="n">
        <v>359.375</v>
      </c>
      <c r="D27" s="13" t="n">
        <v>320</v>
      </c>
    </row>
    <row r="28">
      <c r="A28" s="141" t="n"/>
      <c r="B28" s="12" t="inlineStr">
        <is>
          <t>3.3</t>
        </is>
      </c>
      <c r="C28" s="13" t="n">
        <v>359.375</v>
      </c>
      <c r="D28" s="13" t="n">
        <v>320</v>
      </c>
    </row>
    <row r="29">
      <c r="A29" s="141" t="n"/>
      <c r="B29" s="12" t="inlineStr">
        <is>
          <t>3.4</t>
        </is>
      </c>
      <c r="C29" s="13" t="n">
        <v>359.375</v>
      </c>
      <c r="D29" s="13" t="n">
        <v>320</v>
      </c>
    </row>
    <row r="30">
      <c r="A30" s="141" t="n"/>
      <c r="B30" s="12" t="inlineStr">
        <is>
          <t>3.5</t>
        </is>
      </c>
      <c r="C30" s="13" t="n">
        <v>359.375</v>
      </c>
      <c r="D30" s="13" t="n">
        <v>320</v>
      </c>
    </row>
    <row r="31">
      <c r="A31" s="141" t="n"/>
      <c r="B31" s="12" t="inlineStr">
        <is>
          <t>3.6</t>
        </is>
      </c>
      <c r="C31" s="13" t="n">
        <v>359.375</v>
      </c>
      <c r="D31" s="13" t="n">
        <v>320</v>
      </c>
    </row>
    <row r="32">
      <c r="A32" s="141" t="n"/>
      <c r="B32" s="12" t="inlineStr">
        <is>
          <t>3.7</t>
        </is>
      </c>
      <c r="C32" s="13" t="n">
        <v>359.375</v>
      </c>
      <c r="D32" s="13" t="n">
        <v>320</v>
      </c>
    </row>
    <row r="33">
      <c r="A33" s="141" t="n"/>
      <c r="B33" s="12" t="inlineStr">
        <is>
          <t>3.8</t>
        </is>
      </c>
      <c r="C33" s="13" t="n">
        <v>359.375</v>
      </c>
      <c r="D33" s="13" t="n">
        <v>320</v>
      </c>
    </row>
    <row r="34">
      <c r="A34" s="141" t="n"/>
      <c r="B34" s="12" t="inlineStr">
        <is>
          <t>3.9</t>
        </is>
      </c>
      <c r="C34" s="13" t="n">
        <v>359.375</v>
      </c>
      <c r="D34" s="13" t="n">
        <v>320</v>
      </c>
    </row>
    <row r="35">
      <c r="A35" s="141" t="n"/>
      <c r="B35" s="12" t="inlineStr">
        <is>
          <t>3.10</t>
        </is>
      </c>
      <c r="C35" s="13" t="n">
        <v>359.375</v>
      </c>
      <c r="D35" s="13" t="n">
        <v>320</v>
      </c>
    </row>
    <row r="36">
      <c r="A36" s="141" t="n"/>
      <c r="B36" s="12" t="inlineStr">
        <is>
          <t>3.11</t>
        </is>
      </c>
      <c r="C36" s="13" t="n">
        <v>359.375</v>
      </c>
      <c r="D36" s="13" t="n">
        <v>320</v>
      </c>
    </row>
    <row r="37">
      <c r="A37" s="141" t="n"/>
      <c r="B37" s="12" t="inlineStr">
        <is>
          <t>3.12</t>
        </is>
      </c>
      <c r="C37" s="13" t="n">
        <v>328.125</v>
      </c>
      <c r="D37" s="13" t="n">
        <v>320</v>
      </c>
    </row>
  </sheetData>
  <mergeCells count="2">
    <mergeCell ref="A26:A37"/>
    <mergeCell ref="A14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Lipari Gaspare</dc:creator>
  <dcterms:created xmlns:dcterms="http://purl.org/dc/terms/" xmlns:xsi="http://www.w3.org/2001/XMLSchema-instance" xsi:type="dcterms:W3CDTF">2026-03-25T08:47:59Z</dcterms:created>
  <dcterms:modified xmlns:dcterms="http://purl.org/dc/terms/" xmlns:xsi="http://www.w3.org/2001/XMLSchema-instance" xsi:type="dcterms:W3CDTF">2026-06-05T07:44:39Z</dcterms:modified>
  <cp:lastModifiedBy>Lipari Gaspare</cp:lastModifiedBy>
</cp:coreProperties>
</file>