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9 Testing\PR Calculation automation\original_format\"/>
    </mc:Choice>
  </mc:AlternateContent>
  <xr:revisionPtr revIDLastSave="0" documentId="13_ncr:1_{E4F9B91A-6FF7-41F5-8D54-20ECC171659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_Calc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30" i="1" l="1"/>
  <c r="AJ30" i="1"/>
  <c r="AK30" i="1"/>
  <c r="AL30" i="1"/>
  <c r="AM30" i="1"/>
  <c r="AN30" i="1"/>
  <c r="AO30" i="1"/>
  <c r="AP30" i="1"/>
  <c r="AQ30" i="1"/>
  <c r="AR30" i="1"/>
  <c r="AH30" i="1"/>
  <c r="AG30" i="1"/>
  <c r="W30" i="1"/>
  <c r="X30" i="1"/>
  <c r="Y30" i="1"/>
  <c r="Z30" i="1"/>
  <c r="AA30" i="1"/>
  <c r="AB30" i="1"/>
  <c r="AC30" i="1"/>
  <c r="AD30" i="1"/>
  <c r="AE30" i="1"/>
  <c r="AF30" i="1"/>
  <c r="V30" i="1"/>
  <c r="U30" i="1"/>
  <c r="K30" i="1"/>
  <c r="L30" i="1"/>
  <c r="M30" i="1"/>
  <c r="N30" i="1"/>
  <c r="O30" i="1"/>
  <c r="P30" i="1"/>
  <c r="Q30" i="1"/>
  <c r="R30" i="1"/>
  <c r="S30" i="1"/>
  <c r="T30" i="1"/>
  <c r="J30" i="1"/>
  <c r="B30" i="1"/>
  <c r="C30" i="1"/>
  <c r="D30" i="1"/>
  <c r="F30" i="1"/>
  <c r="H30" i="1"/>
  <c r="G30" i="1"/>
  <c r="I30" i="1"/>
  <c r="E35" i="1"/>
  <c r="D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</author>
  </authors>
  <commentList>
    <comment ref="T6" authorId="0" shapeId="0" xr:uid="{2FB631FE-7B5E-43DD-B31B-4C74D1CA6B64}">
      <text>
        <r>
          <rPr>
            <b/>
            <sz val="9"/>
            <color indexed="81"/>
            <rFont val="Tahoma"/>
            <charset val="1"/>
          </rPr>
          <t>Utente:</t>
        </r>
        <r>
          <rPr>
            <sz val="9"/>
            <color indexed="81"/>
            <rFont val="Tahoma"/>
            <charset val="1"/>
          </rPr>
          <t xml:space="preserve">
inverter guasto
</t>
        </r>
      </text>
    </comment>
  </commentList>
</comments>
</file>

<file path=xl/sharedStrings.xml><?xml version="1.0" encoding="utf-8"?>
<sst xmlns="http://schemas.openxmlformats.org/spreadsheetml/2006/main" count="45" uniqueCount="45">
  <si>
    <t>Dati</t>
  </si>
  <si>
    <t>Irradiance Conditional MAX
[KWh/m2]</t>
  </si>
  <si>
    <t>Energy (day)</t>
  </si>
  <si>
    <t>PR Total</t>
  </si>
  <si>
    <t>PR TX1-INV-1</t>
  </si>
  <si>
    <t>PR TX1-INV-2</t>
  </si>
  <si>
    <t>PR TX1-INV-3</t>
  </si>
  <si>
    <t>PR TX1-INV-4</t>
  </si>
  <si>
    <t>PR TX1-INV-5</t>
  </si>
  <si>
    <t>PR TX1-INV-6</t>
  </si>
  <si>
    <t>PR TX1-INV-7</t>
  </si>
  <si>
    <t>PR TX1-INV-8</t>
  </si>
  <si>
    <t>PR TX1-INV-9</t>
  </si>
  <si>
    <t>PR TX1-INV-10</t>
  </si>
  <si>
    <t>PR TX1-INV-11</t>
  </si>
  <si>
    <t>PR TX1-INV-12</t>
  </si>
  <si>
    <t>PR TX2-INV-1</t>
  </si>
  <si>
    <t>PR TX2-INV-2</t>
  </si>
  <si>
    <t>PR TX2-INV-3</t>
  </si>
  <si>
    <t>PR TX2-INV-4</t>
  </si>
  <si>
    <t>PR TX2-INV-5</t>
  </si>
  <si>
    <t>PR TX2-INV-6</t>
  </si>
  <si>
    <t>PR TX2-INV-7</t>
  </si>
  <si>
    <t>PR TX2-INV-8</t>
  </si>
  <si>
    <t>PR TX2-INV-9</t>
  </si>
  <si>
    <t>PR TX2-INV-10</t>
  </si>
  <si>
    <t>PR TX2-INV-11</t>
  </si>
  <si>
    <t>PR TX2-INV-12</t>
  </si>
  <si>
    <t>PR TX3-INV-1</t>
  </si>
  <si>
    <t>PR TX3-INV-2</t>
  </si>
  <si>
    <t>PR TX3-INV-3</t>
  </si>
  <si>
    <t>PR TX3-INV-4</t>
  </si>
  <si>
    <t>PR TX3-INV-5</t>
  </si>
  <si>
    <t>PR TX3-INV-6</t>
  </si>
  <si>
    <t>PR TX3-INV-7</t>
  </si>
  <si>
    <t>PR TX3-INV-8</t>
  </si>
  <si>
    <t>PR TX3-INV-9</t>
  </si>
  <si>
    <t>PR TX3-INV-10</t>
  </si>
  <si>
    <t>PR TX3-INV-11</t>
  </si>
  <si>
    <t>PR TX3-INV-12</t>
  </si>
  <si>
    <t>TX1 - Energy Loss
kW/H</t>
  </si>
  <si>
    <t>TX2 - Energy Loss
kW/H</t>
  </si>
  <si>
    <t>TX3 - Energy Loss
kW/H</t>
  </si>
  <si>
    <t>PR SCADA</t>
  </si>
  <si>
    <t>PR calculation every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</si>
</sst>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10]d\-mmm\-yy;@"/>
  </numFmts>
  <fonts count="4" x14ac:knownFonts="1">
    <font>
      <sz val="11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4" tint="0.59987182226020086"/>
        <bgColor rgb="FF71AAE0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164" fontId="0" fillId="0" borderId="1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5" fontId="0" fillId="4" borderId="1" xfId="0" applyNumberFormat="1" applyFill="1" applyBorder="1"/>
    <xf numFmtId="165" fontId="0" fillId="4" borderId="6" xfId="0" applyNumberFormat="1" applyFill="1" applyBorder="1"/>
    <xf numFmtId="0" fontId="0" fillId="3" borderId="7" xfId="0" applyFill="1" applyBorder="1" applyAlignment="1">
      <alignment horizontal="center" vertical="center"/>
    </xf>
    <xf numFmtId="164" fontId="0" fillId="0" borderId="6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2" fontId="0" fillId="0" borderId="8" xfId="0" applyNumberFormat="1" applyBorder="1"/>
    <xf numFmtId="0" fontId="1" fillId="2" borderId="1" xfId="0" applyFont="1" applyFill="1" applyBorder="1" applyAlignment="1">
      <alignment horizontal="center" vertical="center"/>
    </xf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</cellXfs>
  <cellStyles count="1">
    <cellStyle name="Normale" xfId="0" builtinId="0"/>
  </cellStyles>
  <dxfs count="88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numFmt numFmtId="165" formatCode="[$-410]d\-mmm\-yy;@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numFmt numFmtId="165" formatCode="[$-410]d\-mmm\-yy;@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numFmt numFmtId="165" formatCode="[$-410]d\-mmm\-yy;@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numFmt numFmtId="2" formatCode="0.0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numFmt numFmtId="2" formatCode="0.0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numFmt numFmtId="165" formatCode="[$-410]d\-mmm\-yy;@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numFmt numFmtId="165" formatCode="[$-410]d\-mmm\-yy;@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 style="medium">
          <color indexed="64"/>
        </left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 style="medium">
          <color indexed="64"/>
        </left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[$-410]d\-mmm\-yy;@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[$-410]d\-mmm\-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[$-410]d\-mmm\-yy;@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[$-410]d\-mmm\-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410]d\-mmm\-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410]d\-mmm\-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6C6AD"/>
      <rgbColor rgb="FF808080"/>
      <rgbColor rgb="FF71AAE0"/>
      <rgbColor rgb="FF993366"/>
      <rgbColor rgb="FFFFF2CC"/>
      <rgbColor rgb="FFC1E5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83CBEB"/>
      <rgbColor rgb="FFFFC7CE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01\get\2025.01%20Mazara%2001%20A2A\03%20-%20REPORT\Report\09%20Testing\PR%20Calculation%20automation\original_format\PR_recalculation_26_apr.xlsx" TargetMode="External"/><Relationship Id="rId1" Type="http://schemas.openxmlformats.org/officeDocument/2006/relationships/externalLinkPath" Target="PR_recalculation_26_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_Calc"/>
      <sheetName val="Inverter_data"/>
    </sheetNames>
    <sheetDataSet>
      <sheetData sheetId="0">
        <row r="5">
          <cell r="BA5">
            <v>0.84597940991010401</v>
          </cell>
        </row>
        <row r="111">
          <cell r="I111">
            <v>9.8637999999999977</v>
          </cell>
          <cell r="M111">
            <v>95099.999999998545</v>
          </cell>
          <cell r="O111">
            <v>0.85822998958753727</v>
          </cell>
          <cell r="P111">
            <v>0.8569062313765915</v>
          </cell>
          <cell r="Q111">
            <v>0.85982296382707624</v>
          </cell>
          <cell r="R111">
            <v>0.85966671030294295</v>
          </cell>
          <cell r="S111">
            <v>0.85880359559820818</v>
          </cell>
          <cell r="T111">
            <v>0.85674997785245799</v>
          </cell>
          <cell r="U111">
            <v>0.85532881484724654</v>
          </cell>
          <cell r="V111">
            <v>0.83395488557588593</v>
          </cell>
          <cell r="W111">
            <v>0.83188379849203453</v>
          </cell>
          <cell r="X111">
            <v>0.82917928614886016</v>
          </cell>
          <cell r="Y111">
            <v>0.83039631670328851</v>
          </cell>
          <cell r="Z111">
            <v>0.85632586114409648</v>
          </cell>
          <cell r="AA111">
            <v>2585.0777272727278</v>
          </cell>
          <cell r="AB111">
            <v>0.88474827088900154</v>
          </cell>
          <cell r="AC111">
            <v>0.85369931380985831</v>
          </cell>
          <cell r="AD111">
            <v>0.8526501830049642</v>
          </cell>
          <cell r="AE111">
            <v>0.88508345418566814</v>
          </cell>
          <cell r="AF111">
            <v>0.88811569377644273</v>
          </cell>
          <cell r="AG111">
            <v>0.82170629151640495</v>
          </cell>
          <cell r="AH111">
            <v>0.85136295159186715</v>
          </cell>
          <cell r="AI111">
            <v>0.82036115248256303</v>
          </cell>
          <cell r="AJ111">
            <v>0.81996970990657769</v>
          </cell>
          <cell r="AK111">
            <v>0.84956231574233276</v>
          </cell>
          <cell r="AL111">
            <v>0.81830429967420215</v>
          </cell>
          <cell r="AM111">
            <v>0.81933628464725528</v>
          </cell>
          <cell r="AN111">
            <v>2575.6800000000003</v>
          </cell>
          <cell r="AO111">
            <v>0.83918598181860449</v>
          </cell>
          <cell r="AP111">
            <v>0.83783372564701741</v>
          </cell>
          <cell r="AQ111">
            <v>0.83652417230190146</v>
          </cell>
          <cell r="AR111">
            <v>0.83746363448426697</v>
          </cell>
          <cell r="AS111">
            <v>0.83758462582593529</v>
          </cell>
          <cell r="AT111">
            <v>0.84009697544998896</v>
          </cell>
          <cell r="AU111">
            <v>0.84015908865212896</v>
          </cell>
          <cell r="AV111">
            <v>0.83466659935040544</v>
          </cell>
          <cell r="AW111">
            <v>0.83826787104947442</v>
          </cell>
          <cell r="AX111">
            <v>0.83846003376859424</v>
          </cell>
          <cell r="AY111">
            <v>0.83796895126417592</v>
          </cell>
          <cell r="AZ111">
            <v>0.90562317480697996</v>
          </cell>
          <cell r="BA111">
            <v>2630.3231818181821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APRL2026" displayName="TabellaAPRL2026" ref="A4:AR35" headerRowCount="0" totalsRowCount="1">
  <tableColumns count="44">
    <tableColumn id="1" xr3:uid="{00000000-0010-0000-0000-000001000000}" name="Colonna1" totalsRowDxfId="43"/>
    <tableColumn id="2" xr3:uid="{B14D2040-0C85-4ABB-B9F2-DB214B494F99}" name="Colonna4" dataDxfId="87" totalsRowDxfId="42"/>
    <tableColumn id="3" xr3:uid="{6146493F-E789-4F9A-A367-EE09E8A74459}" name="Colonna11" dataDxfId="86" totalsRowDxfId="41"/>
    <tableColumn id="4" xr3:uid="{50DD95C4-E191-4573-9275-92130C5D20B6}" name="Colonna12" totalsRowFunction="custom" dataDxfId="85" totalsRowDxfId="40">
      <totalsRowFormula>AVERAGE(D5:D34)</totalsRowFormula>
    </tableColumn>
    <tableColumn id="5" xr3:uid="{811DB1BF-4766-44EA-92AC-DE12BBC5C210}" name="Colonna7" totalsRowFunction="custom" dataDxfId="84" totalsRowDxfId="39">
      <totalsRowFormula>AVERAGE(E5:E34)</totalsRowFormula>
    </tableColumn>
    <tableColumn id="6" xr3:uid="{5F7D80EF-8BAA-4131-9F02-2B47B9B4D5BA}" name="Colonna13" dataDxfId="83" totalsRowDxfId="38"/>
    <tableColumn id="7" xr3:uid="{55D2D573-983E-4C5B-9C48-1BACCA393A88}" name="Colonna14" dataDxfId="82" totalsRowDxfId="37"/>
    <tableColumn id="8" xr3:uid="{7F240FDF-A189-4AF5-8F29-DEEFB888A9A0}" name="Colonna15" dataDxfId="81" totalsRowDxfId="36"/>
    <tableColumn id="14" xr3:uid="{00000000-0010-0000-0000-00000E000000}" name="Colonna24" dataDxfId="80" totalsRowDxfId="35"/>
    <tableColumn id="15" xr3:uid="{00000000-0010-0000-0000-00000F000000}" name="Colonna31" dataDxfId="53" totalsRowDxfId="34"/>
    <tableColumn id="16" xr3:uid="{00000000-0010-0000-0000-000010000000}" name="Colonna32" dataDxfId="52" totalsRowDxfId="33"/>
    <tableColumn id="17" xr3:uid="{00000000-0010-0000-0000-000011000000}" name="Colonna33" dataDxfId="51" totalsRowDxfId="32"/>
    <tableColumn id="18" xr3:uid="{00000000-0010-0000-0000-000012000000}" name="Colonna34" dataDxfId="50" totalsRowDxfId="31"/>
    <tableColumn id="19" xr3:uid="{00000000-0010-0000-0000-000013000000}" name="Colonna35" dataDxfId="49" totalsRowDxfId="30"/>
    <tableColumn id="20" xr3:uid="{00000000-0010-0000-0000-000014000000}" name="Colonna36" dataDxfId="48" totalsRowDxfId="29"/>
    <tableColumn id="21" xr3:uid="{00000000-0010-0000-0000-000015000000}" name="Colonna37" dataDxfId="47" totalsRowDxfId="28"/>
    <tableColumn id="22" xr3:uid="{00000000-0010-0000-0000-000016000000}" name="Colonna3" dataDxfId="46" totalsRowDxfId="27"/>
    <tableColumn id="23" xr3:uid="{00000000-0010-0000-0000-000017000000}" name="Colonna17" dataDxfId="45" totalsRowDxfId="26"/>
    <tableColumn id="24" xr3:uid="{00000000-0010-0000-0000-000018000000}" name="Colonna19" dataDxfId="44" totalsRowDxfId="25"/>
    <tableColumn id="25" xr3:uid="{00000000-0010-0000-0000-000019000000}" name="Colonna20" dataDxfId="79" totalsRowDxfId="24"/>
    <tableColumn id="30" xr3:uid="{00000000-0010-0000-0000-00001E000000}" name="Colonna39" dataDxfId="78" totalsRowDxfId="23"/>
    <tableColumn id="31" xr3:uid="{00000000-0010-0000-0000-00001F000000}" name="Colonna40" dataDxfId="77" totalsRowDxfId="22"/>
    <tableColumn id="32" xr3:uid="{00000000-0010-0000-0000-000020000000}" name="Colonna41" dataDxfId="76" totalsRowDxfId="21"/>
    <tableColumn id="33" xr3:uid="{00000000-0010-0000-0000-000021000000}" name="Colonna42" dataDxfId="75" totalsRowDxfId="20"/>
    <tableColumn id="34" xr3:uid="{00000000-0010-0000-0000-000022000000}" name="Colonna43" dataDxfId="74" totalsRowDxfId="19"/>
    <tableColumn id="35" xr3:uid="{00000000-0010-0000-0000-000023000000}" name="Colonna44" dataDxfId="73" totalsRowDxfId="18"/>
    <tableColumn id="36" xr3:uid="{00000000-0010-0000-0000-000024000000}" name="Colonna45" dataDxfId="72" totalsRowDxfId="17"/>
    <tableColumn id="37" xr3:uid="{00000000-0010-0000-0000-000025000000}" name="Colonna46" dataDxfId="71" totalsRowDxfId="16"/>
    <tableColumn id="38" xr3:uid="{00000000-0010-0000-0000-000026000000}" name="Colonna38" dataDxfId="70" totalsRowDxfId="15"/>
    <tableColumn id="39" xr3:uid="{00000000-0010-0000-0000-000027000000}" name="Colonna2" dataDxfId="69" totalsRowDxfId="14"/>
    <tableColumn id="40" xr3:uid="{00000000-0010-0000-0000-000028000000}" name="Colonna5" dataDxfId="68" totalsRowDxfId="13"/>
    <tableColumn id="41" xr3:uid="{00000000-0010-0000-0000-000029000000}" name="Colonna6" dataDxfId="67" totalsRowDxfId="12"/>
    <tableColumn id="46" xr3:uid="{00000000-0010-0000-0000-00002E000000}" name="Colonna54" dataDxfId="66" totalsRowDxfId="11"/>
    <tableColumn id="47" xr3:uid="{00000000-0010-0000-0000-00002F000000}" name="Colonna55" dataDxfId="65" totalsRowDxfId="10"/>
    <tableColumn id="48" xr3:uid="{00000000-0010-0000-0000-000030000000}" name="Colonna56" dataDxfId="64" totalsRowDxfId="9"/>
    <tableColumn id="49" xr3:uid="{00000000-0010-0000-0000-000031000000}" name="Colonna57" dataDxfId="63" totalsRowDxfId="8"/>
    <tableColumn id="50" xr3:uid="{00000000-0010-0000-0000-000032000000}" name="Colonna58" dataDxfId="62" totalsRowDxfId="7"/>
    <tableColumn id="51" xr3:uid="{00000000-0010-0000-0000-000033000000}" name="Colonna59" dataDxfId="61" totalsRowDxfId="6"/>
    <tableColumn id="52" xr3:uid="{00000000-0010-0000-0000-000034000000}" name="Colonna60" dataDxfId="60" totalsRowDxfId="5"/>
    <tableColumn id="53" xr3:uid="{00000000-0010-0000-0000-000035000000}" name="Colonna61" dataDxfId="59" totalsRowDxfId="4"/>
    <tableColumn id="54" xr3:uid="{00000000-0010-0000-0000-000036000000}" name="Colonna50" dataDxfId="58" totalsRowDxfId="3"/>
    <tableColumn id="55" xr3:uid="{00000000-0010-0000-0000-000037000000}" name="Colonna51" dataDxfId="57" totalsRowDxfId="2"/>
    <tableColumn id="56" xr3:uid="{00000000-0010-0000-0000-000038000000}" name="Colonna52" dataDxfId="56" totalsRowDxfId="1"/>
    <tableColumn id="57" xr3:uid="{00000000-0010-0000-0000-000039000000}" name="Colonna53" dataDxfId="55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5"/>
  <sheetViews>
    <sheetView tabSelected="1" zoomScale="85" zoomScaleNormal="85" workbookViewId="0">
      <pane xSplit="1" ySplit="4" topLeftCell="B23" activePane="bottomRight" state="frozen"/>
      <selection pane="topRight" activeCell="I1" sqref="I1"/>
      <selection pane="bottomLeft" activeCell="A15" sqref="A15"/>
      <selection pane="bottomRight" activeCell="K36" sqref="K36"/>
    </sheetView>
  </sheetViews>
  <sheetFormatPr defaultColWidth="13.28515625" defaultRowHeight="15" x14ac:dyDescent="0.25"/>
  <sheetData>
    <row r="1" spans="1:44" ht="19.5" customHeight="1" x14ac:dyDescent="0.25">
      <c r="A1" s="20" t="s">
        <v>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spans="1:44" s="1" customFormat="1" ht="15" customHeight="1" x14ac:dyDescent="0.25"/>
    <row r="3" spans="1:44" s="1" customFormat="1" ht="15.75" customHeight="1" thickBot="1" x14ac:dyDescent="0.3"/>
    <row r="4" spans="1:44" s="1" customFormat="1" ht="75" customHeight="1" thickBot="1" x14ac:dyDescent="0.3">
      <c r="A4" s="9" t="s">
        <v>0</v>
      </c>
      <c r="B4" s="25" t="s">
        <v>1</v>
      </c>
      <c r="C4" s="26" t="s">
        <v>2</v>
      </c>
      <c r="D4" s="27" t="s">
        <v>3</v>
      </c>
      <c r="E4" s="25" t="s">
        <v>43</v>
      </c>
      <c r="F4" s="26" t="s">
        <v>40</v>
      </c>
      <c r="G4" s="25" t="s">
        <v>41</v>
      </c>
      <c r="H4" s="28" t="s">
        <v>42</v>
      </c>
      <c r="I4" s="29" t="s">
        <v>4</v>
      </c>
      <c r="J4" s="25" t="s">
        <v>5</v>
      </c>
      <c r="K4" s="25" t="s">
        <v>6</v>
      </c>
      <c r="L4" s="25" t="s">
        <v>7</v>
      </c>
      <c r="M4" s="25" t="s">
        <v>8</v>
      </c>
      <c r="N4" s="25" t="s">
        <v>9</v>
      </c>
      <c r="O4" s="25" t="s">
        <v>10</v>
      </c>
      <c r="P4" s="25" t="s">
        <v>11</v>
      </c>
      <c r="Q4" s="25" t="s">
        <v>12</v>
      </c>
      <c r="R4" s="25" t="s">
        <v>13</v>
      </c>
      <c r="S4" s="25" t="s">
        <v>14</v>
      </c>
      <c r="T4" s="28" t="s">
        <v>15</v>
      </c>
      <c r="U4" s="29" t="s">
        <v>16</v>
      </c>
      <c r="V4" s="25" t="s">
        <v>17</v>
      </c>
      <c r="W4" s="25" t="s">
        <v>18</v>
      </c>
      <c r="X4" s="25" t="s">
        <v>19</v>
      </c>
      <c r="Y4" s="25" t="s">
        <v>20</v>
      </c>
      <c r="Z4" s="25" t="s">
        <v>21</v>
      </c>
      <c r="AA4" s="25" t="s">
        <v>22</v>
      </c>
      <c r="AB4" s="25" t="s">
        <v>23</v>
      </c>
      <c r="AC4" s="25" t="s">
        <v>24</v>
      </c>
      <c r="AD4" s="25" t="s">
        <v>25</v>
      </c>
      <c r="AE4" s="25" t="s">
        <v>26</v>
      </c>
      <c r="AF4" s="28" t="s">
        <v>27</v>
      </c>
      <c r="AG4" s="29" t="s">
        <v>28</v>
      </c>
      <c r="AH4" s="25" t="s">
        <v>29</v>
      </c>
      <c r="AI4" s="25" t="s">
        <v>30</v>
      </c>
      <c r="AJ4" s="25" t="s">
        <v>31</v>
      </c>
      <c r="AK4" s="25" t="s">
        <v>32</v>
      </c>
      <c r="AL4" s="25" t="s">
        <v>33</v>
      </c>
      <c r="AM4" s="25" t="s">
        <v>34</v>
      </c>
      <c r="AN4" s="25" t="s">
        <v>35</v>
      </c>
      <c r="AO4" s="25" t="s">
        <v>36</v>
      </c>
      <c r="AP4" s="25" t="s">
        <v>37</v>
      </c>
      <c r="AQ4" s="25" t="s">
        <v>38</v>
      </c>
      <c r="AR4" s="28" t="s">
        <v>39</v>
      </c>
    </row>
    <row r="5" spans="1:44" s="1" customFormat="1" ht="15" customHeight="1" x14ac:dyDescent="0.25">
      <c r="A5" s="8">
        <v>46113</v>
      </c>
      <c r="B5" s="10"/>
      <c r="C5" s="10"/>
      <c r="D5" s="21"/>
      <c r="E5" s="10"/>
      <c r="F5" s="22"/>
      <c r="G5" s="10"/>
      <c r="H5" s="23"/>
      <c r="I5" s="24"/>
      <c r="J5" s="10"/>
      <c r="K5" s="10"/>
      <c r="L5" s="10"/>
      <c r="M5" s="10"/>
      <c r="N5" s="10"/>
      <c r="O5" s="10"/>
      <c r="P5" s="10"/>
      <c r="Q5" s="10"/>
      <c r="R5" s="10"/>
      <c r="S5" s="10"/>
      <c r="T5" s="22"/>
      <c r="U5" s="24"/>
      <c r="V5" s="10"/>
      <c r="W5" s="10"/>
      <c r="X5" s="10"/>
      <c r="Y5" s="10"/>
      <c r="Z5" s="10"/>
      <c r="AA5" s="10"/>
      <c r="AB5" s="10"/>
      <c r="AC5" s="10"/>
      <c r="AD5" s="10"/>
      <c r="AE5" s="10"/>
      <c r="AF5" s="22"/>
      <c r="AG5" s="24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22"/>
    </row>
    <row r="6" spans="1:44" s="1" customFormat="1" ht="15" customHeight="1" x14ac:dyDescent="0.25">
      <c r="A6" s="7">
        <v>46114</v>
      </c>
      <c r="B6" s="2"/>
      <c r="C6" s="2"/>
      <c r="D6" s="4"/>
      <c r="E6" s="2"/>
      <c r="F6" s="3"/>
      <c r="G6" s="2"/>
      <c r="H6" s="5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6"/>
      <c r="V6" s="2"/>
      <c r="W6" s="2"/>
      <c r="X6" s="2"/>
      <c r="Y6" s="2"/>
      <c r="Z6" s="2"/>
      <c r="AA6" s="2"/>
      <c r="AB6" s="2"/>
      <c r="AC6" s="2"/>
      <c r="AD6" s="2"/>
      <c r="AE6" s="2"/>
      <c r="AF6" s="3"/>
      <c r="AG6" s="6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s="1" customFormat="1" ht="15" customHeight="1" x14ac:dyDescent="0.25">
      <c r="A7" s="7">
        <v>46115</v>
      </c>
      <c r="B7" s="2"/>
      <c r="C7" s="2"/>
      <c r="D7" s="4"/>
      <c r="E7" s="2"/>
      <c r="F7" s="3"/>
      <c r="G7" s="2"/>
      <c r="H7" s="5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6"/>
      <c r="V7" s="2"/>
      <c r="W7" s="2"/>
      <c r="X7" s="2"/>
      <c r="Y7" s="2"/>
      <c r="Z7" s="2"/>
      <c r="AA7" s="2"/>
      <c r="AB7" s="2"/>
      <c r="AC7" s="2"/>
      <c r="AD7" s="2"/>
      <c r="AE7" s="2"/>
      <c r="AF7" s="3"/>
      <c r="AG7" s="6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s="1" customFormat="1" ht="15" customHeight="1" x14ac:dyDescent="0.25">
      <c r="A8" s="7">
        <v>46116</v>
      </c>
      <c r="B8" s="2"/>
      <c r="C8" s="2"/>
      <c r="D8" s="4"/>
      <c r="E8" s="2"/>
      <c r="F8" s="3"/>
      <c r="G8" s="2"/>
      <c r="H8" s="5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6"/>
      <c r="V8" s="2"/>
      <c r="W8" s="2"/>
      <c r="X8" s="2"/>
      <c r="Y8" s="2"/>
      <c r="Z8" s="2"/>
      <c r="AA8" s="2"/>
      <c r="AB8" s="2"/>
      <c r="AC8" s="2"/>
      <c r="AD8" s="2"/>
      <c r="AE8" s="2"/>
      <c r="AF8" s="3"/>
      <c r="AG8" s="6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s="1" customFormat="1" ht="15" customHeight="1" x14ac:dyDescent="0.25">
      <c r="A9" s="7">
        <v>46117</v>
      </c>
      <c r="B9" s="2"/>
      <c r="C9" s="2"/>
      <c r="D9" s="4"/>
      <c r="E9" s="2"/>
      <c r="F9" s="3"/>
      <c r="G9" s="2"/>
      <c r="H9" s="5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6"/>
      <c r="V9" s="2"/>
      <c r="W9" s="2"/>
      <c r="X9" s="2"/>
      <c r="Y9" s="2"/>
      <c r="Z9" s="2"/>
      <c r="AA9" s="2"/>
      <c r="AB9" s="2"/>
      <c r="AC9" s="2"/>
      <c r="AD9" s="2"/>
      <c r="AE9" s="2"/>
      <c r="AF9" s="3"/>
      <c r="AG9" s="6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s="1" customFormat="1" ht="15" customHeight="1" x14ac:dyDescent="0.25">
      <c r="A10" s="7">
        <v>46118</v>
      </c>
      <c r="B10" s="2"/>
      <c r="C10" s="2"/>
      <c r="D10" s="4"/>
      <c r="E10" s="2"/>
      <c r="F10" s="3"/>
      <c r="G10" s="2"/>
      <c r="H10" s="5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3"/>
      <c r="AG10" s="6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s="1" customFormat="1" ht="15" customHeight="1" x14ac:dyDescent="0.25">
      <c r="A11" s="7">
        <v>46119</v>
      </c>
      <c r="B11" s="2"/>
      <c r="C11" s="2"/>
      <c r="D11" s="4"/>
      <c r="E11" s="2"/>
      <c r="F11" s="3"/>
      <c r="G11" s="2"/>
      <c r="H11" s="5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6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"/>
      <c r="AG11" s="6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s="1" customFormat="1" ht="15" customHeight="1" x14ac:dyDescent="0.25">
      <c r="A12" s="7">
        <v>46120</v>
      </c>
      <c r="B12" s="2"/>
      <c r="C12" s="2"/>
      <c r="D12" s="4"/>
      <c r="E12" s="2"/>
      <c r="F12" s="3"/>
      <c r="G12" s="2"/>
      <c r="H12" s="5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6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3"/>
      <c r="AG12" s="6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s="1" customFormat="1" ht="15" customHeight="1" x14ac:dyDescent="0.25">
      <c r="A13" s="7">
        <v>46121</v>
      </c>
      <c r="B13" s="2"/>
      <c r="C13" s="2"/>
      <c r="D13" s="4"/>
      <c r="E13" s="2"/>
      <c r="F13" s="3"/>
      <c r="G13" s="2"/>
      <c r="H13" s="5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6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3"/>
      <c r="AG13" s="6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s="1" customFormat="1" ht="15" customHeight="1" x14ac:dyDescent="0.25">
      <c r="A14" s="7">
        <v>46122</v>
      </c>
      <c r="B14" s="2"/>
      <c r="C14" s="2"/>
      <c r="D14" s="4"/>
      <c r="E14" s="2"/>
      <c r="F14" s="3"/>
      <c r="G14" s="2"/>
      <c r="H14" s="5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6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3"/>
      <c r="AG14" s="6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s="1" customFormat="1" ht="15" customHeight="1" x14ac:dyDescent="0.25">
      <c r="A15" s="7">
        <v>46123</v>
      </c>
      <c r="B15" s="2"/>
      <c r="C15" s="2"/>
      <c r="D15" s="4"/>
      <c r="E15" s="2"/>
      <c r="F15" s="3"/>
      <c r="G15" s="2"/>
      <c r="H15" s="5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  <c r="U15" s="6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3"/>
      <c r="AG15" s="6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s="1" customFormat="1" ht="15" customHeight="1" x14ac:dyDescent="0.25">
      <c r="A16" s="7">
        <v>46124</v>
      </c>
      <c r="B16" s="2"/>
      <c r="C16" s="2"/>
      <c r="D16" s="4"/>
      <c r="E16" s="2"/>
      <c r="F16" s="3"/>
      <c r="G16" s="2"/>
      <c r="H16" s="5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3"/>
      <c r="U16" s="6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3"/>
      <c r="AG16" s="6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s="1" customFormat="1" ht="15" customHeight="1" x14ac:dyDescent="0.25">
      <c r="A17" s="7">
        <v>46125</v>
      </c>
      <c r="B17" s="2"/>
      <c r="C17" s="2"/>
      <c r="D17" s="4"/>
      <c r="E17" s="2"/>
      <c r="F17" s="3"/>
      <c r="G17" s="2"/>
      <c r="H17" s="5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6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3"/>
      <c r="AG17" s="6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s="1" customFormat="1" ht="15" customHeight="1" x14ac:dyDescent="0.25">
      <c r="A18" s="7">
        <v>46126</v>
      </c>
      <c r="B18" s="2"/>
      <c r="C18" s="2"/>
      <c r="D18" s="4"/>
      <c r="E18" s="2"/>
      <c r="F18" s="3"/>
      <c r="G18" s="2"/>
      <c r="H18" s="5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  <c r="U18" s="6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3"/>
      <c r="AG18" s="6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s="1" customFormat="1" ht="15" customHeight="1" x14ac:dyDescent="0.25">
      <c r="A19" s="7">
        <v>46127</v>
      </c>
      <c r="B19" s="2"/>
      <c r="C19" s="2"/>
      <c r="D19" s="4"/>
      <c r="E19" s="2"/>
      <c r="F19" s="3"/>
      <c r="G19" s="2"/>
      <c r="H19" s="5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6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"/>
      <c r="AG19" s="6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s="1" customFormat="1" ht="15" customHeight="1" x14ac:dyDescent="0.25">
      <c r="A20" s="7">
        <v>46128</v>
      </c>
      <c r="B20" s="2"/>
      <c r="C20" s="2"/>
      <c r="D20" s="4"/>
      <c r="E20" s="2"/>
      <c r="F20" s="3"/>
      <c r="G20" s="2"/>
      <c r="H20" s="5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6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3"/>
      <c r="AG20" s="6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s="1" customFormat="1" ht="15" customHeight="1" x14ac:dyDescent="0.25">
      <c r="A21" s="7">
        <v>46129</v>
      </c>
      <c r="B21" s="2"/>
      <c r="C21" s="2"/>
      <c r="D21" s="4"/>
      <c r="E21" s="2"/>
      <c r="F21" s="3"/>
      <c r="G21" s="2"/>
      <c r="H21" s="5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6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3"/>
      <c r="AG21" s="6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s="1" customFormat="1" ht="15" customHeight="1" x14ac:dyDescent="0.25">
      <c r="A22" s="7">
        <v>46130</v>
      </c>
      <c r="B22" s="2"/>
      <c r="C22" s="2"/>
      <c r="D22" s="4"/>
      <c r="E22" s="2"/>
      <c r="F22" s="3"/>
      <c r="G22" s="2"/>
      <c r="H22" s="5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  <c r="U22" s="6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3"/>
      <c r="AG22" s="6"/>
      <c r="AH22" s="4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s="1" customFormat="1" ht="15" customHeight="1" x14ac:dyDescent="0.25">
      <c r="A23" s="7">
        <v>46131</v>
      </c>
      <c r="B23" s="2"/>
      <c r="C23" s="2"/>
      <c r="D23" s="4"/>
      <c r="E23" s="2"/>
      <c r="F23" s="3"/>
      <c r="G23" s="2"/>
      <c r="H23" s="5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3"/>
      <c r="U23" s="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3"/>
      <c r="AG23" s="6"/>
      <c r="AH23" s="4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s="1" customFormat="1" ht="15" customHeight="1" x14ac:dyDescent="0.25">
      <c r="A24" s="7">
        <v>46132</v>
      </c>
      <c r="B24" s="2"/>
      <c r="C24" s="2"/>
      <c r="D24" s="4"/>
      <c r="E24" s="2"/>
      <c r="F24" s="3"/>
      <c r="G24" s="2"/>
      <c r="H24" s="5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  <c r="U24" s="6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3"/>
      <c r="AG24" s="6"/>
      <c r="AH24" s="4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ht="15" customHeight="1" x14ac:dyDescent="0.25">
      <c r="A25" s="7">
        <v>46133</v>
      </c>
      <c r="B25" s="2"/>
      <c r="C25" s="2"/>
      <c r="D25" s="4"/>
      <c r="E25" s="2"/>
      <c r="F25" s="3"/>
      <c r="G25" s="2"/>
      <c r="H25" s="5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3"/>
      <c r="U25" s="6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3"/>
      <c r="AG25" s="6"/>
      <c r="AH25" s="4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ht="15" customHeight="1" x14ac:dyDescent="0.25">
      <c r="A26" s="7">
        <v>46134</v>
      </c>
      <c r="B26" s="2"/>
      <c r="C26" s="2"/>
      <c r="D26" s="4"/>
      <c r="E26" s="2"/>
      <c r="F26" s="3"/>
      <c r="G26" s="2"/>
      <c r="H26" s="5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3"/>
      <c r="U26" s="6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3"/>
      <c r="AG26" s="6"/>
      <c r="AH26" s="4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ht="15" customHeight="1" x14ac:dyDescent="0.25">
      <c r="A27" s="7">
        <v>46135</v>
      </c>
      <c r="B27" s="2"/>
      <c r="C27" s="2"/>
      <c r="D27" s="4"/>
      <c r="E27" s="2"/>
      <c r="F27" s="3"/>
      <c r="G27" s="2"/>
      <c r="H27" s="5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  <c r="U27" s="6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3"/>
      <c r="AG27" s="6"/>
      <c r="AH27" s="4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" customHeight="1" x14ac:dyDescent="0.25">
      <c r="A28" s="7">
        <v>46136</v>
      </c>
      <c r="B28" s="2"/>
      <c r="C28" s="2"/>
      <c r="D28" s="4"/>
      <c r="E28" s="2"/>
      <c r="F28" s="3"/>
      <c r="G28" s="2"/>
      <c r="H28" s="5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  <c r="U28" s="6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3"/>
      <c r="AG28" s="6"/>
      <c r="AH28" s="4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ht="15" customHeight="1" x14ac:dyDescent="0.25">
      <c r="A29" s="7">
        <v>46137</v>
      </c>
      <c r="B29" s="2"/>
      <c r="C29" s="2"/>
      <c r="D29" s="4"/>
      <c r="E29" s="2"/>
      <c r="F29" s="3"/>
      <c r="G29" s="2"/>
      <c r="H29" s="5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U29" s="6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3"/>
      <c r="AG29" s="6"/>
      <c r="AH29" s="4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5" customHeight="1" x14ac:dyDescent="0.25">
      <c r="A30" s="7">
        <v>46138</v>
      </c>
      <c r="B30" s="2">
        <f>[1]PR_Calc!$I$111</f>
        <v>9.8637999999999977</v>
      </c>
      <c r="C30" s="2">
        <f>[1]PR_Calc!$M$111</f>
        <v>95099.999999998545</v>
      </c>
      <c r="D30" s="4">
        <f>[1]PR_Calc!$BA$5*100</f>
        <v>84.597940991010404</v>
      </c>
      <c r="E30" s="2">
        <v>77.91</v>
      </c>
      <c r="F30" s="3">
        <f>[1]PR_Calc!$AA$111</f>
        <v>2585.0777272727278</v>
      </c>
      <c r="G30" s="2">
        <f>[1]PR_Calc!AN$111</f>
        <v>2575.6800000000003</v>
      </c>
      <c r="H30" s="5">
        <f>[1]PR_Calc!BA$111</f>
        <v>2630.3231818181821</v>
      </c>
      <c r="I30" s="6">
        <f>[1]PR_Calc!O$111</f>
        <v>0.85822998958753727</v>
      </c>
      <c r="J30" s="2">
        <f>[1]PR_Calc!P$111</f>
        <v>0.8569062313765915</v>
      </c>
      <c r="K30" s="2">
        <f>[1]PR_Calc!Q$111</f>
        <v>0.85982296382707624</v>
      </c>
      <c r="L30" s="2">
        <f>[1]PR_Calc!R$111</f>
        <v>0.85966671030294295</v>
      </c>
      <c r="M30" s="2">
        <f>[1]PR_Calc!S$111</f>
        <v>0.85880359559820818</v>
      </c>
      <c r="N30" s="2">
        <f>[1]PR_Calc!T$111</f>
        <v>0.85674997785245799</v>
      </c>
      <c r="O30" s="2">
        <f>[1]PR_Calc!U$111</f>
        <v>0.85532881484724654</v>
      </c>
      <c r="P30" s="2">
        <f>[1]PR_Calc!V$111</f>
        <v>0.83395488557588593</v>
      </c>
      <c r="Q30" s="2">
        <f>[1]PR_Calc!W$111</f>
        <v>0.83188379849203453</v>
      </c>
      <c r="R30" s="2">
        <f>[1]PR_Calc!X$111</f>
        <v>0.82917928614886016</v>
      </c>
      <c r="S30" s="2">
        <f>[1]PR_Calc!Y$111</f>
        <v>0.83039631670328851</v>
      </c>
      <c r="T30" s="2">
        <f>[1]PR_Calc!Z$111</f>
        <v>0.85632586114409648</v>
      </c>
      <c r="U30" s="6">
        <f>[1]PR_Calc!AB$111</f>
        <v>0.88474827088900154</v>
      </c>
      <c r="V30" s="2">
        <f>[1]PR_Calc!AC$111</f>
        <v>0.85369931380985831</v>
      </c>
      <c r="W30" s="2">
        <f>[1]PR_Calc!AD$111</f>
        <v>0.8526501830049642</v>
      </c>
      <c r="X30" s="2">
        <f>[1]PR_Calc!AE$111</f>
        <v>0.88508345418566814</v>
      </c>
      <c r="Y30" s="2">
        <f>[1]PR_Calc!AF$111</f>
        <v>0.88811569377644273</v>
      </c>
      <c r="Z30" s="2">
        <f>[1]PR_Calc!AG$111</f>
        <v>0.82170629151640495</v>
      </c>
      <c r="AA30" s="2">
        <f>[1]PR_Calc!AH$111</f>
        <v>0.85136295159186715</v>
      </c>
      <c r="AB30" s="2">
        <f>[1]PR_Calc!AI$111</f>
        <v>0.82036115248256303</v>
      </c>
      <c r="AC30" s="2">
        <f>[1]PR_Calc!AJ$111</f>
        <v>0.81996970990657769</v>
      </c>
      <c r="AD30" s="2">
        <f>[1]PR_Calc!AK$111</f>
        <v>0.84956231574233276</v>
      </c>
      <c r="AE30" s="2">
        <f>[1]PR_Calc!AL$111</f>
        <v>0.81830429967420215</v>
      </c>
      <c r="AF30" s="2">
        <f>[1]PR_Calc!AM$111</f>
        <v>0.81933628464725528</v>
      </c>
      <c r="AG30" s="6">
        <f>[1]PR_Calc!AO$111</f>
        <v>0.83918598181860449</v>
      </c>
      <c r="AH30" s="4">
        <f>[1]PR_Calc!AP$111</f>
        <v>0.83783372564701741</v>
      </c>
      <c r="AI30" s="2">
        <f>[1]PR_Calc!AQ$111</f>
        <v>0.83652417230190146</v>
      </c>
      <c r="AJ30" s="2">
        <f>[1]PR_Calc!AR$111</f>
        <v>0.83746363448426697</v>
      </c>
      <c r="AK30" s="2">
        <f>[1]PR_Calc!AS$111</f>
        <v>0.83758462582593529</v>
      </c>
      <c r="AL30" s="2">
        <f>[1]PR_Calc!AT$111</f>
        <v>0.84009697544998896</v>
      </c>
      <c r="AM30" s="2">
        <f>[1]PR_Calc!AU$111</f>
        <v>0.84015908865212896</v>
      </c>
      <c r="AN30" s="2">
        <f>[1]PR_Calc!AV$111</f>
        <v>0.83466659935040544</v>
      </c>
      <c r="AO30" s="2">
        <f>[1]PR_Calc!AW$111</f>
        <v>0.83826787104947442</v>
      </c>
      <c r="AP30" s="2">
        <f>[1]PR_Calc!AX$111</f>
        <v>0.83846003376859424</v>
      </c>
      <c r="AQ30" s="2">
        <f>[1]PR_Calc!AY$111</f>
        <v>0.83796895126417592</v>
      </c>
      <c r="AR30" s="2">
        <f>[1]PR_Calc!AZ$111</f>
        <v>0.90562317480697996</v>
      </c>
    </row>
    <row r="31" spans="1:44" ht="15" customHeight="1" x14ac:dyDescent="0.25">
      <c r="A31" s="7">
        <v>46139</v>
      </c>
      <c r="B31" s="2"/>
      <c r="C31" s="2"/>
      <c r="D31" s="4"/>
      <c r="E31" s="2"/>
      <c r="F31" s="3"/>
      <c r="G31" s="2"/>
      <c r="H31" s="5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3"/>
      <c r="U31" s="6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3"/>
      <c r="AG31" s="6"/>
      <c r="AH31" s="4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ht="15" customHeight="1" x14ac:dyDescent="0.25">
      <c r="A32" s="7">
        <v>46140</v>
      </c>
      <c r="B32" s="2"/>
      <c r="C32" s="2"/>
      <c r="D32" s="4"/>
      <c r="E32" s="2"/>
      <c r="F32" s="3"/>
      <c r="G32" s="2"/>
      <c r="H32" s="5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3"/>
      <c r="U32" s="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3"/>
      <c r="AG32" s="6"/>
      <c r="AH32" s="4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ht="15" customHeight="1" x14ac:dyDescent="0.25">
      <c r="A33" s="7">
        <v>46141</v>
      </c>
      <c r="B33" s="2"/>
      <c r="C33" s="2"/>
      <c r="D33" s="4"/>
      <c r="E33" s="2"/>
      <c r="F33" s="3"/>
      <c r="G33" s="2"/>
      <c r="H33" s="5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3"/>
      <c r="U33" s="6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3"/>
      <c r="AG33" s="6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ht="15" customHeight="1" x14ac:dyDescent="0.25">
      <c r="A34" s="7">
        <v>46142</v>
      </c>
      <c r="B34" s="2"/>
      <c r="C34" s="2"/>
      <c r="D34" s="4"/>
      <c r="E34" s="2"/>
      <c r="F34" s="3"/>
      <c r="G34" s="2"/>
      <c r="H34" s="5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3"/>
      <c r="U34" s="6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3"/>
      <c r="AG34" s="6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25">
      <c r="B35" s="11"/>
      <c r="C35" s="11"/>
      <c r="D35" s="19">
        <f>AVERAGE(D5:D34)</f>
        <v>84.597940991010404</v>
      </c>
      <c r="E35" s="19">
        <f>AVERAGE(E5:E34)</f>
        <v>77.91</v>
      </c>
      <c r="F35" s="12"/>
      <c r="G35" s="11"/>
      <c r="H35" s="13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6"/>
      <c r="U35" s="17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7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</row>
  </sheetData>
  <mergeCells count="1">
    <mergeCell ref="A1:AR1"/>
  </mergeCells>
  <conditionalFormatting sqref="D5:E34">
    <cfRule type="cellIs" dxfId="54" priority="1" operator="greaterThan">
      <formula>100</formula>
    </cfRule>
    <cfRule type="colorScale" priority="13">
      <colorScale>
        <cfvo type="min"/>
        <cfvo type="max"/>
        <color rgb="FFFFEF9C"/>
        <color rgb="FF63BE7B"/>
      </colorScale>
    </cfRule>
  </conditionalFormatting>
  <conditionalFormatting sqref="I5:AR34">
    <cfRule type="colorScale" priority="14">
      <colorScale>
        <cfvo type="num" val="0"/>
        <cfvo type="percentile" val="50"/>
        <cfvo type="max"/>
        <color rgb="FFC1E5F5"/>
        <color rgb="FFFFEB84"/>
        <color rgb="FFE97132"/>
      </colorScale>
    </cfRule>
  </conditionalFormatting>
  <pageMargins left="0.7" right="0.7" top="0.75" bottom="0.75" header="0.511811023622047" footer="0.511811023622047"/>
  <pageSetup paperSize="9" orientation="portrait" horizontalDpi="300" verticalDpi="3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Lipari Gaspare</dc:creator>
  <dc:description/>
  <cp:lastModifiedBy>Lipari Gaspare</cp:lastModifiedBy>
  <cp:revision>0</cp:revision>
  <dcterms:created xsi:type="dcterms:W3CDTF">2026-03-25T08:47:59Z</dcterms:created>
  <dcterms:modified xsi:type="dcterms:W3CDTF">2026-05-15T08:42:51Z</dcterms:modified>
  <dc:language>en-US</dc:language>
</cp:coreProperties>
</file>